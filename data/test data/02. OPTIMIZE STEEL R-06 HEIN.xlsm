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uchamad Syikha Akma\Downloads\"/>
    </mc:Choice>
  </mc:AlternateContent>
  <xr:revisionPtr revIDLastSave="0" documentId="13_ncr:1_{58FED8F5-2FB6-4C8D-A9C2-1DA83361120D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A" sheetId="1" r:id="rId1"/>
    <sheet name="RESULT" sheetId="3" r:id="rId2"/>
    <sheet name="NESTING" sheetId="2" r:id="rId3"/>
    <sheet name="PIPING" sheetId="6" r:id="rId4"/>
    <sheet name="SUM" sheetId="7" r:id="rId5"/>
  </sheets>
  <definedNames>
    <definedName name="_xlnm._FilterDatabase" localSheetId="0" hidden="1">DATA!$A$1:$AG$993</definedName>
    <definedName name="_xlnm._FilterDatabase" localSheetId="2" hidden="1">NESTING!$K$1:$K$3026</definedName>
    <definedName name="_xlnm._FilterDatabase" localSheetId="3" hidden="1">PIPING!#REF!</definedName>
    <definedName name="_xlnm._FilterDatabase" localSheetId="1" hidden="1">RESULT!#REF!</definedName>
    <definedName name="_xlnm._FilterDatabase" localSheetId="4" hidden="1">SUM!$A$1:$H$184</definedName>
    <definedName name="_xlnm.Print_Area" localSheetId="0">DATA!$A$1:$M$1</definedName>
    <definedName name="_xlnm.Print_Area" localSheetId="3">PIPING!$A$1:$M$2299</definedName>
    <definedName name="_xlnm.Print_Titles" localSheetId="2">NESTING!$1:$4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2" i="1" l="1"/>
  <c r="AA2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G23" i="1"/>
  <c r="I23" i="1" s="1"/>
  <c r="P6" i="6"/>
  <c r="O6" i="6"/>
  <c r="P5" i="6"/>
  <c r="O5" i="6"/>
  <c r="P4" i="6"/>
  <c r="O4" i="6"/>
  <c r="P3" i="6"/>
  <c r="O3" i="6"/>
  <c r="P2" i="6"/>
  <c r="O2" i="6"/>
  <c r="P1" i="6"/>
  <c r="O1" i="6"/>
  <c r="P12" i="6"/>
  <c r="O12" i="6"/>
  <c r="P11" i="6"/>
  <c r="O11" i="6"/>
  <c r="P10" i="6"/>
  <c r="O10" i="6"/>
  <c r="P9" i="6"/>
  <c r="O9" i="6"/>
  <c r="P8" i="6"/>
  <c r="O8" i="6"/>
  <c r="P7" i="6"/>
  <c r="O7" i="6"/>
  <c r="P18" i="6"/>
  <c r="O18" i="6"/>
  <c r="P17" i="6"/>
  <c r="O17" i="6"/>
  <c r="P16" i="6"/>
  <c r="O16" i="6"/>
  <c r="P15" i="6"/>
  <c r="O15" i="6"/>
  <c r="P14" i="6"/>
  <c r="O14" i="6"/>
  <c r="P13" i="6"/>
  <c r="O13" i="6"/>
  <c r="P24" i="6"/>
  <c r="O24" i="6"/>
  <c r="P23" i="6"/>
  <c r="O23" i="6"/>
  <c r="P22" i="6"/>
  <c r="O22" i="6"/>
  <c r="P21" i="6"/>
  <c r="O21" i="6"/>
  <c r="P20" i="6"/>
  <c r="O20" i="6"/>
  <c r="P19" i="6"/>
  <c r="O19" i="6"/>
  <c r="P30" i="6"/>
  <c r="O30" i="6"/>
  <c r="P29" i="6"/>
  <c r="O29" i="6"/>
  <c r="P28" i="6"/>
  <c r="O28" i="6"/>
  <c r="P27" i="6"/>
  <c r="O27" i="6"/>
  <c r="P26" i="6"/>
  <c r="O26" i="6"/>
  <c r="P25" i="6"/>
  <c r="O25" i="6"/>
  <c r="P36" i="6"/>
  <c r="O36" i="6"/>
  <c r="P35" i="6"/>
  <c r="O35" i="6"/>
  <c r="P34" i="6"/>
  <c r="O34" i="6"/>
  <c r="P33" i="6"/>
  <c r="O33" i="6"/>
  <c r="P32" i="6"/>
  <c r="O32" i="6"/>
  <c r="P31" i="6"/>
  <c r="O31" i="6"/>
  <c r="P42" i="6"/>
  <c r="O42" i="6"/>
  <c r="P41" i="6"/>
  <c r="O41" i="6"/>
  <c r="P40" i="6"/>
  <c r="O40" i="6"/>
  <c r="P39" i="6"/>
  <c r="O39" i="6"/>
  <c r="P38" i="6"/>
  <c r="O38" i="6"/>
  <c r="P37" i="6"/>
  <c r="O37" i="6"/>
  <c r="P48" i="6"/>
  <c r="O48" i="6"/>
  <c r="P47" i="6"/>
  <c r="O47" i="6"/>
  <c r="P46" i="6"/>
  <c r="O46" i="6"/>
  <c r="P45" i="6"/>
  <c r="O45" i="6"/>
  <c r="P44" i="6"/>
  <c r="O44" i="6"/>
  <c r="P43" i="6"/>
  <c r="O43" i="6"/>
  <c r="O49" i="6"/>
  <c r="P49" i="6"/>
  <c r="O50" i="6"/>
  <c r="P50" i="6"/>
  <c r="O51" i="6"/>
  <c r="P51" i="6"/>
  <c r="O52" i="6"/>
  <c r="P52" i="6"/>
  <c r="O53" i="6"/>
  <c r="P53" i="6"/>
  <c r="O54" i="6"/>
  <c r="P54" i="6"/>
  <c r="O55" i="6"/>
  <c r="P55" i="6"/>
  <c r="P61" i="6" l="1"/>
  <c r="O61" i="6"/>
  <c r="P60" i="6"/>
  <c r="O60" i="6"/>
  <c r="P59" i="6"/>
  <c r="O59" i="6"/>
  <c r="P58" i="6"/>
  <c r="O58" i="6"/>
  <c r="P57" i="6"/>
  <c r="O57" i="6"/>
  <c r="P56" i="6"/>
  <c r="O56" i="6"/>
  <c r="P67" i="6" l="1"/>
  <c r="O67" i="6"/>
  <c r="P66" i="6"/>
  <c r="O66" i="6"/>
  <c r="P65" i="6"/>
  <c r="O65" i="6"/>
  <c r="P64" i="6"/>
  <c r="O64" i="6"/>
  <c r="P63" i="6"/>
  <c r="O63" i="6"/>
  <c r="P62" i="6"/>
  <c r="O62" i="6"/>
  <c r="P73" i="6"/>
  <c r="O73" i="6"/>
  <c r="P70" i="6"/>
  <c r="O70" i="6"/>
  <c r="P72" i="6"/>
  <c r="O72" i="6"/>
  <c r="P71" i="6"/>
  <c r="O71" i="6"/>
  <c r="P69" i="6"/>
  <c r="O69" i="6"/>
  <c r="P68" i="6"/>
  <c r="O68" i="6"/>
  <c r="P79" i="6"/>
  <c r="O79" i="6"/>
  <c r="P78" i="6"/>
  <c r="O78" i="6"/>
  <c r="P77" i="6"/>
  <c r="O77" i="6"/>
  <c r="P76" i="6"/>
  <c r="O76" i="6"/>
  <c r="P75" i="6"/>
  <c r="O75" i="6"/>
  <c r="P74" i="6"/>
  <c r="O74" i="6"/>
  <c r="P85" i="6"/>
  <c r="O85" i="6"/>
  <c r="P84" i="6"/>
  <c r="O84" i="6"/>
  <c r="P83" i="6"/>
  <c r="O83" i="6"/>
  <c r="P82" i="6"/>
  <c r="O82" i="6"/>
  <c r="P81" i="6"/>
  <c r="O81" i="6"/>
  <c r="P80" i="6"/>
  <c r="O80" i="6"/>
  <c r="P89" i="6"/>
  <c r="O89" i="6"/>
  <c r="P88" i="6"/>
  <c r="O88" i="6"/>
  <c r="P87" i="6"/>
  <c r="O87" i="6"/>
  <c r="P86" i="6"/>
  <c r="O86" i="6"/>
  <c r="P95" i="6"/>
  <c r="O95" i="6"/>
  <c r="P94" i="6"/>
  <c r="O94" i="6"/>
  <c r="P93" i="6"/>
  <c r="O93" i="6"/>
  <c r="P92" i="6"/>
  <c r="O92" i="6"/>
  <c r="P91" i="6"/>
  <c r="O91" i="6"/>
  <c r="P90" i="6"/>
  <c r="O90" i="6"/>
  <c r="P96" i="6"/>
  <c r="O96" i="6"/>
  <c r="P149" i="6" l="1"/>
  <c r="O149" i="6"/>
  <c r="P148" i="6"/>
  <c r="O148" i="6"/>
  <c r="P147" i="6"/>
  <c r="O147" i="6"/>
  <c r="P155" i="6"/>
  <c r="O155" i="6"/>
  <c r="P154" i="6"/>
  <c r="O154" i="6"/>
  <c r="P153" i="6"/>
  <c r="O153" i="6"/>
  <c r="P152" i="6"/>
  <c r="O152" i="6"/>
  <c r="P151" i="6"/>
  <c r="O151" i="6"/>
  <c r="P150" i="6"/>
  <c r="O150" i="6"/>
  <c r="P161" i="6"/>
  <c r="O161" i="6"/>
  <c r="P160" i="6"/>
  <c r="O160" i="6"/>
  <c r="P159" i="6"/>
  <c r="O159" i="6"/>
  <c r="P158" i="6"/>
  <c r="O158" i="6"/>
  <c r="P157" i="6"/>
  <c r="O157" i="6"/>
  <c r="P156" i="6"/>
  <c r="O156" i="6"/>
  <c r="P167" i="6"/>
  <c r="O167" i="6"/>
  <c r="P166" i="6"/>
  <c r="O166" i="6"/>
  <c r="P165" i="6"/>
  <c r="O165" i="6"/>
  <c r="P164" i="6"/>
  <c r="O164" i="6"/>
  <c r="P163" i="6"/>
  <c r="O163" i="6"/>
  <c r="P162" i="6"/>
  <c r="O162" i="6"/>
  <c r="P171" i="6"/>
  <c r="O171" i="6"/>
  <c r="P170" i="6"/>
  <c r="O170" i="6"/>
  <c r="P169" i="6"/>
  <c r="O169" i="6"/>
  <c r="P168" i="6"/>
  <c r="O168" i="6"/>
  <c r="P173" i="6"/>
  <c r="O173" i="6"/>
  <c r="P172" i="6"/>
  <c r="O172" i="6"/>
  <c r="G6" i="1"/>
  <c r="I6" i="1" s="1"/>
  <c r="G7" i="1"/>
  <c r="I7" i="1" s="1"/>
  <c r="G8" i="1"/>
  <c r="I8" i="1" s="1"/>
  <c r="G9" i="1"/>
  <c r="I9" i="1" s="1"/>
  <c r="G10" i="1"/>
  <c r="I10" i="1" s="1"/>
  <c r="G11" i="1"/>
  <c r="I11" i="1" s="1"/>
  <c r="G12" i="1"/>
  <c r="I12" i="1" s="1"/>
  <c r="G13" i="1"/>
  <c r="I13" i="1" s="1"/>
  <c r="G14" i="1"/>
  <c r="I14" i="1" s="1"/>
  <c r="G15" i="1"/>
  <c r="I15" i="1" s="1"/>
  <c r="G16" i="1"/>
  <c r="I16" i="1" s="1"/>
  <c r="G17" i="1"/>
  <c r="I17" i="1" s="1"/>
  <c r="G18" i="1"/>
  <c r="I18" i="1" s="1"/>
  <c r="G19" i="1"/>
  <c r="I19" i="1" s="1"/>
  <c r="G20" i="1"/>
  <c r="I20" i="1" s="1"/>
  <c r="G21" i="1"/>
  <c r="I21" i="1" s="1"/>
  <c r="G22" i="1"/>
  <c r="I22" i="1" s="1"/>
  <c r="G24" i="1"/>
  <c r="I24" i="1" s="1"/>
  <c r="P179" i="6"/>
  <c r="O179" i="6"/>
  <c r="P178" i="6"/>
  <c r="O178" i="6"/>
  <c r="P177" i="6"/>
  <c r="O177" i="6"/>
  <c r="P176" i="6"/>
  <c r="O176" i="6"/>
  <c r="P175" i="6"/>
  <c r="O175" i="6"/>
  <c r="P174" i="6"/>
  <c r="O174" i="6"/>
  <c r="P181" i="6"/>
  <c r="O181" i="6"/>
  <c r="P180" i="6"/>
  <c r="O180" i="6"/>
  <c r="P98" i="6"/>
  <c r="O98" i="6"/>
  <c r="P97" i="6"/>
  <c r="O97" i="6"/>
  <c r="P104" i="6"/>
  <c r="O104" i="6"/>
  <c r="P103" i="6"/>
  <c r="O103" i="6"/>
  <c r="P102" i="6"/>
  <c r="O102" i="6"/>
  <c r="P101" i="6"/>
  <c r="O101" i="6"/>
  <c r="P100" i="6"/>
  <c r="O100" i="6"/>
  <c r="P99" i="6"/>
  <c r="O99" i="6"/>
  <c r="P106" i="6"/>
  <c r="O106" i="6"/>
  <c r="P105" i="6"/>
  <c r="O105" i="6"/>
  <c r="P112" i="6"/>
  <c r="O112" i="6"/>
  <c r="P111" i="6"/>
  <c r="O111" i="6"/>
  <c r="P110" i="6"/>
  <c r="O110" i="6"/>
  <c r="P109" i="6"/>
  <c r="O109" i="6"/>
  <c r="P108" i="6"/>
  <c r="O108" i="6"/>
  <c r="P107" i="6"/>
  <c r="O107" i="6"/>
  <c r="G34" i="1"/>
  <c r="I34" i="1" s="1"/>
  <c r="G35" i="1"/>
  <c r="I35" i="1" s="1"/>
  <c r="G36" i="1"/>
  <c r="I36" i="1" s="1"/>
  <c r="G37" i="1"/>
  <c r="I37" i="1" s="1"/>
  <c r="G38" i="1"/>
  <c r="I38" i="1" s="1"/>
  <c r="G39" i="1"/>
  <c r="I39" i="1" s="1"/>
  <c r="G40" i="1"/>
  <c r="I40" i="1" s="1"/>
  <c r="G41" i="1"/>
  <c r="I41" i="1" s="1"/>
  <c r="G42" i="1"/>
  <c r="I42" i="1" s="1"/>
  <c r="G43" i="1"/>
  <c r="I43" i="1" s="1"/>
  <c r="G44" i="1"/>
  <c r="I44" i="1" s="1"/>
  <c r="G45" i="1"/>
  <c r="I45" i="1" s="1"/>
  <c r="G46" i="1"/>
  <c r="I46" i="1" s="1"/>
  <c r="G47" i="1"/>
  <c r="I47" i="1" s="1"/>
  <c r="G48" i="1"/>
  <c r="I48" i="1" s="1"/>
  <c r="G49" i="1"/>
  <c r="I49" i="1" s="1"/>
  <c r="G50" i="1"/>
  <c r="I50" i="1" s="1"/>
  <c r="G51" i="1"/>
  <c r="I51" i="1" s="1"/>
  <c r="G52" i="1"/>
  <c r="I52" i="1" s="1"/>
  <c r="G53" i="1"/>
  <c r="I53" i="1" s="1"/>
  <c r="G54" i="1"/>
  <c r="I54" i="1" s="1"/>
  <c r="G55" i="1"/>
  <c r="I55" i="1" s="1"/>
  <c r="G56" i="1"/>
  <c r="I56" i="1" s="1"/>
  <c r="G57" i="1"/>
  <c r="I57" i="1" s="1"/>
  <c r="G58" i="1"/>
  <c r="I58" i="1" s="1"/>
  <c r="G59" i="1"/>
  <c r="I59" i="1" s="1"/>
  <c r="G60" i="1"/>
  <c r="I60" i="1" s="1"/>
  <c r="G61" i="1"/>
  <c r="I61" i="1" s="1"/>
  <c r="G62" i="1"/>
  <c r="I62" i="1" s="1"/>
  <c r="G63" i="1"/>
  <c r="I63" i="1" s="1"/>
  <c r="G64" i="1"/>
  <c r="I64" i="1" s="1"/>
  <c r="G65" i="1"/>
  <c r="I65" i="1" s="1"/>
  <c r="G66" i="1"/>
  <c r="I66" i="1" s="1"/>
  <c r="G67" i="1"/>
  <c r="I67" i="1" s="1"/>
  <c r="G68" i="1"/>
  <c r="I68" i="1" s="1"/>
  <c r="G69" i="1"/>
  <c r="I69" i="1" s="1"/>
  <c r="G70" i="1"/>
  <c r="I70" i="1" s="1"/>
  <c r="G71" i="1"/>
  <c r="I71" i="1" s="1"/>
  <c r="G72" i="1"/>
  <c r="I72" i="1" s="1"/>
  <c r="G73" i="1"/>
  <c r="I73" i="1" s="1"/>
  <c r="G74" i="1"/>
  <c r="I74" i="1" s="1"/>
  <c r="G75" i="1"/>
  <c r="I75" i="1" s="1"/>
  <c r="G76" i="1"/>
  <c r="I76" i="1" s="1"/>
  <c r="G77" i="1"/>
  <c r="I77" i="1" s="1"/>
  <c r="G78" i="1"/>
  <c r="I78" i="1" s="1"/>
  <c r="G79" i="1"/>
  <c r="I79" i="1" s="1"/>
  <c r="G80" i="1"/>
  <c r="I80" i="1" s="1"/>
  <c r="G81" i="1"/>
  <c r="I81" i="1" s="1"/>
  <c r="G82" i="1"/>
  <c r="I82" i="1" s="1"/>
  <c r="G83" i="1"/>
  <c r="I83" i="1" s="1"/>
  <c r="G84" i="1"/>
  <c r="I84" i="1" s="1"/>
  <c r="G85" i="1"/>
  <c r="I85" i="1" s="1"/>
  <c r="G86" i="1"/>
  <c r="I86" i="1" s="1"/>
  <c r="G87" i="1"/>
  <c r="I87" i="1" s="1"/>
  <c r="G88" i="1"/>
  <c r="I88" i="1" s="1"/>
  <c r="G89" i="1"/>
  <c r="I89" i="1" s="1"/>
  <c r="G90" i="1"/>
  <c r="I90" i="1" s="1"/>
  <c r="G91" i="1"/>
  <c r="I91" i="1" s="1"/>
  <c r="G92" i="1"/>
  <c r="I92" i="1" s="1"/>
  <c r="G93" i="1"/>
  <c r="I93" i="1" s="1"/>
  <c r="G94" i="1"/>
  <c r="I94" i="1" s="1"/>
  <c r="G95" i="1"/>
  <c r="I95" i="1" s="1"/>
  <c r="G96" i="1"/>
  <c r="I96" i="1" s="1"/>
  <c r="G97" i="1"/>
  <c r="I97" i="1" s="1"/>
  <c r="G98" i="1"/>
  <c r="I98" i="1" s="1"/>
  <c r="G99" i="1"/>
  <c r="I99" i="1" s="1"/>
  <c r="G100" i="1"/>
  <c r="I100" i="1" s="1"/>
  <c r="G101" i="1"/>
  <c r="I101" i="1" s="1"/>
  <c r="G102" i="1"/>
  <c r="I102" i="1" s="1"/>
  <c r="G103" i="1"/>
  <c r="I103" i="1" s="1"/>
  <c r="G104" i="1"/>
  <c r="I104" i="1" s="1"/>
  <c r="G105" i="1"/>
  <c r="I105" i="1" s="1"/>
  <c r="G106" i="1"/>
  <c r="I106" i="1" s="1"/>
  <c r="G107" i="1"/>
  <c r="I107" i="1" s="1"/>
  <c r="G108" i="1"/>
  <c r="I108" i="1" s="1"/>
  <c r="G109" i="1"/>
  <c r="I109" i="1" s="1"/>
  <c r="G110" i="1"/>
  <c r="I110" i="1" s="1"/>
  <c r="G111" i="1"/>
  <c r="I111" i="1" s="1"/>
  <c r="G112" i="1"/>
  <c r="I112" i="1" s="1"/>
  <c r="G113" i="1"/>
  <c r="I113" i="1" s="1"/>
  <c r="G114" i="1"/>
  <c r="I114" i="1" s="1"/>
  <c r="G115" i="1"/>
  <c r="I115" i="1" s="1"/>
  <c r="G116" i="1"/>
  <c r="I116" i="1" s="1"/>
  <c r="G117" i="1"/>
  <c r="I117" i="1" s="1"/>
  <c r="P118" i="6"/>
  <c r="O118" i="6"/>
  <c r="P117" i="6"/>
  <c r="O117" i="6"/>
  <c r="P116" i="6"/>
  <c r="O116" i="6"/>
  <c r="P115" i="6"/>
  <c r="O115" i="6"/>
  <c r="P114" i="6"/>
  <c r="O114" i="6"/>
  <c r="P113" i="6"/>
  <c r="O113" i="6"/>
  <c r="P124" i="6"/>
  <c r="O124" i="6"/>
  <c r="P123" i="6"/>
  <c r="O123" i="6"/>
  <c r="P122" i="6"/>
  <c r="O122" i="6"/>
  <c r="P121" i="6"/>
  <c r="O121" i="6"/>
  <c r="P120" i="6"/>
  <c r="O120" i="6"/>
  <c r="P119" i="6"/>
  <c r="O119" i="6"/>
  <c r="P130" i="6"/>
  <c r="O130" i="6"/>
  <c r="P129" i="6"/>
  <c r="O129" i="6"/>
  <c r="P128" i="6"/>
  <c r="O128" i="6"/>
  <c r="P127" i="6"/>
  <c r="O127" i="6"/>
  <c r="P126" i="6"/>
  <c r="O126" i="6"/>
  <c r="P125" i="6"/>
  <c r="O125" i="6"/>
  <c r="G3" i="1"/>
  <c r="I3" i="1" s="1"/>
  <c r="G4" i="1"/>
  <c r="I4" i="1" s="1"/>
  <c r="G5" i="1"/>
  <c r="I5" i="1" s="1"/>
  <c r="G25" i="1"/>
  <c r="I25" i="1" s="1"/>
  <c r="G26" i="1"/>
  <c r="I26" i="1" s="1"/>
  <c r="G27" i="1"/>
  <c r="I27" i="1" s="1"/>
  <c r="G28" i="1"/>
  <c r="I28" i="1" s="1"/>
  <c r="G29" i="1"/>
  <c r="I29" i="1" s="1"/>
  <c r="G30" i="1"/>
  <c r="I30" i="1" s="1"/>
  <c r="G31" i="1"/>
  <c r="I31" i="1" s="1"/>
  <c r="G32" i="1"/>
  <c r="I32" i="1" s="1"/>
  <c r="G33" i="1"/>
  <c r="I33" i="1" s="1"/>
  <c r="G2" i="1"/>
  <c r="I2" i="1" s="1"/>
  <c r="P135" i="6"/>
  <c r="O135" i="6"/>
  <c r="P134" i="6"/>
  <c r="O134" i="6"/>
  <c r="P133" i="6"/>
  <c r="O133" i="6"/>
  <c r="P132" i="6"/>
  <c r="O132" i="6"/>
  <c r="P131" i="6"/>
  <c r="O131" i="6"/>
  <c r="P183" i="6"/>
  <c r="O183" i="6"/>
  <c r="P137" i="6"/>
  <c r="O137" i="6"/>
  <c r="P136" i="6"/>
  <c r="O136" i="6"/>
  <c r="P182" i="6"/>
  <c r="O182" i="6"/>
  <c r="P187" i="6"/>
  <c r="O187" i="6"/>
  <c r="P186" i="6"/>
  <c r="O186" i="6"/>
  <c r="P185" i="6"/>
  <c r="O185" i="6"/>
  <c r="P184" i="6"/>
  <c r="O184" i="6"/>
  <c r="P194" i="6"/>
  <c r="O194" i="6"/>
  <c r="P193" i="6"/>
  <c r="O193" i="6"/>
  <c r="P192" i="6"/>
  <c r="O192" i="6"/>
  <c r="P203" i="6"/>
  <c r="O203" i="6"/>
  <c r="P202" i="6"/>
  <c r="O202" i="6"/>
  <c r="P201" i="6"/>
  <c r="O201" i="6"/>
  <c r="P200" i="6"/>
  <c r="O200" i="6"/>
  <c r="P199" i="6"/>
  <c r="O199" i="6"/>
  <c r="P188" i="6"/>
  <c r="O188" i="6"/>
  <c r="O204" i="6" l="1"/>
  <c r="P204" i="6"/>
  <c r="O205" i="6"/>
  <c r="P205" i="6"/>
  <c r="O206" i="6"/>
  <c r="P206" i="6"/>
  <c r="O207" i="6"/>
  <c r="P207" i="6"/>
  <c r="O208" i="6"/>
  <c r="P208" i="6"/>
  <c r="O189" i="6"/>
  <c r="P189" i="6"/>
  <c r="O190" i="6"/>
  <c r="P190" i="6"/>
  <c r="O191" i="6"/>
  <c r="P191" i="6"/>
  <c r="O195" i="6"/>
  <c r="P195" i="6"/>
  <c r="O196" i="6"/>
  <c r="P196" i="6"/>
  <c r="O197" i="6"/>
  <c r="P197" i="6"/>
  <c r="O198" i="6"/>
  <c r="P198" i="6"/>
  <c r="O209" i="6"/>
  <c r="P209" i="6"/>
  <c r="O210" i="6"/>
  <c r="P210" i="6"/>
  <c r="O211" i="6"/>
  <c r="P211" i="6"/>
  <c r="O138" i="6"/>
  <c r="P138" i="6"/>
  <c r="O139" i="6"/>
  <c r="P139" i="6"/>
  <c r="O140" i="6"/>
  <c r="P140" i="6"/>
  <c r="O141" i="6"/>
  <c r="P141" i="6"/>
  <c r="O142" i="6"/>
  <c r="P142" i="6"/>
  <c r="O143" i="6"/>
  <c r="P143" i="6"/>
  <c r="O144" i="6"/>
  <c r="P144" i="6"/>
  <c r="O145" i="6"/>
  <c r="P145" i="6"/>
  <c r="O146" i="6"/>
  <c r="P146" i="6"/>
  <c r="O212" i="6"/>
  <c r="P212" i="6"/>
  <c r="O213" i="6"/>
  <c r="P213" i="6"/>
  <c r="O214" i="6"/>
  <c r="P214" i="6"/>
  <c r="O215" i="6"/>
  <c r="P215" i="6"/>
  <c r="O216" i="6"/>
  <c r="P216" i="6"/>
  <c r="O217" i="6"/>
  <c r="P217" i="6"/>
  <c r="O218" i="6"/>
  <c r="P218" i="6"/>
  <c r="O219" i="6"/>
  <c r="P219" i="6"/>
  <c r="O220" i="6"/>
  <c r="P220" i="6"/>
  <c r="O221" i="6"/>
  <c r="P221" i="6"/>
  <c r="O222" i="6"/>
  <c r="P222" i="6"/>
  <c r="O223" i="6"/>
  <c r="P223" i="6"/>
  <c r="O224" i="6"/>
  <c r="P224" i="6"/>
  <c r="O225" i="6"/>
  <c r="P225" i="6"/>
  <c r="O226" i="6"/>
  <c r="P226" i="6"/>
  <c r="O227" i="6"/>
  <c r="P227" i="6"/>
  <c r="O228" i="6"/>
  <c r="P228" i="6"/>
  <c r="O229" i="6"/>
  <c r="P229" i="6"/>
  <c r="O230" i="6"/>
  <c r="P230" i="6"/>
  <c r="O231" i="6"/>
  <c r="P231" i="6"/>
  <c r="O232" i="6"/>
  <c r="P232" i="6"/>
  <c r="O233" i="6"/>
  <c r="P233" i="6"/>
  <c r="O234" i="6"/>
  <c r="P234" i="6"/>
  <c r="O235" i="6"/>
  <c r="P235" i="6"/>
  <c r="O236" i="6"/>
  <c r="P236" i="6"/>
  <c r="O237" i="6"/>
  <c r="P237" i="6"/>
  <c r="O238" i="6"/>
  <c r="P238" i="6"/>
  <c r="G1" i="1" l="1"/>
  <c r="H3" i="2" l="1"/>
  <c r="D3" i="2"/>
</calcChain>
</file>

<file path=xl/sharedStrings.xml><?xml version="1.0" encoding="utf-8"?>
<sst xmlns="http://schemas.openxmlformats.org/spreadsheetml/2006/main" count="7290" uniqueCount="1956">
  <si>
    <t>PROFILE</t>
  </si>
  <si>
    <t>SPEC</t>
  </si>
  <si>
    <t>PCS WT ( KG )</t>
  </si>
  <si>
    <t>QTY</t>
  </si>
  <si>
    <t>Section Nesting Results</t>
  </si>
  <si>
    <t>MACHINE</t>
  </si>
  <si>
    <t>CUTTING SHEET</t>
  </si>
  <si>
    <t>TOTAL QTY MARKING :</t>
  </si>
  <si>
    <t>FABRICATION JOB</t>
  </si>
  <si>
    <t>Bar Nes</t>
  </si>
  <si>
    <t>Profile</t>
  </si>
  <si>
    <t>Spec</t>
  </si>
  <si>
    <t>Waste [MM]</t>
  </si>
  <si>
    <t>No.</t>
  </si>
  <si>
    <t>Qty [Pcs]</t>
  </si>
  <si>
    <t>Marking</t>
  </si>
  <si>
    <t>Tot Qty [Pcs]</t>
  </si>
  <si>
    <t>P. MARK [MM]</t>
  </si>
  <si>
    <t>Assembly</t>
  </si>
  <si>
    <t>Weight [KG]</t>
  </si>
  <si>
    <t>CEK</t>
  </si>
  <si>
    <t xml:space="preserve">: </t>
  </si>
  <si>
    <t>: CUTTING WHEEL</t>
  </si>
  <si>
    <t>MARKING</t>
  </si>
  <si>
    <t>TOTAL QTY PIPE :</t>
  </si>
  <si>
    <t>DATE</t>
  </si>
  <si>
    <t xml:space="preserve">IDENT CODE </t>
  </si>
  <si>
    <t>SPESIFICATION MATERIAL</t>
  </si>
  <si>
    <t>IDENT CODE</t>
  </si>
  <si>
    <t>MIS NO.</t>
  </si>
  <si>
    <t>NESTING No.</t>
  </si>
  <si>
    <t>CONSTRUCTION :</t>
  </si>
  <si>
    <t>WAREHOUSE :</t>
  </si>
  <si>
    <t/>
  </si>
  <si>
    <t>MM</t>
  </si>
  <si>
    <t>A</t>
  </si>
  <si>
    <t>C</t>
  </si>
  <si>
    <t>G</t>
  </si>
  <si>
    <t>INCH</t>
  </si>
  <si>
    <t>M</t>
  </si>
  <si>
    <t>QTY MARKING :</t>
  </si>
  <si>
    <t>PIPE [MM]</t>
  </si>
  <si>
    <t>: 2023.02.09</t>
  </si>
  <si>
    <t>: M191090685</t>
  </si>
  <si>
    <t>: 40001</t>
  </si>
  <si>
    <t>: HINE-II-0001</t>
  </si>
  <si>
    <t>PIPE, SIZE : 6", CS A106-B SMLS BE B36.10M , S-STD</t>
  </si>
  <si>
    <t>: M191090737</t>
  </si>
  <si>
    <t>: HINE-II-0002</t>
  </si>
  <si>
    <t>PIPE, SIZE : 8", CS A106-B SMLS BE B36.10M , S-STD</t>
  </si>
  <si>
    <t>: M192381274</t>
  </si>
  <si>
    <t>: HINE-II-0003</t>
  </si>
  <si>
    <t>PIPE, SIZE : 6", CS A106-B SMLS BE B36.10M , S-XS</t>
  </si>
  <si>
    <t>: M194129309</t>
  </si>
  <si>
    <t>: HINE-II-0004</t>
  </si>
  <si>
    <t>PIPE, SIZE : 4", CS A106-B SMLS BE B36.10M , S-XS</t>
  </si>
  <si>
    <t>: M197403513</t>
  </si>
  <si>
    <t>: HINE-II-0005</t>
  </si>
  <si>
    <t>: PIPING HINE CILEGON</t>
  </si>
  <si>
    <t>PIPE, SIZE : 4", CS A106-B SMLS BE B36.10M , S-120</t>
  </si>
  <si>
    <t>&lt;3&gt;_1R71-QO-20029-02-2</t>
  </si>
  <si>
    <t>&lt;8&gt;_1R71-QO-20027-05-4</t>
  </si>
  <si>
    <t>: 2023.02.25</t>
  </si>
  <si>
    <t>: HINE-II-0006</t>
  </si>
  <si>
    <t>: 40001 &amp; 40002</t>
  </si>
  <si>
    <t>: 2023.03.01</t>
  </si>
  <si>
    <t>PIPE, SIZE : 8", CS A106-B SMLS BE B36.10M , S-XS</t>
  </si>
  <si>
    <t>: M192381325</t>
  </si>
  <si>
    <t>PIPE, SIZE : 8", LTCS A333-6 SMLS BE B36.10M , S-STD</t>
  </si>
  <si>
    <t>: M192657115</t>
  </si>
  <si>
    <t>: PIPING HEIN CILEGON</t>
  </si>
  <si>
    <t>HEIN-III-0007</t>
  </si>
  <si>
    <t>HEIN-III-0008</t>
  </si>
  <si>
    <t>HEIN-III-0009</t>
  </si>
  <si>
    <t>HEIN-III-0010</t>
  </si>
  <si>
    <t>&lt;1&gt;_1R31-QW-30002-02-1</t>
  </si>
  <si>
    <t>&lt;8&gt;_1R31-QW-20004-02-2</t>
  </si>
  <si>
    <t>&lt;7&gt;_1R31-QW-20004-02-2</t>
  </si>
  <si>
    <t>&lt;2&gt;_1R31-QW-30002-02-1</t>
  </si>
  <si>
    <t>&lt;6&gt;_1R71-BFW-90022-01-3</t>
  </si>
  <si>
    <t>&lt;5&gt;_1R71-BFW-90022-01-2</t>
  </si>
  <si>
    <t>&lt;4&gt;_1R71-BFW-90022-01-1</t>
  </si>
  <si>
    <t>&lt;2&gt;_1R71-BFW-90002-02-2</t>
  </si>
  <si>
    <t>&lt;5&gt;_1R31-HS-90015-01-4</t>
  </si>
  <si>
    <t>&lt;5&gt;_1R31-QW-30002-01-3</t>
  </si>
  <si>
    <t>&lt;2&gt;_1R31-QW-20012-01-1</t>
  </si>
  <si>
    <t>&lt;6&gt;_1R31-QW-30002-01-3</t>
  </si>
  <si>
    <t>&lt;1&gt;_1R71-BFW-90002-02-1</t>
  </si>
  <si>
    <t>&lt;4&gt;_1R71-BFW-90002-02-4</t>
  </si>
  <si>
    <t>&lt;3&gt;_1R31-HS-90015-01-2</t>
  </si>
  <si>
    <t>&lt;2&gt;_1R31-HS-90015-01-1</t>
  </si>
  <si>
    <t>&lt;1&gt;_1R31-QW-20012-01-1</t>
  </si>
  <si>
    <t>&lt;2&gt;_1R71-BFW-90002-03-1</t>
  </si>
  <si>
    <t>&lt;1&gt;_1R71-BFW-90002-03-1</t>
  </si>
  <si>
    <t>&lt;3&gt;_1R71-BFW-90002-02-3</t>
  </si>
  <si>
    <t>&lt;1&gt;_1R31-HS-90015-01-1</t>
  </si>
  <si>
    <t>&lt;6&gt;_1R31-HS-90015-01-4</t>
  </si>
  <si>
    <t>&lt;5&gt;_1R71-BFW-90002-02-5</t>
  </si>
  <si>
    <t>&lt;4&gt;_1R31-QW-30002-01-2</t>
  </si>
  <si>
    <t>&lt;5&gt;_1R31-PRN-60001-01-3</t>
  </si>
  <si>
    <t>&lt;9&gt;_1R31-WF-10009-01-6</t>
  </si>
  <si>
    <t>&lt;4&gt;_1R31-PRN-60001-01-3</t>
  </si>
  <si>
    <t>&lt;8&gt;_1R31-WF-10009-01-6</t>
  </si>
  <si>
    <t>&lt;1&gt;_1R71-CWR-90015-01-1</t>
  </si>
  <si>
    <t>&lt;1&gt;_1R71-LSC-90007-01-1</t>
  </si>
  <si>
    <t>&lt;1&gt;_1R71-P-30192-01-1</t>
  </si>
  <si>
    <t>&lt;1&gt;_1R71-PRN-60002-01-1</t>
  </si>
  <si>
    <t>&lt;4&gt;_1R71-P-30192-02-1</t>
  </si>
  <si>
    <t>&lt;6&gt;_1R71-CWR-90015-01-2</t>
  </si>
  <si>
    <t>&lt;6&gt;_1R71-PRN-60002-04-1</t>
  </si>
  <si>
    <t>&lt;2&gt;_1R31-ET-40001-01-1</t>
  </si>
  <si>
    <t>&lt;1&gt;_1R71-QO-20029-02-1</t>
  </si>
  <si>
    <t>&lt;1&gt;_1R31-PRN-60001-01-1</t>
  </si>
  <si>
    <t>&lt;2&gt;_1R31-PRN-60001-01-1</t>
  </si>
  <si>
    <t>&lt;5&gt;_1R31-WF-10009-01-4</t>
  </si>
  <si>
    <t>&lt;5&gt;_1R71-QO-20029-01-3</t>
  </si>
  <si>
    <t>&lt;1&gt;_1R71-WW-90001-01-1</t>
  </si>
  <si>
    <t>&lt;2&gt;_1R71-QO-20029-02-2</t>
  </si>
  <si>
    <t>&lt;1&gt;_1R31-WF-30045-07-1</t>
  </si>
  <si>
    <t>&lt;4&gt;_1R71-PRN-60001-03-1</t>
  </si>
  <si>
    <t>&lt;1&gt;_1R31-RG-30008-01-1</t>
  </si>
  <si>
    <t>&lt;3&gt;_1R31-WF-30045-07-2</t>
  </si>
  <si>
    <t>&lt;6&gt;_1R31-WF-10009-02-3</t>
  </si>
  <si>
    <t>&lt;1&gt;_1R31-ET-40001-01-1</t>
  </si>
  <si>
    <t>&lt;7&gt;_1R71-QO-20027-05-4</t>
  </si>
  <si>
    <t>&lt;7&gt;_1R71-QO-20029-04-4</t>
  </si>
  <si>
    <t>&lt;6&gt;_1R31-WF-10009-01-4</t>
  </si>
  <si>
    <t>&lt;5&gt;_1R71-QO-20029-04-3</t>
  </si>
  <si>
    <t>&lt;4&gt;_1R31-WF-30045-06-2</t>
  </si>
  <si>
    <t>&lt;7&gt;_1R31-WF-10009-01-5</t>
  </si>
  <si>
    <t>&lt;6&gt;_1R71-QO-20027-05-3</t>
  </si>
  <si>
    <t>&lt;6&gt;_1R71-QO-20029-04-4</t>
  </si>
  <si>
    <t>&lt;5&gt;_1R31-WF-30045-06-2</t>
  </si>
  <si>
    <t>&lt;5&gt;_1R71-QO-20027-05-3</t>
  </si>
  <si>
    <t>&lt;3&gt;_1R71-LSC-90007-02-2</t>
  </si>
  <si>
    <t>&lt;2&gt;_1R31-WF-30045-07-2</t>
  </si>
  <si>
    <t>&lt;4&gt;_1R71-WW-90001-01-1</t>
  </si>
  <si>
    <t>&lt;4&gt;_1R71-QO-20027-03-3</t>
  </si>
  <si>
    <t>&lt;7&gt;_1R71-LSC-90007-01-2</t>
  </si>
  <si>
    <t>&lt;5&gt;_1R71-PRN-60002-04-1</t>
  </si>
  <si>
    <t>&lt;5&gt;_1R71-CWR-90015-01-2</t>
  </si>
  <si>
    <t>&lt;4&gt;_1R71-LSC-90007-02-3</t>
  </si>
  <si>
    <t>&lt;3&gt;_1R71-PRN-60001-03-1</t>
  </si>
  <si>
    <t>&lt;3&gt;_1R71-P-30192-02-1</t>
  </si>
  <si>
    <t>&lt;3&gt;_1R31-PRN-60001-01-2</t>
  </si>
  <si>
    <t>&lt;3&gt;_1R31-ET-40001-01-2</t>
  </si>
  <si>
    <t>&lt;2&gt;_1R71-PRN-60002-01-1</t>
  </si>
  <si>
    <t>&lt;2&gt;_1R71-P-30192-01-1</t>
  </si>
  <si>
    <t>&lt;2&gt;_1R71-LSC-90007-01-1</t>
  </si>
  <si>
    <t>&lt;2&gt;_1R71-CWR-90015-01-1</t>
  </si>
  <si>
    <t>&lt;1&gt;_1R71-WW-90001-02-1</t>
  </si>
  <si>
    <t>&lt;3&gt;_1R71-QO-20027-03-2</t>
  </si>
  <si>
    <t>&lt;5&gt;_1R31-WF-10009-02-3</t>
  </si>
  <si>
    <t>&lt;4&gt;_1R71-P-20015-05-3</t>
  </si>
  <si>
    <t>&lt;2&gt;_1R31-WF-30010-02-2</t>
  </si>
  <si>
    <t>&lt;2&gt;_1R31-WF-30009-01-2</t>
  </si>
  <si>
    <t>&lt;2&gt;_1R31-WF-30010-01-2</t>
  </si>
  <si>
    <t>&lt;2&gt;_1R31-WF-10012-01-2</t>
  </si>
  <si>
    <t>&lt;2&gt;_1R31-WF-30009-02-2</t>
  </si>
  <si>
    <t>&lt;2&gt;_1R31-ET-10001-02-2</t>
  </si>
  <si>
    <t>&lt;1&gt;_1R71-P-20015-01-1</t>
  </si>
  <si>
    <t>&lt;7&gt;_1R71-WW-90006-01-4</t>
  </si>
  <si>
    <t>&lt;5&gt;_1R71-P-30123-01-2</t>
  </si>
  <si>
    <t>FCR</t>
  </si>
  <si>
    <t>HOLD</t>
  </si>
  <si>
    <t>&lt;8&gt;_1R71-PA-90007-01-4_P-051</t>
  </si>
  <si>
    <t>&lt;7&gt;_1R71-FG-30002-01-3_P-070</t>
  </si>
  <si>
    <t>&lt;6&gt;_1R11-CWS-90015-04-1_P-042</t>
  </si>
  <si>
    <t>&lt;5&gt;_1R71-CWS-90015-02-2_P-041</t>
  </si>
  <si>
    <t>&lt;4&gt;_1R71-PA-90007-04-1_P-059</t>
  </si>
  <si>
    <t>&lt;4&gt;_1R71-PA-90007-01-2_P-051</t>
  </si>
  <si>
    <t>&lt;4&gt;_1R71-FG-30002-01-2_P-070</t>
  </si>
  <si>
    <t>&lt;3&gt;_1R71-PA-90007-02-2_0</t>
  </si>
  <si>
    <t>&lt;3&gt;_1R71-FG-30002-02-2_P-071</t>
  </si>
  <si>
    <t>&lt;3&gt;_1R71-ET-40001-02-1_P-050</t>
  </si>
  <si>
    <t>&lt;2&gt;_1R71-WW-90001-05-1_P-048</t>
  </si>
  <si>
    <t>&lt;2&gt;_1R71-PRN-60001-01-1_P-058</t>
  </si>
  <si>
    <t>&lt;2&gt;_1R71-LSC-90007-04-1_0</t>
  </si>
  <si>
    <t>&lt;2&gt;_1R71-ET-40001-01-1_P-049</t>
  </si>
  <si>
    <t>&lt;2&gt;_1R71-CWS-90015-02-1_P-041</t>
  </si>
  <si>
    <t>&lt;2&gt;_1R11-CWR-90015-02-2_P-047</t>
  </si>
  <si>
    <t>&lt;1&gt;_1R71-PA-90007-02-1_0</t>
  </si>
  <si>
    <t>&lt;1&gt;_1R71-CWR-90015-02-1_P-046</t>
  </si>
  <si>
    <t>&lt;9&gt;_1R71-PA-90007-01-4_P-051</t>
  </si>
  <si>
    <t>&lt;2&gt;_1R71-CWS-90015-01-1_P-045</t>
  </si>
  <si>
    <t>&lt;1&gt;_1R71-FG-30002-02-1_P-071</t>
  </si>
  <si>
    <t>&lt;3&gt;_1R71-FG-30002-04-2_P-073</t>
  </si>
  <si>
    <t>&lt;1&gt;_1R71-ET-40001-01-1_P-049</t>
  </si>
  <si>
    <t>&lt;1&gt;_1R71-PRN-60001-01-1_P-058</t>
  </si>
  <si>
    <t>&lt;1&gt;_1R71-PA-90007-01-1_P-051</t>
  </si>
  <si>
    <t>&lt;1&gt;_1R71-CWS-90015-01-1_P-045</t>
  </si>
  <si>
    <t>&lt;2&gt;_1R71-FG-30002-01-1_P-070</t>
  </si>
  <si>
    <t>&lt;2&gt;_1R71-FG-30002-03-2_P-072</t>
  </si>
  <si>
    <t>&lt;4&gt;_1R71-FG-30002-04-3_P-073</t>
  </si>
  <si>
    <t>&lt;6&gt;_1R71-CWS-90015-02-2_P-041</t>
  </si>
  <si>
    <t>&lt;3&gt;_1R71-CWR-90015-02-1_P-046</t>
  </si>
  <si>
    <t>&lt;1&gt;_1R71-QO-20029-01-1_P-067</t>
  </si>
  <si>
    <t>&lt;2&gt;_1R71-CWR-90015-02-1_P-046</t>
  </si>
  <si>
    <t>&lt;1&gt;_1R71-FG-30002-03-1_P-072</t>
  </si>
  <si>
    <t>&lt;1&gt;_1R71-QO-20027-05-1_P-066</t>
  </si>
  <si>
    <t>&lt;1&gt;_1R71-QO-20029-04-1_P-069</t>
  </si>
  <si>
    <t>&lt;1&gt;_1R71-FG-30002-01-1_P-070</t>
  </si>
  <si>
    <t>&lt;1&gt;_1R71-FG-30002-05-1_P-074</t>
  </si>
  <si>
    <t>&lt;1&gt;_1R71-QO-20027-04-1_P-065</t>
  </si>
  <si>
    <t>&lt;1&gt;_1R71-QO-20029-03-1_P-068</t>
  </si>
  <si>
    <t>&lt;2&gt;_1R71-QO-20027-05-2_P-066</t>
  </si>
  <si>
    <t>&lt;2&gt;_1R71-QO-20029-04-2_P-069</t>
  </si>
  <si>
    <t>&lt;5&gt;_1R71-QO-20029-01-2_P-067</t>
  </si>
  <si>
    <t>&lt;4&gt;_1R71-QO-20027-04-1_P-065</t>
  </si>
  <si>
    <t>&lt;1&gt;_1R71-QO-20027-03-1_P-065</t>
  </si>
  <si>
    <t>&lt;3&gt;_1R71-QO-20029-01-2_P-067</t>
  </si>
  <si>
    <t>&lt;2&gt;_1R71-QO-20027-04-2_P-065</t>
  </si>
  <si>
    <t>&lt;2&gt;_1R71-QO-20029-03-2_P-068</t>
  </si>
  <si>
    <t>&lt;4&gt;_1R71-FG-30002-03-4_P-072</t>
  </si>
  <si>
    <t>&lt;3&gt;_1R71-FG-30002-01-2_P-070</t>
  </si>
  <si>
    <t>&lt;3&gt;_1R71-FG-30002-03-3_P-072</t>
  </si>
  <si>
    <t>&lt;2&gt;_1R71-FG-30002-02-1_P-071</t>
  </si>
  <si>
    <t>&lt;2&gt;_1R71-PA-90007-01-1_P-051</t>
  </si>
  <si>
    <t>&lt;3&gt;_1R71-FG-30002-05-2_P-074</t>
  </si>
  <si>
    <t>&lt;2&gt;_1R71-QO-20029-01-1_P-067</t>
  </si>
  <si>
    <t>&lt;4&gt;_1R71-QO-20027-05-1_P-066</t>
  </si>
  <si>
    <t>&lt;7&gt;_1R11-CWS-90015-04-2_P-042</t>
  </si>
  <si>
    <t>&lt;3&gt;_1R71-QO-20027-05-2_P-066</t>
  </si>
  <si>
    <t>&lt;3&gt;_1R71-QO-20029-04-2_P-069</t>
  </si>
  <si>
    <t>&lt;2&gt;_1R71-QO-20027-03-1_P-065</t>
  </si>
  <si>
    <t>&lt;4&gt;_1R71-QO-20029-01-2_P-067</t>
  </si>
  <si>
    <t>&lt;1&gt;_1R11-CWR-90015-02-1_P-047</t>
  </si>
  <si>
    <t>&lt;1&gt;_1R71-PA-90007-05-1_P-056</t>
  </si>
  <si>
    <t>&lt;2&gt;_1R71-FG-30002-05-1_P-074</t>
  </si>
  <si>
    <t>&lt;4&gt;_1R71-QO-20029-04-1_P-069</t>
  </si>
  <si>
    <t>&lt;8&gt;_1R71-QO-20029-04-5_P-069</t>
  </si>
  <si>
    <t>&lt;3&gt;_1R71-PA-90007-01-2_P-051</t>
  </si>
  <si>
    <t>&lt;4&gt;_1R71-FG-30002-05-3_P-074</t>
  </si>
  <si>
    <t>&lt;4&gt;_1R71-ET-40001-02-1_P-050</t>
  </si>
  <si>
    <t>&lt;1&gt;_1R71-CWS-90015-02-1_P-041</t>
  </si>
  <si>
    <t>&lt;2&gt;_1R71-PR-60025-01-1_P-057</t>
  </si>
  <si>
    <t>&lt;6&gt;_1R71-PR-50003-02-1_P-044</t>
  </si>
  <si>
    <t>&lt;4&gt;_1R71-PR-60025-01-2_P-057</t>
  </si>
  <si>
    <t>&lt;1&gt;_1R71-PR-40004-01-1_0</t>
  </si>
  <si>
    <t>&lt;1&gt;_1R71-PR-50003-01-1_P-043</t>
  </si>
  <si>
    <t>&lt;1&gt;_1R71-PR-60025-01-1_P-057</t>
  </si>
  <si>
    <t>&lt;5&gt;_1R71-PR-50003-02-1_P-044</t>
  </si>
  <si>
    <t>&lt;3&gt;_1R71-PR-60025-01-2_P-057</t>
  </si>
  <si>
    <t>&lt;2&gt;_1R71-PR-50003-01-1_P-043</t>
  </si>
  <si>
    <t>&lt;2&gt;_1R71-PR-40004-01-1_0</t>
  </si>
  <si>
    <t>&lt;1&gt;_1R71-LPG-10008-02-1_P-061</t>
  </si>
  <si>
    <t>&lt;1&gt;_1R71-LPG-10001-02-1_P-060</t>
  </si>
  <si>
    <t>&lt;2&gt;_1R71-HS-90006-03-1_P-052</t>
  </si>
  <si>
    <t>&lt;2&gt;_1R71-HS-90006-04-1_P-053</t>
  </si>
  <si>
    <t>&lt;2&gt;_1R71-HS-90006-05-1_P-054</t>
  </si>
  <si>
    <t>&lt;2&gt;_1R71-HS-90006-06-1_P-055</t>
  </si>
  <si>
    <t>&lt;1&gt;_1R71-HS-90006-04-1_P-053</t>
  </si>
  <si>
    <t>&lt;1&gt;_1R71-HS-90006-05-1_P-054</t>
  </si>
  <si>
    <t>&lt;1&gt;_1R71-HS-90006-06-1_P-055</t>
  </si>
  <si>
    <t>&lt;1&gt;_1R71-HS-90006-03-1_P-052</t>
  </si>
  <si>
    <t>cancel</t>
  </si>
  <si>
    <t>&lt;1&gt;_1R71-QW-60004-01-1_EKO</t>
  </si>
  <si>
    <t>&lt;7&gt;_1R71-QW-20007-02-1_EKO</t>
  </si>
  <si>
    <t>&lt;2&gt;_1R71-QW-60004-01-1_EKO</t>
  </si>
  <si>
    <t>&lt;8&gt;_1R71-QW-20007-02-1_EKO</t>
  </si>
  <si>
    <t xml:space="preserve">:  </t>
  </si>
  <si>
    <t>&lt;1&gt;_1R81-CWR-80014-01-1_EKO</t>
  </si>
  <si>
    <t>&lt;4&gt;_1R81-CWR-80001-02-2_EKO</t>
  </si>
  <si>
    <t>&lt;1&gt;_1R71-P-20040-01-1_EKO</t>
  </si>
  <si>
    <t>&lt;1&gt;_1R71-P-20039-01-1_EKO</t>
  </si>
  <si>
    <t>&lt;1&gt;_1R71-P-20032-01-1_EKO</t>
  </si>
  <si>
    <t>&lt;1&gt;_1R71-P-20031-01-1_EKO</t>
  </si>
  <si>
    <t>&lt;1&gt;_1R71-P-20030-01-1_EKO</t>
  </si>
  <si>
    <t>&lt;1&gt;_1R71-P-20029-01-1_EKO</t>
  </si>
  <si>
    <t>&lt;1&gt;_1R71-P-20028-01-1_EKO</t>
  </si>
  <si>
    <t>&lt;1&gt;_1R71-P-20027-01-1_EKO</t>
  </si>
  <si>
    <t>&lt;1&gt;_1R71-P-20026-01-1_EKO</t>
  </si>
  <si>
    <t>&lt;1&gt;_1R71-P-20025-01-1_EKO</t>
  </si>
  <si>
    <t>&lt;1&gt;_1R71-P-20024-01-1_EKO</t>
  </si>
  <si>
    <t>&lt;1&gt;_1R71-P-20023-01-1_EKO</t>
  </si>
  <si>
    <t>&lt;1&gt;_1R71-P-20022-01-1_EKO</t>
  </si>
  <si>
    <t>&lt;1&gt;_1R71-P-20021-01-1_EKO</t>
  </si>
  <si>
    <t>&lt;1&gt;_1R71-P-20020-01-1_EKO</t>
  </si>
  <si>
    <t>&lt;1&gt;_1R71-P-20019-01-1_EKO</t>
  </si>
  <si>
    <t>&lt;1&gt;_1R71-P-20018-01-1_EKO</t>
  </si>
  <si>
    <t>&lt;2&gt;_1R71-P-20017-01-2_EKO</t>
  </si>
  <si>
    <t>&lt;1&gt;_1R71-P-20017-01-1_EKO</t>
  </si>
  <si>
    <t>&lt;2&gt;_1R71-P-20010-01-2_EKO</t>
  </si>
  <si>
    <t>&lt;1&gt;_1R71-P-20010-01-1_EKO</t>
  </si>
  <si>
    <t>&lt;4&gt;_1R71-MS-90008-01-4_EKO</t>
  </si>
  <si>
    <t>&lt;2&gt;_1R31-P-30067-02-2_EKO</t>
  </si>
  <si>
    <t>&lt;6&gt;_1R31-N-90037-01-4_EKO</t>
  </si>
  <si>
    <t>&lt;7&gt;_1R31-N-30010-01-6_EKO</t>
  </si>
  <si>
    <t>&lt;1&gt;_1R31-LSC-90013-03-1_EKO</t>
  </si>
  <si>
    <t>&lt;3&gt;_1R31-ET-10001-02-3_EKO</t>
  </si>
  <si>
    <t>: M191090337</t>
  </si>
  <si>
    <t>: 2023.03.08</t>
  </si>
  <si>
    <t>: HEIN-III-0011</t>
  </si>
  <si>
    <t>&lt;1&gt;_1R71-LS-90026-02-1_EKO</t>
  </si>
  <si>
    <t>&lt;2&gt;_1R71-WF-20053-01-2_EKO</t>
  </si>
  <si>
    <t>&lt;2&gt;_1R71-WF-20052-01-2_EKO</t>
  </si>
  <si>
    <t>&lt;2&gt;_1R71-WF-20051-01-2_EKO</t>
  </si>
  <si>
    <t>&lt;2&gt;_1R71-WF-20050-01-2_EKO</t>
  </si>
  <si>
    <t>&lt;2&gt;_1R71-WF-20049-01-2_EKO</t>
  </si>
  <si>
    <t>&lt;2&gt;_1R71-WF-20048-01-2_EKO</t>
  </si>
  <si>
    <t>&lt;2&gt;_1R71-WF-20047-01-2_EKO</t>
  </si>
  <si>
    <t>&lt;2&gt;_1R71-WF-20046-01-2_EKO</t>
  </si>
  <si>
    <t>&lt;2&gt;_1R71-WF-20045-01-2_EKO</t>
  </si>
  <si>
    <t>&lt;2&gt;_1R71-WF-20044-01-2_EKO</t>
  </si>
  <si>
    <t>&lt;2&gt;_1R71-WF-20043-01-2_EKO</t>
  </si>
  <si>
    <t>&lt;2&gt;_1R71-WF-20042-01-2_EKO</t>
  </si>
  <si>
    <t>&lt;2&gt;_1R71-WF-20041-01-2_EKO</t>
  </si>
  <si>
    <t>&lt;2&gt;_1R71-WF-20040-01-2_EKO</t>
  </si>
  <si>
    <t>&lt;2&gt;_1R71-WF-20039-01-2_EKO</t>
  </si>
  <si>
    <t>&lt;2&gt;_1R71-WF-20038-01-2_EKO</t>
  </si>
  <si>
    <t>&lt;2&gt;_1R71-WF-20037-01-2_EKO</t>
  </si>
  <si>
    <t>&lt;2&gt;_1R71-WF-20036-01-2_EKO</t>
  </si>
  <si>
    <t>&lt;2&gt;_1R71-WF-20009-01-2_EKO</t>
  </si>
  <si>
    <t>&lt;1&gt;_1R71-N-90001-04-1_EKO</t>
  </si>
  <si>
    <t>&lt;6&gt;_1R71-N-90001-03-5_EKO</t>
  </si>
  <si>
    <t>&lt;4&gt;_1R71-N-90001-03-4_EKO</t>
  </si>
  <si>
    <t>&lt;2&gt;_1R71-N-90001-01-2_EKO</t>
  </si>
  <si>
    <t>&lt;1&gt;_1R71-N-90001-01-1_EKO</t>
  </si>
  <si>
    <t>&lt;3&gt;_1R71-LS-90026-02-3_EKO</t>
  </si>
  <si>
    <t>&lt;2&gt;_1R31-WF-30023-02-2_EKO</t>
  </si>
  <si>
    <t>&lt;3&gt;_1R31-WF-30023-01-2_EKO</t>
  </si>
  <si>
    <t>&lt;4&gt;_1R31-RG-30006-01-3_EKO</t>
  </si>
  <si>
    <t>&lt;3&gt;_1R31-RG-30006-01-2_EKO</t>
  </si>
  <si>
    <t>&lt;4&gt;_1R31-RG-30003-02-3_EKO</t>
  </si>
  <si>
    <t>&lt;3&gt;_1R31-RG-30003-02-2_EKO</t>
  </si>
  <si>
    <t>&lt;5&gt;_1R31-P-30069-06-2_EKO</t>
  </si>
  <si>
    <t>&lt;1&gt;_1R31-P-30069-06-1_EKO</t>
  </si>
  <si>
    <t>&lt;2&gt;_1R31-P-30069-05-2_EKO</t>
  </si>
  <si>
    <t>&lt;1&gt;_1R31-P-30069-05-1_EKO</t>
  </si>
  <si>
    <t>&lt;2&gt;_1R31-P-30069-04-2_EKO</t>
  </si>
  <si>
    <t>&lt;1&gt;_1R31-P-30069-04-1_EKO</t>
  </si>
  <si>
    <t>&lt;2&gt;_1R31-P-30069-03-2_EKO</t>
  </si>
  <si>
    <t>&lt;1&gt;_1R31-P-30069-03-1_EKO</t>
  </si>
  <si>
    <t>&lt;2&gt;_1R31-P-30069-02-2_EKO</t>
  </si>
  <si>
    <t>&lt;1&gt;_1R31-P-30069-02-1_EKO</t>
  </si>
  <si>
    <t>&lt;3&gt;_1R31-FG-30024-01-3_EKO</t>
  </si>
  <si>
    <t>&lt;2&gt;_1R31-FG-30024-01-2_EKO</t>
  </si>
  <si>
    <t>&lt;5&gt;_1R71-LS-90026-02-1_EKO</t>
  </si>
  <si>
    <t>: M191090397</t>
  </si>
  <si>
    <t>: HEIN-III-0012</t>
  </si>
  <si>
    <t>: SHOP(KKS)-3</t>
  </si>
  <si>
    <t>&lt;1&gt;_1R81-CWS-80001-01-1_EKO</t>
  </si>
  <si>
    <t>&lt;5&gt;_1R81-CWR-80001-03-2_EKO</t>
  </si>
  <si>
    <t>&lt;5&gt;_1R81-CWR-80001-02-2_EKO</t>
  </si>
  <si>
    <t>&lt;3&gt;_1R71-VOC-90001-04-3_EKO</t>
  </si>
  <si>
    <t>&lt;2&gt;_1R71-VOC-90001-04-2_EKO</t>
  </si>
  <si>
    <t>&lt;2&gt;_1R71-P-30141-02-2_EKO</t>
  </si>
  <si>
    <t>&lt;1&gt;_1R71-P-30141-02-1_EKO</t>
  </si>
  <si>
    <t>&lt;1&gt;_1R71-OG-20014-01-1_EKO</t>
  </si>
  <si>
    <t>&lt;2&gt;_1R71-NAP-10001-01-2_EKO</t>
  </si>
  <si>
    <t>&lt;2&gt;_1R71-MS-90007-03-2_EKO</t>
  </si>
  <si>
    <t>&lt;4&gt;_1R71-LLS-90002-01-3_EKO</t>
  </si>
  <si>
    <t>&lt;4&gt;_1R31-WF-30022-01-5_EKO</t>
  </si>
  <si>
    <t>&lt;2&gt;_1R31-WF-30022-01-2_EKO</t>
  </si>
  <si>
    <t>&lt;1&gt;_1R31-LS-90013-02-1_EKO</t>
  </si>
  <si>
    <t>: M191090455</t>
  </si>
  <si>
    <t>: HEIN-III-0013</t>
  </si>
  <si>
    <t>&lt;1&gt;_1R31-NAS-30012-01-1_EKO</t>
  </si>
  <si>
    <t>&lt;2&gt;_1R81-FO-80013-01-2_EKO</t>
  </si>
  <si>
    <t>&lt;1&gt;_1R81-FO-80013-01-1_EKO</t>
  </si>
  <si>
    <t>&lt;4&gt;_1R71-WF-90004-01-3_EKO</t>
  </si>
  <si>
    <t>&lt;3&gt;_1R71-WF-90004-01-2_EKO</t>
  </si>
  <si>
    <t>&lt;2&gt;_1R71-PW-90001-02-1_EKO</t>
  </si>
  <si>
    <t>&lt;1&gt;_1R71-PW-90001-01-1_EKO</t>
  </si>
  <si>
    <t>&lt;1&gt;_1R71-P-20013-01-1_EKO</t>
  </si>
  <si>
    <t>&lt;5&gt;_1R71-P-10008-05-1_EKO</t>
  </si>
  <si>
    <t>&lt;2&gt;_1R71-OG-30001-06-2_EKO</t>
  </si>
  <si>
    <t>&lt;1&gt;_1R71-OG-30001-06-1_EKO</t>
  </si>
  <si>
    <t>&lt;3&gt;_1R71-OG-30001-05-2_EKO</t>
  </si>
  <si>
    <t>&lt;2&gt;_1R71-NAS-30012-06-2_EKO</t>
  </si>
  <si>
    <t>&lt;1&gt;_1R71-NAS-30012-06-1_EKO</t>
  </si>
  <si>
    <t>&lt;1&gt;_1R71-N-90038-02-1_EKO</t>
  </si>
  <si>
    <t>&lt;5&gt;_1R71-N-90038-01-3_EKO</t>
  </si>
  <si>
    <t>&lt;1&gt;_1R71-N-20001-02-1_EKO</t>
  </si>
  <si>
    <t>&lt;1&gt;_1R71-ME-90009-02-1_EKO</t>
  </si>
  <si>
    <t>&lt;4&gt;_1R71-ME-90009-01-2_EKO</t>
  </si>
  <si>
    <t>&lt;2&gt;_1R31-WF-30087-02-2_EKO</t>
  </si>
  <si>
    <t>&lt;3&gt;_1R31-WF-30087-01-3_EKO</t>
  </si>
  <si>
    <t>&lt;1&gt;_1R31-WF-30087-01-2_EKO</t>
  </si>
  <si>
    <t>&lt;2&gt;_1R31-WF-30053-02-2_EKO</t>
  </si>
  <si>
    <t>&lt;2&gt;_1R31-WF-30053-01-2_EKO</t>
  </si>
  <si>
    <t>&lt;2&gt;_1R31-WF-30052-02-2_EKO</t>
  </si>
  <si>
    <t>&lt;2&gt;_1R31-WF-30052-01-2_EKO</t>
  </si>
  <si>
    <t>&lt;2&gt;_1R31-WF-30020-01-2_EKO</t>
  </si>
  <si>
    <t>&lt;2&gt;_1R31-WF-30017-01-2_EKO</t>
  </si>
  <si>
    <t>&lt;2&gt;_1R31-P-30138-02-2_EKO</t>
  </si>
  <si>
    <t>&lt;4&gt;_1R31-P-30138-01-3_EKO</t>
  </si>
  <si>
    <t>&lt;1&gt;_1R31-P-30135-02-1_EKO</t>
  </si>
  <si>
    <t>&lt;1&gt;_1R31-P-30034-01-2_EKO</t>
  </si>
  <si>
    <t>&lt;1&gt;_1R31-P-10001-02-1_EKO</t>
  </si>
  <si>
    <t>&lt;4&gt;_1R31-P-10001-01-3_EKO</t>
  </si>
  <si>
    <t>&lt;2&gt;_1R31-NAS-30008-02-2_EKO</t>
  </si>
  <si>
    <t>&lt;6&gt;_1R31-NAS-30008-01-5_EKO</t>
  </si>
  <si>
    <t>&lt;4&gt;_1R31-NAS-30008-01-3_EKO</t>
  </si>
  <si>
    <t>&lt;3&gt;_1R31-NAS-30008-01-2_EKO</t>
  </si>
  <si>
    <t>&lt;2&gt;_1R31-HSC-90015-02-2_EKO</t>
  </si>
  <si>
    <t>&lt;7&gt;_1R31-BFW-30004-01-3_EKO</t>
  </si>
  <si>
    <t>&lt;2&gt;_1R31-BFW-30004-01-2_EKO</t>
  </si>
  <si>
    <t>&lt;1&gt;_1R11-LS-17001-02-1_EKO</t>
  </si>
  <si>
    <t>&lt;6&gt;_1R11-LS-17001-01-4_EKO</t>
  </si>
  <si>
    <t>&lt;1&gt;_1R11-LS-16001-02-1_EKO</t>
  </si>
  <si>
    <t>&lt;6&gt;_1R11-LS-16001-01-4_EKO</t>
  </si>
  <si>
    <t>&lt;1&gt;_1R11-LS-15001-02-1_EKO</t>
  </si>
  <si>
    <t>&lt;7&gt;_1R11-LS-15001-01-4_EKO</t>
  </si>
  <si>
    <t>&lt;1&gt;_1R11-LS-14001-02-1_EKO</t>
  </si>
  <si>
    <t>&lt;6&gt;_1R11-LS-14001-01-4_EKO</t>
  </si>
  <si>
    <t>&lt;1&gt;_1R11-LS-13001-02-1_EKO</t>
  </si>
  <si>
    <t>&lt;7&gt;_1R11-LS-13001-01-4_EKO</t>
  </si>
  <si>
    <t>&lt;1&gt;_1R11-LS-12001-02-1_EKO</t>
  </si>
  <si>
    <t>&lt;7&gt;_1R11-LS-12001-01-4_EKO</t>
  </si>
  <si>
    <t>&lt;1&gt;_1R11-LS-11001-02-1_EKO</t>
  </si>
  <si>
    <t>&lt;6&gt;_1R11-LS-11001-01-3_EKO</t>
  </si>
  <si>
    <t>&lt;6&gt;_1R31-NAS-30012-01-1_EKO</t>
  </si>
  <si>
    <t>&lt;3&gt;_1R71-PW-90001-02-1_EKO</t>
  </si>
  <si>
    <t>&lt;9&gt;_1R71-N-90038-02-1_EKO</t>
  </si>
  <si>
    <t>&lt;7&gt;_1R71-N-90038-01-3_EKO</t>
  </si>
  <si>
    <t>&lt;2&gt;_1R11-LS-17001-02-1_EKO</t>
  </si>
  <si>
    <t>&lt;2&gt;_1R11-LS-16001-02-1_EKO</t>
  </si>
  <si>
    <t>&lt;2&gt;_1R11-LS-15001-02-1_EKO</t>
  </si>
  <si>
    <t>&lt;2&gt;_1R11-LS-14001-02-1_EKO</t>
  </si>
  <si>
    <t>&lt;2&gt;_1R11-LS-13001-02-1_EKO</t>
  </si>
  <si>
    <t>&lt;2&gt;_1R11-LS-12001-02-1_EKO</t>
  </si>
  <si>
    <t>&lt;2&gt;_1R11-LS-11001-02-1_EKO</t>
  </si>
  <si>
    <t>: M191090626</t>
  </si>
  <si>
    <t>: HEIN-III-0014</t>
  </si>
  <si>
    <t>&lt;1&gt;_1R71-P-30181-02-1_EKO</t>
  </si>
  <si>
    <t>&lt;3&gt;_1R81-FG-30004-05-2_EKO</t>
  </si>
  <si>
    <t>&lt;2&gt;_1R71-WF-90011-02-2_EKO</t>
  </si>
  <si>
    <t>&lt;2&gt;_1R71-WF-90011-01-2_EKO</t>
  </si>
  <si>
    <t>&lt;2&gt;_1R71-WF-90002-03-2_EKO</t>
  </si>
  <si>
    <t>&lt;2&gt;_1R71-WF-90002-01-2_EKO</t>
  </si>
  <si>
    <t>&lt;3&gt;_1R71-P-60066-02-2_EKO</t>
  </si>
  <si>
    <t>&lt;2&gt;_1R71-P-60031-01-1_EKO</t>
  </si>
  <si>
    <t>&lt;1&gt;_1R71-P-30181-01-1_EKO</t>
  </si>
  <si>
    <t>&lt;1&gt;_1R71-P-20015-02-1_EKO</t>
  </si>
  <si>
    <t>&lt;1&gt;_1R71-OWS-90007-02-1_EKO</t>
  </si>
  <si>
    <t>&lt;1&gt;_1R71-HSC-90004-01-1_EKO</t>
  </si>
  <si>
    <t>&lt;2&gt;_1R71-H-40003-06-2_EKO</t>
  </si>
  <si>
    <t>&lt;2&gt;_1R31-WF-30008-02-2_EKO</t>
  </si>
  <si>
    <t>&lt;2&gt;_1R31-WF-30008-01-2_EKO</t>
  </si>
  <si>
    <t>&lt;2&gt;_1R31-WF-10012-02-2_EKO</t>
  </si>
  <si>
    <t>&lt;1&gt;_1R31-RG-30007-03-1_EKO</t>
  </si>
  <si>
    <t>&lt;2&gt;_1R31-NAP-10005-02-2_EKO</t>
  </si>
  <si>
    <t>&lt;4&gt;_1R31-NAP-10005-01-3_EKO</t>
  </si>
  <si>
    <t>&lt;1&gt;_1R31-N-90037-02-1_EKO</t>
  </si>
  <si>
    <t>&lt;3&gt;_1R11-CWS-90015-02-3_EKO</t>
  </si>
  <si>
    <t>&lt;2&gt;_1R71-P-20015-02-1_EKO</t>
  </si>
  <si>
    <t>: HEIN-III-0015</t>
  </si>
  <si>
    <t>&lt;1&gt;_1R31-FG-30005-01-1_EKO</t>
  </si>
  <si>
    <t>&lt;1&gt;_1R81-FG-80005-01-1_EKO</t>
  </si>
  <si>
    <t>&lt;4&gt;_1R81-FG-80001-01-3_EKO</t>
  </si>
  <si>
    <t>&lt;2&gt;_1R81-FG-80001-01-2_EKO</t>
  </si>
  <si>
    <t>&lt;1&gt;_1R81-FG-80001-01-1_EKO</t>
  </si>
  <si>
    <t>&lt;4&gt;_1R81-CWS-80008-01-3_EKO</t>
  </si>
  <si>
    <t>&lt;3&gt;_1R81-CWS-80008-01-2_EKO</t>
  </si>
  <si>
    <t>&lt;1&gt;_1R81-CWS-80008-01-1_EKO</t>
  </si>
  <si>
    <t>&lt;2&gt;_1R81-CWS-80001-03-1_EKO</t>
  </si>
  <si>
    <t>&lt;4&gt;_1R81-CWR-80008-02-3_EKO</t>
  </si>
  <si>
    <t>&lt;2&gt;_1R81-CWR-80008-02-2_EKO</t>
  </si>
  <si>
    <t>&lt;1&gt;_1R81-CWR-80008-02-1_EKO</t>
  </si>
  <si>
    <t>&lt;4&gt;_1R81-CWR-80008-01-3_EKO</t>
  </si>
  <si>
    <t>&lt;2&gt;_1R81-CWR-80008-01-2_EKO</t>
  </si>
  <si>
    <t>&lt;1&gt;_1R81-CWR-80008-01-1_EKO</t>
  </si>
  <si>
    <t>&lt;3&gt;_1R81-CWR-80001-02-1_EKO</t>
  </si>
  <si>
    <t>&lt;2&gt;_1R81-CWR-80001-01-2_EKO</t>
  </si>
  <si>
    <t>&lt;1&gt;_1R81-CWR-80001-01-1_EKO</t>
  </si>
  <si>
    <t>&lt;3&gt;_1R71-PA-90007-02-2_EKO</t>
  </si>
  <si>
    <t>&lt;1&gt;_1R71-PA-90007-02-1_EKO</t>
  </si>
  <si>
    <t>&lt;2&gt;_1R71-LSC-90007-04-1_EKO</t>
  </si>
  <si>
    <t>&lt;2&gt;_1R31-WF-10009-02-2_EKO</t>
  </si>
  <si>
    <t>&lt;1&gt;_1R31-WF-10009-02-1_EKO</t>
  </si>
  <si>
    <t>&lt;2&gt;_1R31-WF-10009-01-2_EKO</t>
  </si>
  <si>
    <t>&lt;1&gt;_1R31-WF-10009-01-1_EKO</t>
  </si>
  <si>
    <t>&lt;1&gt;_1R31-RG-30008-02-1_EKO</t>
  </si>
  <si>
    <t>&lt;5&gt;_1R31-RG-30008-01-3_EKO</t>
  </si>
  <si>
    <t>&lt;2&gt;_1R31-RG-30008-01-2_EKO</t>
  </si>
  <si>
    <t>&lt;2&gt;_1R31-LS-90013-02-2_EKO</t>
  </si>
  <si>
    <t>&lt;2&gt;_1R31-FG-30005-02-2_EKO</t>
  </si>
  <si>
    <t>&lt;3&gt;_1R31-FG-30005-01-2_EKO</t>
  </si>
  <si>
    <t>&lt;4&gt;_1R31-ET-40001-01-3_EKO</t>
  </si>
  <si>
    <t>&lt;3&gt;_1R81-FG-80001-01-2_EKO</t>
  </si>
  <si>
    <t>&lt;2&gt;_1R81-CWS-80008-01-1_EKO</t>
  </si>
  <si>
    <t>&lt;3&gt;_1R81-CWS-80001-03-1_EKO</t>
  </si>
  <si>
    <t>&lt;3&gt;_1R81-CWR-80008-02-2_EKO</t>
  </si>
  <si>
    <t>&lt;3&gt;_1R81-CWR-80008-01-2_EKO</t>
  </si>
  <si>
    <t>&lt;3&gt;_1R31-WF-10009-01-2_EKO</t>
  </si>
  <si>
    <t>&lt;3&gt;_1R31-RG-30008-01-2_EKO</t>
  </si>
  <si>
    <t>&lt;2&gt;_1R31-FG-30005-01-1_EKO</t>
  </si>
  <si>
    <t>&lt;4&gt;_1R31-WF-10009-01-2_EKO</t>
  </si>
  <si>
    <t>&lt;4&gt;_1R31-RG-30008-01-2_EKO</t>
  </si>
  <si>
    <t>: HEIN-III-0016</t>
  </si>
  <si>
    <t>&lt;5&gt;_1R71-QW-20013-01-2_EKO</t>
  </si>
  <si>
    <t>&lt;4&gt;_1R71-P-20016-06-3_EKO</t>
  </si>
  <si>
    <t>&lt;2&gt;_1R71-P-20016-06-2_EKO</t>
  </si>
  <si>
    <t>&lt;6&gt;_1R71-P-20016-06-3_EKO</t>
  </si>
  <si>
    <t>: M192380933</t>
  </si>
  <si>
    <t>: HEIN-III-0017</t>
  </si>
  <si>
    <t>&lt;3&gt;_1R71-QW-20012-01-2_EKO</t>
  </si>
  <si>
    <t>&lt;1&gt;_1R71-QW-20012-01-1_EKO</t>
  </si>
  <si>
    <t>&lt;3&gt;_1R71-BFW-90002-01-2_EKO</t>
  </si>
  <si>
    <t>&lt;1&gt;_1R71-BFW-90002-01-1_EKO</t>
  </si>
  <si>
    <t>&lt;7&gt;_1R31-QW-20004-01-3_EKO</t>
  </si>
  <si>
    <t>&lt;5&gt;_1R31-QW-20004-01-2_EKO</t>
  </si>
  <si>
    <t>&lt;1&gt;_1R31-QW-20004-01-1_EKO</t>
  </si>
  <si>
    <t>&lt;1&gt;_1R31-HS-90015-02-1_EKO</t>
  </si>
  <si>
    <t>&lt;1&gt;_1R11-BFW-90002-03-1_EKO</t>
  </si>
  <si>
    <t>&lt;4&gt;_1R11-BFW-90002-02-3_EKO</t>
  </si>
  <si>
    <t>&lt;3&gt;_1R11-BFW-90002-02-2_EKO</t>
  </si>
  <si>
    <t>&lt;1&gt;_1R11-BFW-90002-02-1_EKO</t>
  </si>
  <si>
    <t>&lt;2&gt;_1R71-QW-20012-01-1_EKO</t>
  </si>
  <si>
    <t>&lt;4&gt;_1R71-BFW-90002-01-2_EKO</t>
  </si>
  <si>
    <t>&lt;2&gt;_1R71-BFW-90002-01-1_EKO</t>
  </si>
  <si>
    <t>&lt;8&gt;_1R31-QW-20004-01-3_EKO</t>
  </si>
  <si>
    <t>&lt;6&gt;_1R31-QW-20004-01-2_EKO</t>
  </si>
  <si>
    <t>&lt;2&gt;_1R31-QW-20004-01-1_EKO</t>
  </si>
  <si>
    <t>&lt;2&gt;_1R11-BFW-90002-03-1_EKO</t>
  </si>
  <si>
    <t>&lt;5&gt;_1R11-BFW-90002-02-3_EKO</t>
  </si>
  <si>
    <t>&lt;2&gt;_1R11-BFW-90002-02-1_EKO</t>
  </si>
  <si>
    <t>&lt;3&gt;_1R31-QW-20004-01-1_EKO</t>
  </si>
  <si>
    <t>&lt;4&gt;_1R31-QW-20004-01-1_EKO</t>
  </si>
  <si>
    <t>: HEIN-III-0018</t>
  </si>
  <si>
    <t>&lt;3&gt;_1R81-BFW-80002-02-2_EKO</t>
  </si>
  <si>
    <t>&lt;1&gt;_1R81-BFW-80002-02-1_EKO</t>
  </si>
  <si>
    <t>: HEIN-III-0019</t>
  </si>
  <si>
    <t>&lt;3&gt;_1R71-PL-60044-02-2_EKO</t>
  </si>
  <si>
    <t>&lt;3&gt;_1R71-PL-60016-03-2_EKO</t>
  </si>
  <si>
    <t>&lt;1&gt;_1R71-PL-60016-03-1_EKO</t>
  </si>
  <si>
    <t>&lt;2&gt;_1R71-PL-40001-03-2_EKO</t>
  </si>
  <si>
    <t>&lt;1&gt;_1R71-PL-40001-03-1_EKO</t>
  </si>
  <si>
    <t>&lt;2&gt;_1R71-PL-60016-03-1_EKO</t>
  </si>
  <si>
    <t>: M192657065</t>
  </si>
  <si>
    <t>: HEIN-III-0020</t>
  </si>
  <si>
    <t>&lt;9&gt;_1R31-PR-40004-01-3_EKO</t>
  </si>
  <si>
    <t>&lt;4&gt;_1R31-PR-40004-01-2_EKO</t>
  </si>
  <si>
    <t>&lt;1&gt;_1R31-PR-40004-01-1_EKO</t>
  </si>
  <si>
    <t>&lt;4&gt;_1R31-LPG-10008-01-3_EKO</t>
  </si>
  <si>
    <t>&lt;3&gt;_1R31-LPG-10008-01-2_EKO</t>
  </si>
  <si>
    <t>&lt;1&gt;_1R31-LPG-10008-01-1_EKO</t>
  </si>
  <si>
    <t>&lt;1&gt;_1R31-LPG-10006-03-1_EKO</t>
  </si>
  <si>
    <t>&lt;7&gt;_1R31-LPG-10006-02-5_EKO</t>
  </si>
  <si>
    <t>&lt;6&gt;_1R31-LPG-10006-02-4_EKO</t>
  </si>
  <si>
    <t>&lt;4&gt;_1R31-LPG-10006-02-3_EKO</t>
  </si>
  <si>
    <t>&lt;3&gt;_1R31-LPG-10006-02-2_EKO</t>
  </si>
  <si>
    <t>&lt;1&gt;_1R31-LPG-10006-02-1_EKO</t>
  </si>
  <si>
    <t>&lt;4&gt;_1R31-LPG-10001-01-3_EKO</t>
  </si>
  <si>
    <t>&lt;3&gt;_1R31-LPG-10001-01-2_EKO</t>
  </si>
  <si>
    <t>&lt;1&gt;_1R31-LPG-10001-01-1_EKO</t>
  </si>
  <si>
    <t>&lt;10&gt;_1R31-PR-40004-01-3_EKO</t>
  </si>
  <si>
    <t>&lt;2&gt;_1R31-PR-40004-01-1_EKO</t>
  </si>
  <si>
    <t>&lt;5&gt;_1R31-LPG-10008-01-3_EKO</t>
  </si>
  <si>
    <t>&lt;2&gt;_1R31-LPG-10008-01-1_EKO</t>
  </si>
  <si>
    <t>&lt;2&gt;_1R31-LPG-10006-03-1_EKO</t>
  </si>
  <si>
    <t>&lt;8&gt;_1R31-LPG-10006-02-5_EKO</t>
  </si>
  <si>
    <t>&lt;5&gt;_1R31-LPG-10006-02-3_EKO</t>
  </si>
  <si>
    <t>&lt;2&gt;_1R31-LPG-10006-02-1_EKO</t>
  </si>
  <si>
    <t>&lt;5&gt;_1R31-LPG-10001-01-3_EKO</t>
  </si>
  <si>
    <t>&lt;2&gt;_1R31-LPG-10001-01-1_EKO</t>
  </si>
  <si>
    <t>&lt;3&gt;_1R31-PR-40004-01-1_EKO</t>
  </si>
  <si>
    <t>: HEIN-III-0021</t>
  </si>
  <si>
    <t>&lt;1&gt;_1R71-BFW-90022-03-1_EKO</t>
  </si>
  <si>
    <t>&lt;2&gt;_1R71-BFW-90022-03-1_EKO</t>
  </si>
  <si>
    <t>: HEIN-III-0022</t>
  </si>
  <si>
    <t>&lt;1&gt;_1R71-HS-90004-02-6_EKO</t>
  </si>
  <si>
    <t>: M211240190</t>
  </si>
  <si>
    <t>: HEIN-III-0023</t>
  </si>
  <si>
    <t>&lt;3&gt;_1R71-HS-90006-02-3_EKO</t>
  </si>
  <si>
    <t>&lt;2&gt;_1R71-HS-90006-02-2_EKO</t>
  </si>
  <si>
    <t>&lt;1&gt;_1R71-HS-90006-02-1_EKO</t>
  </si>
  <si>
    <t>&lt;4&gt;_1R71-HS-90006-02-3_EKO</t>
  </si>
  <si>
    <t>: M211240318</t>
  </si>
  <si>
    <t>: HEIN-III-0024</t>
  </si>
  <si>
    <t>&lt;1&gt;_1R71-QW-60004-02-2_EKO</t>
  </si>
  <si>
    <t>: M219465132</t>
  </si>
  <si>
    <t>: HEIN-III-0025</t>
  </si>
  <si>
    <t>&lt;1&gt;_1R71-QW-60004-03-1_EKO</t>
  </si>
  <si>
    <t>&lt;4&gt;_1R31-QW-20008-01-4_EKO</t>
  </si>
  <si>
    <t>&lt;3&gt;_1R31-QW-20008-01-3_EKO</t>
  </si>
  <si>
    <t>: M219465282</t>
  </si>
  <si>
    <t>: HEIN-III-0026</t>
  </si>
  <si>
    <t>&lt;9&gt;_1R71-QW-60004-02-2_EKO</t>
  </si>
  <si>
    <t>: M219465383</t>
  </si>
  <si>
    <t>: HEIN-III-0027</t>
  </si>
  <si>
    <t>&lt;1&gt;_1R81-HS-90004-01-4_EKO</t>
  </si>
  <si>
    <t>&lt;3&gt;_1R81-HS-90004-01-3_EKO</t>
  </si>
  <si>
    <t>&lt;4&gt;_1R81-HS-90004-01-2_EKO</t>
  </si>
  <si>
    <t>&lt;5&gt;_1R81-HS-90004-01-1_EKO</t>
  </si>
  <si>
    <t>&lt;2&gt;_1R71-HS-90004-02-6_EKO</t>
  </si>
  <si>
    <t>&lt;4&gt;_1R71-HS-90004-02-4_EKO</t>
  </si>
  <si>
    <t>&lt;5&gt;_1R71-HS-90004-02-3_EKO</t>
  </si>
  <si>
    <t>&lt;6&gt;_1R71-HS-90004-02-2_EKO</t>
  </si>
  <si>
    <t>&lt;1&gt;_1R71-HS-90004-02-1_EKO</t>
  </si>
  <si>
    <t>&lt;2&gt;_1R71-HS-90004-01-1_EKO</t>
  </si>
  <si>
    <t>&lt;2&gt;_1R81-HS-90004-01-4_EKO</t>
  </si>
  <si>
    <t>&lt;6&gt;_1R81-HS-90004-01-1_EKO</t>
  </si>
  <si>
    <t>&lt;3&gt;_1R71-HS-90004-02-6_EKO</t>
  </si>
  <si>
    <t>&lt;7&gt;_1R71-HS-90004-02-1_EKO</t>
  </si>
  <si>
    <t>: M219715675</t>
  </si>
  <si>
    <t>: HEIN-III-0028</t>
  </si>
  <si>
    <t>: HEIN-III-0029</t>
  </si>
  <si>
    <t>&lt;3&gt;_1R11-PA-90001-07-2_EKO</t>
  </si>
  <si>
    <t>&lt;1&gt;_1R11-PA-90001-07-1_EKO</t>
  </si>
  <si>
    <t>&lt;4&gt;_1R11-PA-90001-06-1_EKO</t>
  </si>
  <si>
    <t>&lt;5&gt;_1R11-PA-90001-02-3_EKO</t>
  </si>
  <si>
    <t>&lt;3&gt;_1R11-PA-90001-02-2_EKO</t>
  </si>
  <si>
    <t>&lt;1&gt;_1R11-PA-90001-02-1_EKO</t>
  </si>
  <si>
    <t>&lt;3&gt;_1R11-PA-90001-01-2_EKO</t>
  </si>
  <si>
    <t>&lt;1&gt;_1R11-PA-90001-01-1_EKO</t>
  </si>
  <si>
    <t>&lt;3&gt;_1R11-P-17008-02-2_EKO</t>
  </si>
  <si>
    <t>&lt;3&gt;_1R11-P-16008-02-2_EKO</t>
  </si>
  <si>
    <t>&lt;3&gt;_1R11-P-15008-02-2_EKO</t>
  </si>
  <si>
    <t>&lt;3&gt;_1R11-P-14008-02-2_EKO</t>
  </si>
  <si>
    <t>&lt;3&gt;_1R11-P-13008-02-2_EKO</t>
  </si>
  <si>
    <t>&lt;3&gt;_1R11-P-12008-02-2_EKO</t>
  </si>
  <si>
    <t>&lt;3&gt;_1R11-P-11008-02-2_EKO</t>
  </si>
  <si>
    <t>&lt;4&gt;_1R11-PA-90001-07-2_EKO</t>
  </si>
  <si>
    <t>&lt;4&gt;_1R11-PA-90001-02-2_EKO</t>
  </si>
  <si>
    <t>&lt;1&gt;_1R71-QO-20027-02-1_EKO</t>
  </si>
  <si>
    <t>&lt;2&gt;_1R71-QO-20027-01-2_EKO</t>
  </si>
  <si>
    <t>&lt;1&gt;_1R71-QO-20027-01-1_EKO</t>
  </si>
  <si>
    <t>&lt;1&gt;_1R71-P-30067-01-1_EKO</t>
  </si>
  <si>
    <t>&lt;4&gt;_1R71-P-10002-01-2_EKO</t>
  </si>
  <si>
    <t>&lt;1&gt;_1R71-P-10002-01-1_EKO</t>
  </si>
  <si>
    <t>&lt;3&gt;_1R71-MS-90008-02-3_EKO</t>
  </si>
  <si>
    <t>&lt;2&gt;_1R71-MS-90008-02-2_EKO</t>
  </si>
  <si>
    <t>&lt;1&gt;_1R71-MS-90008-02-1_EKO</t>
  </si>
  <si>
    <t>&lt;3&gt;_1R71-MS-90008-01-3_EKO</t>
  </si>
  <si>
    <t>&lt;2&gt;_1R71-MS-90008-01-2_EKO</t>
  </si>
  <si>
    <t>&lt;1&gt;_1R71-MS-90008-01-1_EKO</t>
  </si>
  <si>
    <t>&lt;5&gt;_1R71-LPG-30003-01-2_EKO</t>
  </si>
  <si>
    <t>&lt;1&gt;_1R71-LPG-30003-01-1_EKO</t>
  </si>
  <si>
    <t>&lt;8&gt;_1R71-H-40002-01-2_EKO</t>
  </si>
  <si>
    <t>&lt;1&gt;_1R71-H-40002-01-1_EKO</t>
  </si>
  <si>
    <t>&lt;2&gt;_1R11-WF-10011-03-2_EKO</t>
  </si>
  <si>
    <t>&lt;1&gt;_1R11-WF-10011-03-1_EKO</t>
  </si>
  <si>
    <t>&lt;4&gt;_1R11-WF-10011-02-2_EKO</t>
  </si>
  <si>
    <t>&lt;1&gt;_1R11-WF-10011-02-1_EKO</t>
  </si>
  <si>
    <t>&lt;2&gt;_1R11-WF-10011-01-2_EKO</t>
  </si>
  <si>
    <t>&lt;1&gt;_1R11-WF-10011-01-1_EKO</t>
  </si>
  <si>
    <t>&lt;1&gt;_1R11-P-10005-01-1_EKO</t>
  </si>
  <si>
    <t>&lt;5&gt;_1R11-P-10002-02-3_EKO</t>
  </si>
  <si>
    <t>&lt;4&gt;_1R11-P-10002-02-2_EKO</t>
  </si>
  <si>
    <t>&lt;2&gt;_1R11-P-10002-02-1_EKO</t>
  </si>
  <si>
    <t>&lt;5&gt;_1R11-P-10002-01-3_EKO</t>
  </si>
  <si>
    <t>&lt;3&gt;_1R11-P-10002-01-2_EKO</t>
  </si>
  <si>
    <t>&lt;1&gt;_1R11-P-10002-01-1_EKO</t>
  </si>
  <si>
    <t>&lt;3&gt;_1R11-FG-30004-02-1_EKO</t>
  </si>
  <si>
    <t>&lt;3&gt;_1R11-FG-30004-01-2_EKO</t>
  </si>
  <si>
    <t>&lt;1&gt;_1R11-FG-30004-01-1_EKO</t>
  </si>
  <si>
    <t>&lt;1&gt;_1R11-FG-10004-01-1_EKO</t>
  </si>
  <si>
    <t>&lt;1&gt;_1R11-FG-10002-01-1_EKO</t>
  </si>
  <si>
    <t>&lt;3&gt;_1R71-QO-20027-01-2_EKO</t>
  </si>
  <si>
    <t>&lt;2&gt;_1R71-P-30067-01-1_EKO</t>
  </si>
  <si>
    <t>&lt;5&gt;_1R71-P-10002-01-2_EKO</t>
  </si>
  <si>
    <t>&lt;2&gt;_1R71-P-10002-01-1_EKO</t>
  </si>
  <si>
    <t>&lt;4&gt;_1R71-MS-90008-02-3_EKO</t>
  </si>
  <si>
    <t>&lt;6&gt;_1R71-LPG-30003-01-2_EKO</t>
  </si>
  <si>
    <t>&lt;2&gt;_1R71-LPG-30003-01-1_EKO</t>
  </si>
  <si>
    <t>&lt;2&gt;_1R71-H-40002-01-1_EKO</t>
  </si>
  <si>
    <t>&lt;5&gt;_1R11-WF-10011-02-2_EKO</t>
  </si>
  <si>
    <t>&lt;2&gt;_1R11-WF-10011-02-1_EKO</t>
  </si>
  <si>
    <t>&lt;2&gt;_1R11-P-10002-01-1_EKO</t>
  </si>
  <si>
    <t>&lt;4&gt;_1R11-FG-30004-02-1_EKO</t>
  </si>
  <si>
    <t>&lt;2&gt;_1R11-FG-30004-01-1_EKO</t>
  </si>
  <si>
    <t>&lt;6&gt;_1R11-WF-10011-02-2_EKO</t>
  </si>
  <si>
    <t>&lt;3&gt;_1R11-WF-10011-02-1_EKO</t>
  </si>
  <si>
    <t>: 2023.03.15</t>
  </si>
  <si>
    <t>: SHOP(KKS)-4</t>
  </si>
  <si>
    <t>: HEIN-III-0030</t>
  </si>
  <si>
    <t>: HEIN-III-0031</t>
  </si>
  <si>
    <t>&lt;3&gt;_1R71-MS-90007-02-3_EKO</t>
  </si>
  <si>
    <t>: HEIN-III-0032</t>
  </si>
  <si>
    <t>&lt;3&gt;_1R71-WO-30001-01-3_EKO</t>
  </si>
  <si>
    <t>: M191090585</t>
  </si>
  <si>
    <t>: HEIN-III-0033</t>
  </si>
  <si>
    <t>&lt;4&gt;_1R71-WO-30001-01-3_EKO</t>
  </si>
  <si>
    <t>&lt;1&gt;_1R11-WF-90008-06-1_EKO</t>
  </si>
  <si>
    <t>: HEIN-III-0034</t>
  </si>
  <si>
    <t>&lt;3&gt;_1R71-HSC-90004-02-1_EKO</t>
  </si>
  <si>
    <t>&lt;7&gt;_1R71-H-40003-01-2_EKO</t>
  </si>
  <si>
    <t>&lt;4&gt;_1R71-BFW-90002-09-4_EKO</t>
  </si>
  <si>
    <t>&lt;4&gt;_1R71-BFW-90002-07-2_EKO</t>
  </si>
  <si>
    <t>&lt;3&gt;_1R11-WF-10005-01-2_EKO</t>
  </si>
  <si>
    <t>&lt;1&gt;_1R11-WF-10005-01-1_EKO</t>
  </si>
  <si>
    <t>&lt;2&gt;_1R11-HSC-10002-05-1_EKO</t>
  </si>
  <si>
    <t>&lt;2&gt;_1R11-HSC-10002-03-1_EKO</t>
  </si>
  <si>
    <t>&lt;1&gt;_1R11-HSC-10002-01-4_EKO</t>
  </si>
  <si>
    <t>&lt;5&gt;_1R11-HSC-10002-02-4_EKO</t>
  </si>
  <si>
    <t>&lt;5&gt;_1R11-HSC-10002-01-4_EKO</t>
  </si>
  <si>
    <t>&lt;4&gt;_1R11-HSC-10002-01-3_EKO</t>
  </si>
  <si>
    <t>&lt;2&gt;_1R11-HSC-10002-01-2_EKO</t>
  </si>
  <si>
    <t>&lt;1&gt;_1R11-HSC-10002-01-1_EKO</t>
  </si>
  <si>
    <t>&lt;2&gt;_1R11-CWS-90015-02-2_EKO</t>
  </si>
  <si>
    <t>&lt;1&gt;_1R11-CWS-90015-02-1_EKO</t>
  </si>
  <si>
    <t>&lt;3&gt;_1R11-CWR-90015-04-2_EKO</t>
  </si>
  <si>
    <t>&lt;1&gt;_1R11-CWR-90015-04-1_EKO</t>
  </si>
  <si>
    <t>&lt;6&gt;_1R11-CWR-90015-01-1_EKO</t>
  </si>
  <si>
    <t>&lt;4&gt;_1R11-CWR-90015-03-2_EKO</t>
  </si>
  <si>
    <t>&lt;2&gt;_1R11-CWR-90015-03-1_EKO</t>
  </si>
  <si>
    <t>&lt;3&gt;_1R11-HSC-10002-03-1_EKO</t>
  </si>
  <si>
    <t>: HEIN-III-0035</t>
  </si>
  <si>
    <t>&lt;4&gt;_1R11-LS-90011-09-3_EKO</t>
  </si>
  <si>
    <t>&lt;3&gt;_1R11-LS-90011-09-2_EKO</t>
  </si>
  <si>
    <t>&lt;1&gt;_1R11-LS-90011-09-1_EKO</t>
  </si>
  <si>
    <t>&lt;2&gt;_1R11-DMDS-10003-04-2_EKO</t>
  </si>
  <si>
    <t>&lt;1&gt;_1R11-DMDS-10003-04-1_EKO</t>
  </si>
  <si>
    <t>&lt;2&gt;_1R11-DMDS-10003-03-2_EKO</t>
  </si>
  <si>
    <t>&lt;1&gt;_1R11-DMDS-10003-03-1_EKO</t>
  </si>
  <si>
    <t>&lt;2&gt;_1R11-DMDS-10003-02-2_EKO</t>
  </si>
  <si>
    <t>&lt;1&gt;_1R11-DMDS-10003-02-1_EKO</t>
  </si>
  <si>
    <t>&lt;6&gt;_1R11-DMDS-10003-01-3_EKO</t>
  </si>
  <si>
    <t>&lt;2&gt;_1R11-DMDS-10003-01-2_EKO</t>
  </si>
  <si>
    <t>&lt;1&gt;_1R11-DMDS-10003-01-1_EKO</t>
  </si>
  <si>
    <t>&lt;5&gt;_1R11-LS-90011-09-3_EKO</t>
  </si>
  <si>
    <t>&lt;2&gt;_1R11-LS-90011-09-1_EKO</t>
  </si>
  <si>
    <t>&lt;3&gt;_1R11-DMDS-10003-02-2_EKO</t>
  </si>
  <si>
    <t>: HEIN-III-0036</t>
  </si>
  <si>
    <t>&lt;4&gt;_1R71-PL-60044-01-3_EKO</t>
  </si>
  <si>
    <t>&lt;1&gt;_1R71-PL-60044-01-1_EKO</t>
  </si>
  <si>
    <t>&lt;5&gt;_1R71-PL-60012-02-1_EKO</t>
  </si>
  <si>
    <t>&lt;1&gt;_1R71-PL-60012-01-1_EKO</t>
  </si>
  <si>
    <t>&lt;5&gt;_1R71-PL-40001-02-2_EKO</t>
  </si>
  <si>
    <t>&lt;4&gt;_1R71-PL-40001-02-1_EKO</t>
  </si>
  <si>
    <t>&lt;1&gt;_1R71-PL-40001-01-1_EKO</t>
  </si>
  <si>
    <t>&lt;5&gt;_1R71-PL-60044-01-3_EKO</t>
  </si>
  <si>
    <t>&lt;2&gt;_1R71-PL-60044-01-1_EKO</t>
  </si>
  <si>
    <t>&lt;6&gt;_1R71-PL-60012-02-1_EKO</t>
  </si>
  <si>
    <t>&lt;2&gt;_1R71-PL-60012-01-1_EKO</t>
  </si>
  <si>
    <t>&lt;2&gt;_1R71-PL-40001-01-1_EKO</t>
  </si>
  <si>
    <t>&lt;3&gt;_1R71-PL-60044-01-1_EKO</t>
  </si>
  <si>
    <t>: HEIN-III-0037</t>
  </si>
  <si>
    <t>&lt;2&gt;_1R11-PA-90001-07-1_EKO</t>
  </si>
  <si>
    <t>&lt;5&gt;_1R11-PA-90001-06-1_EKO</t>
  </si>
  <si>
    <t>&lt;6&gt;_1R11-PA-90001-02-3_EKO</t>
  </si>
  <si>
    <t>&lt;2&gt;_1R11-PA-90001-02-1_EKO</t>
  </si>
  <si>
    <t>&lt;4&gt;_1R11-PA-90001-01-2_EKO</t>
  </si>
  <si>
    <t>&lt;2&gt;_1R11-PA-90001-01-1_EKO</t>
  </si>
  <si>
    <t>: M192809156</t>
  </si>
  <si>
    <t>: HEIN-III-0038</t>
  </si>
  <si>
    <t>&lt;3&gt;_1R71-BFW-90022-02-1_EKO</t>
  </si>
  <si>
    <t>: HEIN-III-0039</t>
  </si>
  <si>
    <t>&lt;3&gt;_1R11-HS-90004-01-2_EKO</t>
  </si>
  <si>
    <t>&lt;9&gt;_1R11-HS-90004-01-1_EKO</t>
  </si>
  <si>
    <t>: HEIN-III-0040</t>
  </si>
  <si>
    <t>&lt;6&gt;_1R71-HS-90006-02-5_EKO</t>
  </si>
  <si>
    <t>: HEIN-III-0041</t>
  </si>
  <si>
    <t>&lt;8&gt;_1R71-QW-60004-02-1_EKO</t>
  </si>
  <si>
    <t>: HEIN-III-0042</t>
  </si>
  <si>
    <t>&lt;3&gt;_1R11-HS-90004-02-2_EKO</t>
  </si>
  <si>
    <t>&lt;4&gt;_1R11-HS-90004-02-1_EKO</t>
  </si>
  <si>
    <t>&lt;1&gt;_1R11-HS-90004-02-3_EKO</t>
  </si>
  <si>
    <t>&lt;1&gt;_1R11-HS-90004-01-2_EKO</t>
  </si>
  <si>
    <t>&lt;8&gt;_1R11-HS-90004-01-1_EKO</t>
  </si>
  <si>
    <t>&lt;5&gt;_1R11-HS-90004-02-1_EKO</t>
  </si>
  <si>
    <t>&lt;2&gt;_1R11-HS-90004-02-3_EKO</t>
  </si>
  <si>
    <t>&lt;2&gt;_1R11-HS-90004-01-2_EKO</t>
  </si>
  <si>
    <t>&lt;4&gt;_1R11-HS-90004-01-2_EKO</t>
  </si>
  <si>
    <t>: HEIN-III-0043</t>
  </si>
  <si>
    <t>&lt;4&gt;_1R11-VBW-90001-04-3_EKO</t>
  </si>
  <si>
    <t>&lt;2&gt;_1R11-VBW-90001-04-2_EKO</t>
  </si>
  <si>
    <t>&lt;1&gt;_1R11-VBW-90001-04-1_EKO</t>
  </si>
  <si>
    <t>&lt;6&gt;_1R11-VBW-90001-03-3_EKO</t>
  </si>
  <si>
    <t>&lt;3&gt;_1R11-VBW-90001-03-2_EKO</t>
  </si>
  <si>
    <t>&lt;2&gt;_1R11-VBW-90001-03-1_EKO</t>
  </si>
  <si>
    <t>&lt;3&gt;_1R11-VBW-90001-04-2_EKO</t>
  </si>
  <si>
    <t>&lt;4&gt;_1R11-VBW-90001-03-2_EKO</t>
  </si>
  <si>
    <t>: M220552383</t>
  </si>
  <si>
    <t>: HEIN-III-0044</t>
  </si>
  <si>
    <t>Con. To 1R11-CWR-90015-01</t>
  </si>
  <si>
    <t>con. To 1R11-CWR-90015-03</t>
  </si>
  <si>
    <t>&lt;1&gt;_1R11-LPG-10013-01-1_EKO</t>
  </si>
  <si>
    <t>: 2023.03.24</t>
  </si>
  <si>
    <t>: HEIN-III-0045</t>
  </si>
  <si>
    <t>&lt;2&gt;_1R11-PA-90001-03-1_EKO</t>
  </si>
  <si>
    <t>&lt;1&gt;_1R71-MS-90005-04-6_EKO</t>
  </si>
  <si>
    <t>: Batch-004</t>
  </si>
  <si>
    <t>: HEIN-III-0046</t>
  </si>
  <si>
    <t>PIPE, SIZE : 10", CS A106-B SMLS BE B36.10M , S-STD</t>
  </si>
  <si>
    <t>PIPE, SIZE : 12", CS A106-B SMLS BE B36.10M , S-STD</t>
  </si>
  <si>
    <t>&lt;3&gt;_1R11-NAP-10016-01-2_EKO</t>
  </si>
  <si>
    <t>: HEIN-III-0047</t>
  </si>
  <si>
    <t>&lt;2&gt;_1R11-HSC-10002-02-1_EKO</t>
  </si>
  <si>
    <t>&lt;3&gt;_1R11-HSC-10002-02-2_EKO</t>
  </si>
  <si>
    <t>&lt;4&gt;_1R11-HSC-10002-02-3_EKO</t>
  </si>
  <si>
    <t>&lt;1&gt;_1R11-HSC-10002-04-1_EKO</t>
  </si>
  <si>
    <t>&lt;2&gt;_1R11-HSC-10002-04-2_EKO</t>
  </si>
  <si>
    <t>&lt;3&gt;_1R11-HSC-10002-04-3_EKO</t>
  </si>
  <si>
    <t>&lt;4&gt;_1R11-HSC-10002-05-2_EKO</t>
  </si>
  <si>
    <t>&lt;5&gt;_1R11-HSC-10002-05-3_EKO</t>
  </si>
  <si>
    <t>&lt;1&gt;_1R11-HSC-10002-06-1_EKO</t>
  </si>
  <si>
    <t>&lt;2&gt;_1R11-HSC-10002-06-2_EKO</t>
  </si>
  <si>
    <t>&lt;1&gt;_1R11-HSC-10002-07-1_EKO</t>
  </si>
  <si>
    <t>&lt;2&gt;_1R11-HSC-10002-07-2_EKO</t>
  </si>
  <si>
    <t>&lt;3&gt;_1R11-HSC-10002-07-3_EKO</t>
  </si>
  <si>
    <t>&lt;4&gt;_1R11-HSC-10002-07-4_EKO</t>
  </si>
  <si>
    <t>&lt;5&gt;_1R11-HSC-10002-07-5_EKO</t>
  </si>
  <si>
    <t>&lt;4&gt;_1R11-MS-90015-01-3_EKO</t>
  </si>
  <si>
    <t>&lt;1&gt;_1R11-MS-90015-01-1_EKO</t>
  </si>
  <si>
    <t>&lt;2&gt;_1R11-MS-90015-01-2_EKO</t>
  </si>
  <si>
    <t>&lt;1&gt;_1R11-P-80005-03-1_EKO</t>
  </si>
  <si>
    <t>&lt;3&gt;_1R11-P-80005-03-2_EKO</t>
  </si>
  <si>
    <t>&lt;4&gt;_1R11-P-80005-03-3_EKO</t>
  </si>
  <si>
    <t>&lt;2&gt;_1R11-WF-10005-01-3_EKO</t>
  </si>
  <si>
    <t>&lt;2&gt;_1R11-WW-90006-01-1_EKO</t>
  </si>
  <si>
    <t>&lt;4&gt;_1R11-WW-90006-01-2_EKO</t>
  </si>
  <si>
    <t>&lt;1&gt;_1R11-WW-90006-04-1_EKO</t>
  </si>
  <si>
    <t>&lt;1&gt;_1R71-BFW-90002-06-1_EKO</t>
  </si>
  <si>
    <t>&lt;4&gt;_1R71-BFW-90002-06-2_EKO</t>
  </si>
  <si>
    <t>&lt;5&gt;_1R71-BFW-90002-06-3_EKO</t>
  </si>
  <si>
    <t>&lt;1&gt;_1R71-BFW-90002-07-1_EKO</t>
  </si>
  <si>
    <t>&lt;1&gt;_1R71-BFW-90002-08-1_EKO</t>
  </si>
  <si>
    <t>&lt;1&gt;_1R71-BFW-90002-09-1_EKO</t>
  </si>
  <si>
    <t>&lt;3&gt;_1R71-BFW-90002-09-3_EKO</t>
  </si>
  <si>
    <t>&lt;1&gt;_1R71-FO-20009-01-1_EKO</t>
  </si>
  <si>
    <t>&lt;4&gt;_1R71-FO-20009-01-2_EKO</t>
  </si>
  <si>
    <t>&lt;1&gt;_1R71-FO-20009-03-1_EKO</t>
  </si>
  <si>
    <t>&lt;3&gt;_1R71-FO-20009-03-2_EKO</t>
  </si>
  <si>
    <t>&lt;4&gt;_1R71-FO-20009-03-3_EKO</t>
  </si>
  <si>
    <t>&lt;1&gt;_1R71-FO-20009-05-1_EKO</t>
  </si>
  <si>
    <t>&lt;1&gt;_1R71-FO-20009-06-1_EKO</t>
  </si>
  <si>
    <t>&lt;2&gt;_1R71-FO-20009-06-2_EKO</t>
  </si>
  <si>
    <t>&lt;1&gt;_1R71-H-40003-01-1_EKO</t>
  </si>
  <si>
    <t>&lt;1&gt;_1R71-H-40003-02-1_EKO</t>
  </si>
  <si>
    <t>&lt;1&gt;_1R71-H-40003-03-1_EKO</t>
  </si>
  <si>
    <t>&lt;1&gt;_1R71-H-40003-05-1_EKO</t>
  </si>
  <si>
    <t>&lt;5&gt;_1R71-H-40003-05-3_EKO</t>
  </si>
  <si>
    <t>&lt;7&gt;_1R71-H-40003-05-4_EKO</t>
  </si>
  <si>
    <t>&lt;8&gt;_1R71-H-40003-05-5_EKO</t>
  </si>
  <si>
    <t>&lt;1&gt;_1R71-H-40003-06-1_EKO</t>
  </si>
  <si>
    <t>&lt;4&gt;_1R71-HSC-90004-02-2_EKO</t>
  </si>
  <si>
    <t>&lt;6&gt;_1R71-HSC-90004-02-3_EKO</t>
  </si>
  <si>
    <t>&lt;1&gt;_1R71-P-30089-01-1_EKO</t>
  </si>
  <si>
    <t>&lt;5&gt;_1R71-P-30089-02-1_EKO</t>
  </si>
  <si>
    <t>&lt;1&gt;_1R71-P-30123-01-1_EKO</t>
  </si>
  <si>
    <t>&lt;7&gt;_1R71-P-30181-03-1_EKO</t>
  </si>
  <si>
    <t>&lt;1&gt;_1R71-P-80005-01-1_EKO</t>
  </si>
  <si>
    <t>&lt;2&gt;_1R71-WW-90001-01-2_EKO</t>
  </si>
  <si>
    <t>&lt;1&gt;_1R71-WW-90006-01-1_EKO</t>
  </si>
  <si>
    <t>&lt;3&gt;_1R71-WW-90006-01-3_EKO</t>
  </si>
  <si>
    <t>&lt;4&gt;_1R11-HSC-10002-04-3_EKO</t>
  </si>
  <si>
    <t>&lt;5&gt;_1R11-MS-90015-01-3_EKO</t>
  </si>
  <si>
    <t>&lt;3&gt;_1R11-MS-90015-01-2_EKO</t>
  </si>
  <si>
    <t>&lt;2&gt;_1R11-P-80005-03-1_EKO</t>
  </si>
  <si>
    <t>&lt;5&gt;_1R11-P-80005-03-3_EKO</t>
  </si>
  <si>
    <t>&lt;4&gt;_1R11-WF-10005-01-3_EKO</t>
  </si>
  <si>
    <t>&lt;3&gt;_1R11-WW-90006-01-1_EKO</t>
  </si>
  <si>
    <t>&lt;2&gt;_1R11-WW-90006-04-1_EKO</t>
  </si>
  <si>
    <t>&lt;2&gt;_1R71-BFW-90002-06-1_EKO</t>
  </si>
  <si>
    <t>&lt;6&gt;_1R71-BFW-90002-06-3_EKO</t>
  </si>
  <si>
    <t>&lt;2&gt;_1R71-BFW-90002-08-1_EKO</t>
  </si>
  <si>
    <t>&lt;2&gt;_1R71-BFW-90002-09-1_EKO</t>
  </si>
  <si>
    <t>&lt;2&gt;_1R71-FO-20009-03-1_EKO</t>
  </si>
  <si>
    <t>&lt;5&gt;_1R71-FO-20009-03-3_EKO</t>
  </si>
  <si>
    <t>&lt;2&gt;_1R71-FO-20009-05-1_EKO</t>
  </si>
  <si>
    <t>&lt;3&gt;_1R71-FO-20009-06-2_EKO</t>
  </si>
  <si>
    <t>&lt;2&gt;_1R71-H-40003-01-1_EKO</t>
  </si>
  <si>
    <t>&lt;2&gt;_1R71-H-40003-02-1_EKO</t>
  </si>
  <si>
    <t>&lt;2&gt;_1R71-H-40003-03-1_EKO</t>
  </si>
  <si>
    <t>&lt;4&gt;_1R71-H-40003-05-1_EKO</t>
  </si>
  <si>
    <t>&lt;6&gt;_1R71-H-40003-05-3_EKO</t>
  </si>
  <si>
    <t>&lt;5&gt;_1R71-HSC-90004-02-2_EKO</t>
  </si>
  <si>
    <t>&lt;2&gt;_1R71-P-30089-01-1_EKO</t>
  </si>
  <si>
    <t>&lt;6&gt;_1R71-P-30089-02-1_EKO</t>
  </si>
  <si>
    <t>&lt;2&gt;_1R71-P-30123-01-1_EKO</t>
  </si>
  <si>
    <t>&lt;8&gt;_1R71-P-30181-03-1_EKO</t>
  </si>
  <si>
    <t>&lt;2&gt;_1R71-P-80005-01-1_EKO</t>
  </si>
  <si>
    <t>&lt;2&gt;_1R71-WW-90006-01-1_EKO</t>
  </si>
  <si>
    <t>&lt;4&gt;_1R71-WW-90006-01-3_EKO</t>
  </si>
  <si>
    <t>&lt;5&gt;_1R11-WF-10005-01-3_EKO</t>
  </si>
  <si>
    <t>&lt;3&gt;_1R71-BFW-90002-06-1_EKO</t>
  </si>
  <si>
    <t>&lt;7&gt;_1R71-BFW-90002-06-3_EKO</t>
  </si>
  <si>
    <t>&lt;4&gt;_1R71-FO-20009-06-2_EKO</t>
  </si>
  <si>
    <t>&lt;6&gt;_1R11-WF-10005-01-3_EKO</t>
  </si>
  <si>
    <t>: HEIN-III-0048</t>
  </si>
  <si>
    <t>USE WASTE</t>
  </si>
  <si>
    <t>&lt;3&gt;_1R71-QW-20013-01-1_EKO</t>
  </si>
  <si>
    <t>: HEIN-III-0049</t>
  </si>
  <si>
    <t>PIPE, SIZE : 10", CS A106-B SMLS BE B36.10M , S-XS</t>
  </si>
  <si>
    <t>PIPE, SIZE : 14", CS A106-B SMLS BE B36.10M , S-STD</t>
  </si>
  <si>
    <t>&lt;3&gt;_1R71-BFW-90002-03-2_EKO</t>
  </si>
  <si>
    <t>&lt;1&gt;_1R71-QW-20013-01-1_EKO</t>
  </si>
  <si>
    <t>&lt;2&gt;_1R71-QW-20013-01-1_EKO</t>
  </si>
  <si>
    <t>: HEIN-III-0050</t>
  </si>
  <si>
    <t>&lt;3&gt;_1R71-BFW-90022-03-2_EKO</t>
  </si>
  <si>
    <t>&lt;1&gt;_1R71-BFW-90022-04-1_EKO</t>
  </si>
  <si>
    <t>&lt;1&gt;_1R71-FG-30008-02-1_EKO</t>
  </si>
  <si>
    <t>&lt;2&gt;_1R71-FG-30008-02-2_EKO</t>
  </si>
  <si>
    <t>&lt;4&gt;_1R71-BFW-90022-03-2_EKO</t>
  </si>
  <si>
    <t>&lt;6&gt;_1R71-BFW-90022-03-2_EKO</t>
  </si>
  <si>
    <t>: HEIN-III-0051</t>
  </si>
  <si>
    <t>&lt;1&gt;_1R11-LS-11001-01-1_EKO</t>
  </si>
  <si>
    <t>&lt;3&gt;_1R11-LS-11001-01-2_EKO</t>
  </si>
  <si>
    <t>&lt;1&gt;_1R11-LS-12001-01-1_EKO</t>
  </si>
  <si>
    <t>&lt;3&gt;_1R11-LS-12001-01-2_EKO</t>
  </si>
  <si>
    <t>&lt;4&gt;_1R11-LS-12001-01-3_EKO</t>
  </si>
  <si>
    <t>&lt;1&gt;_1R11-LS-13001-01-1_EKO</t>
  </si>
  <si>
    <t>&lt;3&gt;_1R11-LS-13001-01-2_EKO</t>
  </si>
  <si>
    <t>&lt;4&gt;_1R11-LS-13001-01-3_EKO</t>
  </si>
  <si>
    <t>&lt;1&gt;_1R11-LS-14001-01-1_EKO</t>
  </si>
  <si>
    <t>&lt;3&gt;_1R11-LS-14001-01-2_EKO</t>
  </si>
  <si>
    <t>&lt;4&gt;_1R11-LS-14001-01-3_EKO</t>
  </si>
  <si>
    <t>&lt;1&gt;_1R11-LS-15001-01-1_EKO</t>
  </si>
  <si>
    <t>&lt;3&gt;_1R11-LS-15001-01-2_EKO</t>
  </si>
  <si>
    <t>&lt;5&gt;_1R11-LS-15001-01-3_EKO</t>
  </si>
  <si>
    <t>&lt;1&gt;_1R11-LS-16001-01-1_EKO</t>
  </si>
  <si>
    <t>&lt;3&gt;_1R11-LS-16001-01-2_EKO</t>
  </si>
  <si>
    <t>&lt;4&gt;_1R11-LS-16001-01-3_EKO</t>
  </si>
  <si>
    <t>&lt;1&gt;_1R11-LS-17001-01-1_EKO</t>
  </si>
  <si>
    <t>&lt;3&gt;_1R11-LS-17001-01-2_EKO</t>
  </si>
  <si>
    <t>&lt;4&gt;_1R11-LS-17001-01-3_EKO</t>
  </si>
  <si>
    <t>&lt;4&gt;_1R11-LS-90011-08-1_EKO</t>
  </si>
  <si>
    <t>&lt;4&gt;_1R11-N-90038-01-2_EKO</t>
  </si>
  <si>
    <t>&lt;1&gt;_1R11-N-90038-03-1_EKO</t>
  </si>
  <si>
    <t>&lt;4&gt;_1R11-N-90038-03-2_EKO</t>
  </si>
  <si>
    <t>&lt;4&gt;_1R11-N-90038-04-1_EKO</t>
  </si>
  <si>
    <t>&lt;7&gt;_1R11-N-90038-04-2_EKO</t>
  </si>
  <si>
    <t>&lt;3&gt;_1R11-N-90038-05-1_EKO</t>
  </si>
  <si>
    <t>&lt;6&gt;_1R11-N-90038-05-2_EKO</t>
  </si>
  <si>
    <t>&lt;9&gt;_1R11-N-90038-05-3_EKO</t>
  </si>
  <si>
    <t>&lt;10&gt;_1R11-N-90038-05-4_EKO</t>
  </si>
  <si>
    <t>&lt;1&gt;_1R11-N-90038-05-4_EKO</t>
  </si>
  <si>
    <t>&lt;2&gt;_1R11-N-90038-06-1_EKO</t>
  </si>
  <si>
    <t>&lt;4&gt;_1R11-N-90038-06-2_EKO</t>
  </si>
  <si>
    <t>&lt;1&gt;_1R11-WF-90008-01-1_EKO</t>
  </si>
  <si>
    <t>&lt;3&gt;_1R11-WF-90008-01-2_EKO</t>
  </si>
  <si>
    <t>&lt;1&gt;_1R71-BFW-30001-01-1_EKO</t>
  </si>
  <si>
    <t>&lt;1&gt;_1R71-DR-90001-01-1_EKO</t>
  </si>
  <si>
    <t>&lt;3&gt;_1R71-DR-90001-01-3_EKO</t>
  </si>
  <si>
    <t>&lt;4&gt;_1R71-DR-90001-01-2_EKO</t>
  </si>
  <si>
    <t>&lt;9&gt;_1R71-DR-90001-01-5_EKO</t>
  </si>
  <si>
    <t>&lt;1&gt;_1R71-DR-90001-02-1_EKO</t>
  </si>
  <si>
    <t>&lt;1&gt;_1R71-DR-90001-03-1_EKO</t>
  </si>
  <si>
    <t>&lt;2&gt;_1R71-DR-90001-03-2_EKO</t>
  </si>
  <si>
    <t>&lt;1&gt;_1R71-FG-30002-04-1_EKO</t>
  </si>
  <si>
    <t>&lt;4&gt;_1R71-FG-30008-01-1_EKO</t>
  </si>
  <si>
    <t>&lt;5&gt;_1R71-FG-30008-01-2_EKO</t>
  </si>
  <si>
    <t>&lt;7&gt;_1R71-FG-30008-01-3_EKO</t>
  </si>
  <si>
    <t>&lt;1&gt;_1R71-H-40003-04-1_EKO</t>
  </si>
  <si>
    <t>&lt;2&gt;_1R71-H-40003-05-1_EKO</t>
  </si>
  <si>
    <t>&lt;1&gt;_1R71-H-40005-01-1_EKO</t>
  </si>
  <si>
    <t>&lt;1&gt;_1R71-ME-90003-01-1_EKO</t>
  </si>
  <si>
    <t>&lt;2&gt;_1R71-ME-90003-01-2_EKO</t>
  </si>
  <si>
    <t>&lt;1&gt;_1R71-ME-90003-02-1_EKO</t>
  </si>
  <si>
    <t>&lt;1&gt;_1R71-ME-90003-03-1_EKO</t>
  </si>
  <si>
    <t>&lt;2&gt;_1R71-ME-90003-03-2_EKO</t>
  </si>
  <si>
    <t>&lt;1&gt;_1R71-ME-90009-01-1_EKO</t>
  </si>
  <si>
    <t>&lt;1&gt;_1R71-OG-30001-01-1_EKO</t>
  </si>
  <si>
    <t>&lt;4&gt;_1R71-OG-30001-04-1_EKO</t>
  </si>
  <si>
    <t>&lt;1&gt;_1R71-OG-30001-05-1_EKO</t>
  </si>
  <si>
    <t>&lt;1&gt;_1R71-OG-30002-01-1_EKO</t>
  </si>
  <si>
    <t>&lt;1&gt;_1R71-OG-30002-02-1_EKO</t>
  </si>
  <si>
    <t>&lt;1&gt;_1R71-OG-30002-03-1_EKO</t>
  </si>
  <si>
    <t>&lt;3&gt;_1R71-OG-30002-03-2_EKO</t>
  </si>
  <si>
    <t>&lt;3&gt;_1R71-OG-30002-07-1_EKO</t>
  </si>
  <si>
    <t>&lt;1&gt;_1R71-P-10008-01-1_EKO</t>
  </si>
  <si>
    <t>&lt;1&gt;_1R71-P-10008-02-1_EKO</t>
  </si>
  <si>
    <t>&lt;1&gt;_1R71-P-30021-01-1_EKO</t>
  </si>
  <si>
    <t>&lt;6&gt;_1R71-P-30021-02-1_EKO</t>
  </si>
  <si>
    <t>&lt;1&gt;_1R71-P-30162-01-1_EKO</t>
  </si>
  <si>
    <t>&lt;4&gt;_1R71-P-30162-02-1_EKO</t>
  </si>
  <si>
    <t>&lt;1&gt;_1R71-P-30177-01-1_EKO</t>
  </si>
  <si>
    <t>&lt;3&gt;_1R71-P-30177-01-2_EKO</t>
  </si>
  <si>
    <t>&lt;2&gt;_1R71-QO-20027-06-1_EKO</t>
  </si>
  <si>
    <t>&lt;2&gt;_1R71-QO-20027-07-1_EKO</t>
  </si>
  <si>
    <t>&lt;2&gt;_1R71-QO-20029-05-1_EKO</t>
  </si>
  <si>
    <t>&lt;2&gt;_1R71-QO-20029-06-2_EKO</t>
  </si>
  <si>
    <t>&lt;3&gt;_1R71-WW-90001-01-2_EKO</t>
  </si>
  <si>
    <t>&lt;6&gt;_1R71-WW-90001-04-1_EKO</t>
  </si>
  <si>
    <t>&lt;2&gt;_1R11-LS-11001-01-1_EKO</t>
  </si>
  <si>
    <t>&lt;4&gt;_1R11-LS-11001-01-2_EKO</t>
  </si>
  <si>
    <t>&lt;2&gt;_1R11-LS-12001-01-1_EKO</t>
  </si>
  <si>
    <t>&lt;5&gt;_1R11-LS-12001-01-3_EKO</t>
  </si>
  <si>
    <t>&lt;2&gt;_1R11-LS-13001-01-1_EKO</t>
  </si>
  <si>
    <t>&lt;5&gt;_1R11-LS-13001-01-3_EKO</t>
  </si>
  <si>
    <t>&lt;2&gt;_1R11-LS-14001-01-1_EKO</t>
  </si>
  <si>
    <t>&lt;5&gt;_1R11-LS-14001-01-3_EKO</t>
  </si>
  <si>
    <t>&lt;2&gt;_1R11-LS-15001-01-1_EKO</t>
  </si>
  <si>
    <t>&lt;4&gt;_1R11-LS-15001-01-2_EKO</t>
  </si>
  <si>
    <t>&lt;6&gt;_1R11-LS-15001-01-3_EKO</t>
  </si>
  <si>
    <t>&lt;2&gt;_1R11-LS-16001-01-1_EKO</t>
  </si>
  <si>
    <t>&lt;5&gt;_1R11-LS-16001-01-3_EKO</t>
  </si>
  <si>
    <t>&lt;2&gt;_1R11-LS-17001-01-1_EKO</t>
  </si>
  <si>
    <t>&lt;5&gt;_1R11-LS-17001-01-3_EKO</t>
  </si>
  <si>
    <t>&lt;2&gt;_1R11-N-90038-03-1_EKO</t>
  </si>
  <si>
    <t>&lt;5&gt;_1R11-N-90038-03-2_EKO</t>
  </si>
  <si>
    <t>&lt;5&gt;_1R11-N-90038-06-2_EKO</t>
  </si>
  <si>
    <t>&lt;2&gt;_1R11-WF-90008-01-1_EKO</t>
  </si>
  <si>
    <t>&lt;4&gt;_1R11-WF-90008-01-2_EKO</t>
  </si>
  <si>
    <t>&lt;2&gt;_1R71-BFW-30001-01-1_EKO</t>
  </si>
  <si>
    <t>&lt;2&gt;_1R71-DR-90001-01-1_EKO</t>
  </si>
  <si>
    <t>&lt;6&gt;_1R71-DR-90001-01-3_EKO</t>
  </si>
  <si>
    <t>&lt;5&gt;_1R71-DR-90001-01-2_EKO</t>
  </si>
  <si>
    <t>&lt;10&gt;_1R71-DR-90001-01-5_EKO</t>
  </si>
  <si>
    <t>&lt;2&gt;_1R71-DR-90001-02-1_EKO</t>
  </si>
  <si>
    <t>&lt;3&gt;_1R71-DR-90001-03-2_EKO</t>
  </si>
  <si>
    <t>&lt;6&gt;_1R71-FG-30008-01-2_EKO</t>
  </si>
  <si>
    <t>&lt;3&gt;_1R71-H-40003-05-1_EKO</t>
  </si>
  <si>
    <t>&lt;2&gt;_1R71-H-40005-01-1_EKO</t>
  </si>
  <si>
    <t>&lt;3&gt;_1R71-ME-90003-01-2_EKO</t>
  </si>
  <si>
    <t>&lt;2&gt;_1R71-ME-90009-01-1_EKO</t>
  </si>
  <si>
    <t>&lt;2&gt;_1R71-OG-30001-05-1_EKO</t>
  </si>
  <si>
    <t>&lt;2&gt;_1R71-OG-30002-03-1_EKO</t>
  </si>
  <si>
    <t>&lt;4&gt;_1R71-OG-30002-03-2_EKO</t>
  </si>
  <si>
    <t>&lt;2&gt;_1R71-P-30021-01-1_EKO</t>
  </si>
  <si>
    <t>&lt;7&gt;_1R71-P-30021-02-1_EKO</t>
  </si>
  <si>
    <t>&lt;2&gt;_1R71-P-30162-01-1_EKO</t>
  </si>
  <si>
    <t>&lt;5&gt;_1R71-P-30162-02-1_EKO</t>
  </si>
  <si>
    <t>&lt;2&gt;_1R71-P-30177-01-1_EKO</t>
  </si>
  <si>
    <t>&lt;4&gt;_1R71-P-30177-01-2_EKO</t>
  </si>
  <si>
    <t>&lt;5&gt;_1R11-LS-11001-01-2_EKO</t>
  </si>
  <si>
    <t>&lt;6&gt;_1R11-LS-12001-01-3_EKO</t>
  </si>
  <si>
    <t>&lt;6&gt;_1R11-LS-13001-01-3_EKO</t>
  </si>
  <si>
    <t>&lt;3&gt;_1R11-N-90038-03-1_EKO</t>
  </si>
  <si>
    <t>&lt;7&gt;_1R71-DR-90001-01-3_EKO</t>
  </si>
  <si>
    <t>&lt;3&gt;_1R71-DR-90001-02-1_EKO</t>
  </si>
  <si>
    <t>&lt;4&gt;_1R71-DR-90001-03-2_EKO</t>
  </si>
  <si>
    <t>&lt;4&gt;_1R71-ME-90003-01-2_EKO</t>
  </si>
  <si>
    <t>&lt;3&gt;_1R71-ME-90009-01-1_EKO</t>
  </si>
  <si>
    <t>&lt;8&gt;_1R71-DR-90001-01-3_EKO</t>
  </si>
  <si>
    <t>: HEIN-III-0052</t>
  </si>
  <si>
    <t>PIPE, SIZE : 4", CS A106-B SMLS BE B36.10M , S-STD</t>
  </si>
  <si>
    <t>&lt;4&gt;_1R11-LS-90011-06-1_EKO</t>
  </si>
  <si>
    <t>&lt;1&gt;_1R11-LS-90011-08-1_EKO</t>
  </si>
  <si>
    <t>&lt;2&gt;_1R71-FG-30002-04-1_EKO</t>
  </si>
  <si>
    <t>&lt;1&gt;_1R71-QO-20027-06-1_EKO</t>
  </si>
  <si>
    <t>&lt;1&gt;_1R71-QO-20027-07-1_EKO</t>
  </si>
  <si>
    <t>&lt;1&gt;_1R71-QO-20029-05-1_EKO</t>
  </si>
  <si>
    <t>&lt;1&gt;_1R71-QO-20029-06-1_EKO</t>
  </si>
  <si>
    <t>&lt;5&gt;_1R71-WW-90001-04-1_EKO</t>
  </si>
  <si>
    <t>: HEIN-III-0053</t>
  </si>
  <si>
    <t>&lt;5&gt;_1R11-LS-90011-06-1_EKO</t>
  </si>
  <si>
    <t>&lt;2&gt;_1R11-LS-90011-08-1_EKO</t>
  </si>
  <si>
    <t>&lt;3&gt;_1R11-N-90038-01-2_EKO</t>
  </si>
  <si>
    <t>&lt;5&gt;_1R11-N-90038-04-1_EKO</t>
  </si>
  <si>
    <t>&lt;2&gt;_1R11-N-90038-05-1_EKO</t>
  </si>
  <si>
    <t>&lt;5&gt;_1R11-N-90038-05-2_EKO</t>
  </si>
  <si>
    <t>&lt;8&gt;_1R11-N-90038-05-3_EKO</t>
  </si>
  <si>
    <t>&lt;11&gt;_1R11-N-90038-05-4_EKO</t>
  </si>
  <si>
    <t>&lt;3&gt;_1R11-N-90038-06-1_EKO</t>
  </si>
  <si>
    <t>&lt;3&gt;_1R11-PA-90001-03-1_EKO</t>
  </si>
  <si>
    <t>&lt;6&gt;_1R11-LS-90011-06-1_EKO</t>
  </si>
  <si>
    <t>&lt;3&gt;_1R11-LS-90011-08-1_EKO</t>
  </si>
  <si>
    <t>&lt;6&gt;_1R11-N-90038-04-1_EKO</t>
  </si>
  <si>
    <t>&lt;4&gt;_1R11-PA-90001-03-1_EKO</t>
  </si>
  <si>
    <t>: HEIN-III-0054</t>
  </si>
  <si>
    <t>PIPE, SIZE : 2", CS A106-B SMLS BE B36.10M , S-XS</t>
  </si>
  <si>
    <t xml:space="preserve"> 8", CS A16-B SMLS BE B36.1M , S-STD</t>
  </si>
  <si>
    <t>&lt;1&gt;_1R11-VBW-90001-01-1_EKO</t>
  </si>
  <si>
    <t>&lt;2&gt;_1R11-VBW-90001-01-1_EKO</t>
  </si>
  <si>
    <t>: HEIN-III-0055</t>
  </si>
  <si>
    <t>PIPE, SIZE : 12", CS A106-B SMLS BE B36.10M , S-160</t>
  </si>
  <si>
    <t>&lt;1&gt;_1R11-VBW-90011-01-1_EKO</t>
  </si>
  <si>
    <t>&lt;4&gt;_1R11-VBW-90011-03-3_EKO</t>
  </si>
  <si>
    <t>&lt;3&gt;_1R11-VBW-90011-04-2_EKO</t>
  </si>
  <si>
    <t>&lt;4&gt;_1R11-VBW-90011-05-2_EKO</t>
  </si>
  <si>
    <t>&lt;2&gt;_1R11-VBW-90011-01-1_EKO</t>
  </si>
  <si>
    <t>&lt;5&gt;_1R11-VBW-90011-03-3_EKO</t>
  </si>
  <si>
    <t>&lt;4&gt;_1R11-VBW-90011-04-2_EKO</t>
  </si>
  <si>
    <t>&lt;5&gt;_1R11-VBW-90011-05-2_EKO</t>
  </si>
  <si>
    <t>: M193783823</t>
  </si>
  <si>
    <t>: HEIN-III-0056</t>
  </si>
  <si>
    <t>PIPE, SIZE : 4", CS A106-B SMLS BE B36.10M , S-160</t>
  </si>
  <si>
    <t>&lt;1&gt;_1R71-PL-60045-01-1_EKO</t>
  </si>
  <si>
    <t>&lt;5&gt;_1R71-PL-60045-02-1_EKO</t>
  </si>
  <si>
    <t>&lt;2&gt;_1R71-PL-60045-01-1_EKO</t>
  </si>
  <si>
    <t>&lt;6&gt;_1R71-PL-60045-02-1_EKO</t>
  </si>
  <si>
    <t>: M192657007</t>
  </si>
  <si>
    <t>: HEIN-III-0057</t>
  </si>
  <si>
    <t>PIPE, SIZE : 4", LTCS A333-6 SMLS BE B36.10M , S-STD</t>
  </si>
  <si>
    <t>&lt;9&gt;_1R11-VBW-90001-01-2_EKO</t>
  </si>
  <si>
    <t>&lt;1&gt;_1R11-VBW-90001-02-1_EKO</t>
  </si>
  <si>
    <t>&lt;2&gt;_1R11-VBW-90001-02-2_EKO</t>
  </si>
  <si>
    <t>&lt;3&gt;_1R11-VBW-90001-02-3_EKO</t>
  </si>
  <si>
    <t>&lt;4&gt;_1R11-VBW-90011-02-1_EKO</t>
  </si>
  <si>
    <t>&lt;3&gt;_1R11-VBW-90011-03-2_EKO</t>
  </si>
  <si>
    <t>&lt;2&gt;_1R11-VBW-90011-04-1_EKO</t>
  </si>
  <si>
    <t>&lt;5&gt;_1R11-VBW-90011-04-3_EKO</t>
  </si>
  <si>
    <t>&lt;3&gt;_1R11-VBW-90011-05-1_EKO</t>
  </si>
  <si>
    <t>&lt;6&gt;_1R11-VBW-90011-05-3_EKO</t>
  </si>
  <si>
    <t>&lt;4&gt;_1R71-BFW-90002-03-2_EKO</t>
  </si>
  <si>
    <t>&lt;5&gt;_1R71-BFW-90022-03-2_EKO</t>
  </si>
  <si>
    <t>&lt;4&gt;_1R71-QW-20013-01-1_EKO</t>
  </si>
  <si>
    <t>: M194129270</t>
  </si>
  <si>
    <t>: HEIN-III-0058</t>
  </si>
  <si>
    <t>PIPE, SIZE : 3", CS A106-B SMLS BE B36.10M , S-XS</t>
  </si>
  <si>
    <t>&lt;2&gt;_1R71-BFW-90002-07-1_EKO</t>
  </si>
  <si>
    <t>&lt;3&gt;_1R71-FO-20009-01-2_EKO</t>
  </si>
  <si>
    <t>: HEIN-III-0059</t>
  </si>
  <si>
    <t>PIPE, SIZE : 3", CS A106-B SMLS BE B36.10M , S-STD</t>
  </si>
  <si>
    <t>&lt;5&gt;_1R71-MS-90005-04-6_EKO</t>
  </si>
  <si>
    <t>: M219152034</t>
  </si>
  <si>
    <t>: HEIN-III-0060</t>
  </si>
  <si>
    <t>:</t>
  </si>
  <si>
    <t>PIPE, SIZE : 24", CS A106-B SMLS BE B36.10M , 15.88</t>
  </si>
  <si>
    <t>LENGTH</t>
  </si>
  <si>
    <t>&lt;3&gt;_1R71-P-30067-02-2_EKO</t>
  </si>
  <si>
    <t>&lt;4&gt;_1R71-P-30067-02-3_EKO</t>
  </si>
  <si>
    <t>&lt;5&gt;_1R71-P-30067-02-4_EKO</t>
  </si>
  <si>
    <t>&lt;6&gt;_1R71-P-30067-02-5_EKO</t>
  </si>
  <si>
    <t>: 2023.04.09</t>
  </si>
  <si>
    <t>: Batch-MIXED</t>
  </si>
  <si>
    <t>: HEIN-IV-001</t>
  </si>
  <si>
    <t>THE END</t>
  </si>
  <si>
    <t xml:space="preserve">PIPE SIZE : 10'' S-STD CS A106-B SMLS BE B36.10M </t>
  </si>
  <si>
    <t>Marking Spool</t>
  </si>
  <si>
    <t>&lt;1&gt;_1R71-P-30153-01-1_EKO</t>
  </si>
  <si>
    <t>&lt;2&gt;_1R71-P-30153-01-1_EKO</t>
  </si>
  <si>
    <t>&lt;5&gt;_1R71-P-30153-02-1_EKO</t>
  </si>
  <si>
    <t>&lt;1&gt;_1R71-P-30153-03-1_EKO</t>
  </si>
  <si>
    <t>&lt;2&gt;_1R71-P-30153-03-1_EKO</t>
  </si>
  <si>
    <t>&lt;3&gt;_1R71-P-30153-03-2_EKO</t>
  </si>
  <si>
    <t>&lt;4&gt;_1R71-P-30153-03-2_EKO</t>
  </si>
  <si>
    <t>&lt;9&gt;_1R71-P-30154-01-2_EKO</t>
  </si>
  <si>
    <t>&lt;2&gt;_1R71-PW-90001-03-1_KARTONO</t>
  </si>
  <si>
    <t>&lt;1&gt;_1R71-PW-90001-04-1_EKO</t>
  </si>
  <si>
    <t>&lt;2&gt;_1R71-PW-90001-04-2_EKO</t>
  </si>
  <si>
    <t>&lt;2&gt;_1R71-PW-90001-05-1_KARTONO</t>
  </si>
  <si>
    <t>&lt;3&gt;_1R71-PW-90001-05-2_KARTONO</t>
  </si>
  <si>
    <t>&lt;4&gt;_1R71-PW-90001-05-2_KARTONO</t>
  </si>
  <si>
    <t>&lt;1&gt;_1R71-PW-90001-05-2_EKO</t>
  </si>
  <si>
    <t>&lt;2&gt;_1R71-PW-90001-06-1_EKO</t>
  </si>
  <si>
    <t>&lt;3&gt;_1R71-PW-90001-06-2_EKO</t>
  </si>
  <si>
    <t>&lt;4&gt;_1R71-PW-90001-06-3_EKO</t>
  </si>
  <si>
    <t>&lt;6&gt;_1R71-PW-90001-06-3_EKO</t>
  </si>
  <si>
    <t>&lt;8&gt;_1R71-PW-90001-06-4_EKO</t>
  </si>
  <si>
    <t>&lt;9&gt;_1R71-PW-90001-06-4_EKO</t>
  </si>
  <si>
    <t>&lt;1&gt;_1R71-WF-30011-01-1_EKO</t>
  </si>
  <si>
    <t>&lt;1&gt;_1R71-WF-30012-01-1_EKO</t>
  </si>
  <si>
    <t>&lt;1&gt;_1R71-WF-90004-01-1_EKO</t>
  </si>
  <si>
    <t>&lt;2&gt;_1R71-WF-90004-01-1_EKO</t>
  </si>
  <si>
    <t>: HEIN-IV-002</t>
  </si>
  <si>
    <t xml:space="preserve">PIPE SIZE : 4'' S-STD CS A106-B SMLS BE B36.10M </t>
  </si>
  <si>
    <t>&lt;2&gt;_1R71-P-30181-02-2_KARTONO</t>
  </si>
  <si>
    <t>&lt;1&gt;_1R71-P-60031-01-2_KARTONO</t>
  </si>
  <si>
    <t>&lt;1&gt;_1R71-P-60066-01-1_KARTONO</t>
  </si>
  <si>
    <t>&lt;2&gt;_1R71-P-60066-01-1_KARTONO</t>
  </si>
  <si>
    <t>&lt;3&gt;_1R71-P-60066-01-2_KARTONO</t>
  </si>
  <si>
    <t>&lt;4&gt;_1R71-P-60066-01-2_KARTONO</t>
  </si>
  <si>
    <t>&lt;5&gt;_1R71-P-60066-01-2_KARTONO</t>
  </si>
  <si>
    <t>&lt;1&gt;_1R71-P-60066-02-1_EKO</t>
  </si>
  <si>
    <t>&lt;2&gt;_1R71-P-60066-02-1_EKO</t>
  </si>
  <si>
    <t>&lt;5&gt;_1R71-WF-30011-01-3_EKO</t>
  </si>
  <si>
    <t>&lt;6&gt;_1R71-WF-30011-01-3_EKO</t>
  </si>
  <si>
    <t>&lt;7&gt;_1R71-WF-30011-01-4_EKO</t>
  </si>
  <si>
    <t>&lt;8&gt;_1R71-WF-30011-01-5_EKO</t>
  </si>
  <si>
    <t>&lt;9&gt;_1R71-WF-30011-01-5_EKO</t>
  </si>
  <si>
    <t>&lt;1&gt;_1R71-WF-90002-01-1_EKO</t>
  </si>
  <si>
    <t>&lt;1&gt;_1R71-WF-90002-03-1_EKO</t>
  </si>
  <si>
    <t>&lt;1&gt;_1R71-WF-90011-01-1_EKO</t>
  </si>
  <si>
    <t>&lt;5&gt;_1R71-WF-90011-01-3_EKO</t>
  </si>
  <si>
    <t>&lt;6&gt;_1R71-WF-90011-01-3_EKO</t>
  </si>
  <si>
    <t>&lt;7&gt;_1R71-WF-90011-01-4_EKO</t>
  </si>
  <si>
    <t>&lt;8&gt;_1R71-WF-90011-01-4_EKO</t>
  </si>
  <si>
    <t>&lt;1&gt;_1R71-WF-90011-02-1_EKO</t>
  </si>
  <si>
    <t>: HEIN-IV-003</t>
  </si>
  <si>
    <t xml:space="preserve">PIPE SIZE : 6'' S-STD CS A106-B SMLS BE B36.10M </t>
  </si>
  <si>
    <t>&lt;1&gt;_1R71-P-30068-02-1_KARTONO</t>
  </si>
  <si>
    <t>&lt;4&gt;_1R71-P-30068-02-2_KARTONO</t>
  </si>
  <si>
    <t>&lt;1&gt;_1R71-P-30068-03-1_EKO</t>
  </si>
  <si>
    <t>&lt;2&gt;_1R71-P-30068-03-2_EKO</t>
  </si>
  <si>
    <t>&lt;1&gt;_1R71-P-30068-04-1_EKO</t>
  </si>
  <si>
    <t>&lt;2&gt;_1R71-P-30068-04-2_EKO</t>
  </si>
  <si>
    <t>: M192656722</t>
  </si>
  <si>
    <t>: HEIN-IV-004</t>
  </si>
  <si>
    <t xml:space="preserve">PIPE SIZE : 10'' S-STD LTCS A333-6 SMLS BE B36.10M </t>
  </si>
  <si>
    <t>&lt;3&gt;_1R71-P-30092-02-1_EKO</t>
  </si>
  <si>
    <t>&lt;4&gt;_1R71-P-30092-02-1_EKO</t>
  </si>
  <si>
    <t>&lt;1&gt;_1R71-P-60009-01-1_EKO</t>
  </si>
  <si>
    <t>&lt;2&gt;_1R71-P-60009-01-1_EKO</t>
  </si>
  <si>
    <t>&lt;7&gt;_1R71-P-60009-01-2_EKO</t>
  </si>
  <si>
    <t>&lt;1&gt;_1R71-P-60009-02-1_EKO</t>
  </si>
  <si>
    <t>&lt;2&gt;_1R71-P-60009-02-1_EKO</t>
  </si>
  <si>
    <t>: HEIN-IV-005</t>
  </si>
  <si>
    <t xml:space="preserve">PIPE SIZE : 4'' S-STD LTCS A333-6 SMLS BE B36.10M </t>
  </si>
  <si>
    <t>&lt;1&gt;_1R71-PL-60044-02-1_EKO</t>
  </si>
  <si>
    <t>&lt;2&gt;_1R71-PL-60044-02-1_EKO</t>
  </si>
  <si>
    <t>&lt;1&gt;_1R71-PR-60013-01-1_EKO</t>
  </si>
  <si>
    <t>&lt;2&gt;_1R71-PR-60013-01-1_EKO</t>
  </si>
  <si>
    <t>&lt;3&gt;_1R71-PR-60013-02-1_EKO</t>
  </si>
  <si>
    <t>&lt;4&gt;_1R71-PR-60013-02-2_EKO</t>
  </si>
  <si>
    <t>&lt;5&gt;_1R71-PR-60013-02-2_EKO</t>
  </si>
  <si>
    <t>&lt;6&gt;_1R71-PR-60013-02-3_EKO</t>
  </si>
  <si>
    <t>: HEIN-IV-006</t>
  </si>
  <si>
    <t xml:space="preserve">PIPE SIZE : 6'' S-STD LTCS A333-6 SMLS BE B36.10M </t>
  </si>
  <si>
    <t>&lt;1&gt;_1R71-PW-90001-03-1_KARTONO</t>
  </si>
  <si>
    <t>M192809156</t>
  </si>
  <si>
    <t>&lt;1&gt;_1R71-PW-90001-05-1_KARTONO</t>
  </si>
  <si>
    <t>&lt;5&gt;_1R71-PW-90001-06-3_EKO</t>
  </si>
  <si>
    <t>: HEIN-IV-007</t>
  </si>
  <si>
    <t xml:space="preserve">PIPE SIZE : 2'' S-XS CS A106-B SMLS BE B36.10M </t>
  </si>
  <si>
    <t>&lt;3&gt;_1R71-LSC-30031-03-2_KARTONO</t>
  </si>
  <si>
    <t>&lt;2&gt;_1R71-P-20018-01-2_KARTONO</t>
  </si>
  <si>
    <t>&lt;2&gt;_1R71-P-20019-01-2_KARTONO</t>
  </si>
  <si>
    <t>&lt;2&gt;_1R71-P-20020-01-2_KARTONO</t>
  </si>
  <si>
    <t>&lt;2&gt;_1R71-P-20021-01-2_KARTONO</t>
  </si>
  <si>
    <t>&lt;2&gt;_1R71-P-20022-01-2_KARTONO</t>
  </si>
  <si>
    <t>&lt;2&gt;_1R71-P-20023-01-2_KARTONO</t>
  </si>
  <si>
    <t>&lt;2&gt;_1R71-P-20024-01-2_KARTONO</t>
  </si>
  <si>
    <t>&lt;2&gt;_1R71-P-20025-01-2_KARTONO</t>
  </si>
  <si>
    <t>&lt;2&gt;_1R71-P-20026-01-2_KARTONO</t>
  </si>
  <si>
    <t>&lt;2&gt;_1R71-P-20027-01-2_KARTONO</t>
  </si>
  <si>
    <t>&lt;2&gt;_1R71-P-20028-01-2_EKO</t>
  </si>
  <si>
    <t>&lt;2&gt;_1R71-P-20029-01-2_EKO</t>
  </si>
  <si>
    <t>&lt;2&gt;_1R71-P-20030-01-2_EKO</t>
  </si>
  <si>
    <t>&lt;2&gt;_1R71-P-20031-01-2_EKO</t>
  </si>
  <si>
    <t>&lt;2&gt;_1R71-P-20032-01-2_EKO</t>
  </si>
  <si>
    <t>&lt;2&gt;_1R71-P-20039-01-2_EKO</t>
  </si>
  <si>
    <t>&lt;2&gt;_1R71-P-20040-01-2_EKO</t>
  </si>
  <si>
    <t>&lt;7&gt;_1R71-P-30067-02-6_EKO</t>
  </si>
  <si>
    <t>M191090337</t>
  </si>
  <si>
    <t>&lt;1&gt;_1R71-P-30067-02-1_EKO</t>
  </si>
  <si>
    <t>&lt;1&gt;_1R71-LSC-30031-01-1_KARTONO</t>
  </si>
  <si>
    <t>&lt;2&gt;_1R71-LSC-30031-01-1_KARTONO</t>
  </si>
  <si>
    <t>&lt;1&gt;_1R71-LSC-30031-02-1_KARTONO</t>
  </si>
  <si>
    <t>&lt;8&gt;_1R71-P-30067-02-6_EKO</t>
  </si>
  <si>
    <t>&lt;2&gt;_1R71-P-30067-02-1_EKO</t>
  </si>
  <si>
    <t>&lt;2&gt;_1R71-N-90001-03-1_EKO</t>
  </si>
  <si>
    <t>M191090397</t>
  </si>
  <si>
    <t>&lt;1&gt;_1R71-N-90001-05-1_EKO</t>
  </si>
  <si>
    <t xml:space="preserve">PIPE SIZE : 12'' S-STD CS A106-B SMLS BE B36.10M </t>
  </si>
  <si>
    <t>&lt;2&gt;_1R71-LS-90007-02-3_KARTONO</t>
  </si>
  <si>
    <t>M191090455</t>
  </si>
  <si>
    <t>&lt;3&gt;_1R71-LS-90007-03-3_KARTONO</t>
  </si>
  <si>
    <t>&lt;4&gt;_1R71-MS-90007-01-3_EKO</t>
  </si>
  <si>
    <t>&lt;1&gt;_1R71-MS-90007-01-3_EKO</t>
  </si>
  <si>
    <t xml:space="preserve">PIPE SIZE : 14'' S-STD CS A106-B SMLS BE B36.10M </t>
  </si>
  <si>
    <t>&lt;1&gt;_1R71-BMX-60007-01-1_KARTONO</t>
  </si>
  <si>
    <t>M191090626</t>
  </si>
  <si>
    <t>&lt;2&gt;_1R71-BMX-60007-01-1_KARTONO</t>
  </si>
  <si>
    <t>&lt;3&gt;_1R71-BMX-60007-01-2_KARTONO</t>
  </si>
  <si>
    <t>&lt;4&gt;_1R71-BMX-60007-01-2_KARTONO</t>
  </si>
  <si>
    <t>&lt;5&gt;_1R71-BMX-60007-01-3_KARTONO</t>
  </si>
  <si>
    <t>&lt;6&gt;_1R71-BMX-60007-01-4_KARTONO</t>
  </si>
  <si>
    <t>&lt;1&gt;_1R71-N-20001-01-1_KARTONO</t>
  </si>
  <si>
    <t>&lt;2&gt;_1R71-N-20001-01-1_KARTONO</t>
  </si>
  <si>
    <t>&lt;3&gt;_1R71-N-20001-01-2_KARTONO</t>
  </si>
  <si>
    <t>&lt;4&gt;_1R71-N-20001-01-3_KARTONO</t>
  </si>
  <si>
    <t>&lt;5&gt;_1R71-N-20001-01-3_KARTONO</t>
  </si>
  <si>
    <t>&lt;6&gt;_1R71-N-20001-01-4_KARTONO</t>
  </si>
  <si>
    <t>&lt;1&gt;_1R71-N-90038-01-1_KARTONO</t>
  </si>
  <si>
    <t>&lt;2&gt;_1R71-N-90038-01-1_KARTONO</t>
  </si>
  <si>
    <t>&lt;3&gt;_1R71-N-90038-01-2_KARTONO</t>
  </si>
  <si>
    <t>&lt;4&gt;_1R71-N-90038-01-2_KARTONO</t>
  </si>
  <si>
    <t>&lt;2&gt;_1R71-N-90038-02-2_KARTONO</t>
  </si>
  <si>
    <t>&lt;3&gt;_1R71-N-90038-02-2_KARTONO</t>
  </si>
  <si>
    <t>&lt;1&gt;_1R71-NAS-30012-05-1_KARTONO</t>
  </si>
  <si>
    <t>&lt;2&gt;_1R71-NAS-30012-05-1_KARTONO</t>
  </si>
  <si>
    <t>&lt;4&gt;_1R71-P-20013-04-1_KARTONO</t>
  </si>
  <si>
    <t>&lt;5&gt;_1R71-P-20013-04-1_KARTONO</t>
  </si>
  <si>
    <t>M191090685</t>
  </si>
  <si>
    <t>&lt;1&gt;_1R71-FW-02901-01-1_KARTONO</t>
  </si>
  <si>
    <t>&lt;2&gt;_1R71-FW-02901-01-1_KARTONO</t>
  </si>
  <si>
    <t>&lt;6&gt;_1R71-FW-02901-01-3_KARTONO</t>
  </si>
  <si>
    <t>&lt;1&gt;_1R71-FW-04901-01-1_KARTONO</t>
  </si>
  <si>
    <t>&lt;2&gt;_1R71-P-20015-02-2_KARTONO</t>
  </si>
  <si>
    <t>&lt;1&gt;_1R71-FW-05901-01-1_KARTONO</t>
  </si>
  <si>
    <t>&lt;3&gt;_1R71-FW-02901-01-2_KARTONO</t>
  </si>
  <si>
    <t>&lt;5&gt;_1R71-FW-02901-01-3_KARTONO</t>
  </si>
  <si>
    <t>&lt;2&gt;_1R71-FW-04901-01-1_KARTONO</t>
  </si>
  <si>
    <t>&lt;3&gt;_1R71-FW-04901-01-2_KARTONO</t>
  </si>
  <si>
    <t>&lt;4&gt;_1R71-FW-04901-01-2_KARTONO</t>
  </si>
  <si>
    <t>&lt;2&gt;_1R71-FW-05901-01-1_KARTONO</t>
  </si>
  <si>
    <t>&lt;3&gt;_1R71-FW-05901-01-2_KARTONO</t>
  </si>
  <si>
    <t>&lt;4&gt;_1R71-FW-05901-01-2_KARTONO</t>
  </si>
  <si>
    <t>&lt;4&gt;_1R71-P-20015-04-1_KARTONO</t>
  </si>
  <si>
    <t>&lt;1&gt;_1R71-FW-03101-01-1_KARTONO</t>
  </si>
  <si>
    <t>M192125400</t>
  </si>
  <si>
    <t>&lt;2&gt;_1R71-FW-03101-01-1_KARTONO</t>
  </si>
  <si>
    <t>&lt;3&gt;_1R71-FW-03101-01-2_KARTONO</t>
  </si>
  <si>
    <t>: M192125400</t>
  </si>
  <si>
    <t xml:space="preserve">PIPE SIZE : 6'' S-STD CS A106-B SMLS BE B36.10M HOT DIP GALV. </t>
  </si>
  <si>
    <t>&lt;1&gt;_1R71-FW-00101-01-1_KARTONO</t>
  </si>
  <si>
    <t>M192125452</t>
  </si>
  <si>
    <t>&lt;2&gt;_1R71-FW-00101-01-1_KARTONO</t>
  </si>
  <si>
    <t>&lt;3&gt;_1R71-FW-00101-01-2_KARTONO</t>
  </si>
  <si>
    <t>&lt;4&gt;_1R71-FW-00101-01-2_KARTONO</t>
  </si>
  <si>
    <t>&lt;1&gt;_1R71-FW-00102-01-1_KARTONO</t>
  </si>
  <si>
    <t>&lt;2&gt;_1R71-FW-00102-01-1_KARTONO</t>
  </si>
  <si>
    <t>&lt;3&gt;_1R71-FW-00102-01-2_KARTONO</t>
  </si>
  <si>
    <t>&lt;4&gt;_1R71-FW-00102-01-2_KARTONO</t>
  </si>
  <si>
    <t>&lt;1&gt;_1R71-FW-00105-01-1_KARTONO</t>
  </si>
  <si>
    <t>&lt;2&gt;_1R71-FW-00105-01-1_KARTONO</t>
  </si>
  <si>
    <t>&lt;3&gt;_1R71-FW-00105-01-2_KARTONO</t>
  </si>
  <si>
    <t>&lt;4&gt;_1R71-FW-00105-01-2_KARTONO</t>
  </si>
  <si>
    <t>&lt;2&gt;_1R71-FW-00105-02-1_KARTONO</t>
  </si>
  <si>
    <t>&lt;3&gt;_1R71-FW-00105-02-1_KARTONO</t>
  </si>
  <si>
    <t>&lt;4&gt;_1R71-FW-00105-02-2_KARTONO</t>
  </si>
  <si>
    <t>&lt;1&gt;_1R71-FW-00106-01-1_KARTONO</t>
  </si>
  <si>
    <t>&lt;2&gt;_1R71-FW-00106-01-1_KARTONO</t>
  </si>
  <si>
    <t>&lt;4&gt;_1R71-FW-00106-01-2_KARTONO</t>
  </si>
  <si>
    <t>&lt;5&gt;_1R71-FW-00106-01-2_KARTONO</t>
  </si>
  <si>
    <t>&lt;1&gt;_1R71-FW-00106-02-1_EKO</t>
  </si>
  <si>
    <t>&lt;3&gt;_1R71-FW-00106-02-2_EKO</t>
  </si>
  <si>
    <t>&lt;4&gt;_1R71-FW-00106-02-3_EKO</t>
  </si>
  <si>
    <t>&lt;5&gt;_1R71-FW-00106-02-3_EKO</t>
  </si>
  <si>
    <t>&lt;1&gt;_1R71-FW-02601-01-1_EKO</t>
  </si>
  <si>
    <t>&lt;2&gt;_1R71-FW-02601-01-1_EKO</t>
  </si>
  <si>
    <t>&lt;5&gt;_1R71-FW-02601-01-3_EKO</t>
  </si>
  <si>
    <t>&lt;1&gt;_1R71-FW-05101-01-1_EKO</t>
  </si>
  <si>
    <t>&lt;2&gt;_1R71-FW-05101-01-1_EKO</t>
  </si>
  <si>
    <t>&lt;3&gt;_1R71-FW-05101-01-2_EKO</t>
  </si>
  <si>
    <t>&lt;4&gt;_1R71-FW-05101-01-2_EKO</t>
  </si>
  <si>
    <t>&lt;1&gt;_1R71-FW-05201-01-1_EKO</t>
  </si>
  <si>
    <t>&lt;2&gt;_1R71-FW-05201-01-1_EKO</t>
  </si>
  <si>
    <t>&lt;3&gt;_1R71-FW-05201-01-2_EKO</t>
  </si>
  <si>
    <t>&lt;4&gt;_1R71-FW-05201-01-2_EKO</t>
  </si>
  <si>
    <t>: M192125452</t>
  </si>
  <si>
    <t xml:space="preserve">PIPE SIZE : 8'' S-STD CS A106-B SMLS BE B36.10M HOT DIP GALV. </t>
  </si>
  <si>
    <t>M192656722</t>
  </si>
  <si>
    <t>: HEIN-IV-008</t>
  </si>
  <si>
    <t>M192657007</t>
  </si>
  <si>
    <t>: HEIN-IV-009</t>
  </si>
  <si>
    <t>M192657065</t>
  </si>
  <si>
    <t>: HEIN-IV-010</t>
  </si>
  <si>
    <t>&lt;3&gt;_1R71-N-90001-03-1_EKO</t>
  </si>
  <si>
    <t>: HEIN-IV-011</t>
  </si>
  <si>
    <t>&lt;1&gt;_1R71-P-20016-06-1_KARTONO</t>
  </si>
  <si>
    <t>M194129309</t>
  </si>
  <si>
    <t>&lt;5&gt;_1R71-P-20016-06-4_KARTONO</t>
  </si>
  <si>
    <t>: HEIN-IV-012</t>
  </si>
  <si>
    <t xml:space="preserve">PIPE SIZE : 4'' S-XS CS A106-B SMLS BE B36.10M </t>
  </si>
  <si>
    <t>:2023.04.09</t>
  </si>
  <si>
    <t>Cut Length</t>
  </si>
  <si>
    <t>Ident Code</t>
  </si>
  <si>
    <t>Size</t>
  </si>
  <si>
    <t>Length</t>
  </si>
  <si>
    <t>Date</t>
  </si>
  <si>
    <t>&lt;2&gt;_1R71-QO-20027-02-2_EKO</t>
  </si>
  <si>
    <t>: 2023.04.11</t>
  </si>
  <si>
    <t>: Batch-005</t>
  </si>
  <si>
    <t>: HEIN-IV-013</t>
  </si>
  <si>
    <t>&lt;1&gt;_1R71-BFW-90029-01-1_EKO</t>
  </si>
  <si>
    <t>&lt;2&gt;_1R71-BFW-90029-01-2_EKO</t>
  </si>
  <si>
    <t>&lt;3&gt;_1R71-BFW-90029-01-2_EKO</t>
  </si>
  <si>
    <t>&lt;4&gt;_1R71-BFW-90029-01-3_EKO</t>
  </si>
  <si>
    <t>&lt;5&gt;_1R71-BFW-90029-01-3_EKO</t>
  </si>
  <si>
    <t>&lt;2&gt;_1R71-DS-20011-01-3_EKO</t>
  </si>
  <si>
    <t>&lt;7&gt;_1R71-MS-90005-01-3_EKO</t>
  </si>
  <si>
    <t>&lt;1&gt;_1R71-QO-20027-08-1_KARTONO</t>
  </si>
  <si>
    <t>&lt;2&gt;_1R71-QO-20027-08-2_KARTONO</t>
  </si>
  <si>
    <t>&lt;3&gt;_1R71-QO-20027-08-3_KARTONO</t>
  </si>
  <si>
    <t>&lt;1&gt;_1R71-QO-20027-09-1_EKO</t>
  </si>
  <si>
    <t>&lt;1&gt;_1R71-QO-20027-10-1_KARTONO</t>
  </si>
  <si>
    <t>&lt;2&gt;_1R71-QO-20027-10-2_KARTONO</t>
  </si>
  <si>
    <t>&lt;3&gt;_1R71-QO-20027-10-3_KARTONO</t>
  </si>
  <si>
    <t>&lt;1&gt;_1R71-QO-20029-07-1_KARTONO</t>
  </si>
  <si>
    <t>&lt;2&gt;_1R71-QO-20029-07-2_KARTONO</t>
  </si>
  <si>
    <t>&lt;3&gt;_1R71-QO-20029-07-3_KARTONO</t>
  </si>
  <si>
    <t>&lt;1&gt;_1R71-QO-20029-08-1_KARTONO</t>
  </si>
  <si>
    <t>&lt;1&gt;_1R71-QO-20029-09-1_KARTONO</t>
  </si>
  <si>
    <t>&lt;1&gt;_1R71-QO-20029-10-1_KARTONO</t>
  </si>
  <si>
    <t>&lt;2&gt;_1R71-QO-20029-10-2_KARTONO</t>
  </si>
  <si>
    <t>&lt;3&gt;_1R71-QO-20029-10-3_KARTONO</t>
  </si>
  <si>
    <t>: HEIN-IV-014</t>
  </si>
  <si>
    <t>&lt;6&gt;_1R71-FO-20009-04-1_EKO</t>
  </si>
  <si>
    <t>&lt;7&gt;_1R71-FO-20009-04-1_EKO</t>
  </si>
  <si>
    <t>&lt;2&gt;_1R71-HSC-90004-01-2_EKO</t>
  </si>
  <si>
    <t>&lt;3&gt;_1R71-HSC-90004-01-2_EKO</t>
  </si>
  <si>
    <t>&lt;1&gt;_1R71-P-20015-05-1_EKO</t>
  </si>
  <si>
    <t>&lt;2&gt;_1R71-P-20015-05-1_EKO</t>
  </si>
  <si>
    <t>&lt;3&gt;_1R71-P-20015-05-2_EKO</t>
  </si>
  <si>
    <t>&lt;1&gt;_1R71-P-30012-01-1_KARTONO</t>
  </si>
  <si>
    <t>&lt;2&gt;_1R71-P-30012-01-1_KARTONO</t>
  </si>
  <si>
    <t>&lt;3&gt;_1R71-P-30012-01-2_KARTONO</t>
  </si>
  <si>
    <t>&lt;5&gt;_1R71-P-30012-01-3_KARTONO</t>
  </si>
  <si>
    <t>&lt;6&gt;_1R71-P-30012-01-3_KARTONO</t>
  </si>
  <si>
    <t>&lt;1&gt;_1R71-WF-90002-02-1_KARTONO</t>
  </si>
  <si>
    <t>&lt;2&gt;_1R71-WF-90002-02-2_KARTONO</t>
  </si>
  <si>
    <t>&lt;3&gt;_1R71-WF-90002-02-3_KARTONO</t>
  </si>
  <si>
    <t>&lt;4&gt;_1R71-WF-90002-02-3_KARTONO</t>
  </si>
  <si>
    <t>: HEIN-IV-015</t>
  </si>
  <si>
    <t>&lt;3&gt;_1R71-QO-20027-02-2_EKO</t>
  </si>
  <si>
    <t>: HEIN-IV-016</t>
  </si>
  <si>
    <t xml:space="preserve">PIPE SIZE : 8'' S-STD CS A106-B SMLS BE B36.10M </t>
  </si>
  <si>
    <t>&lt;3&gt;_1R71-HS-90006-03-2_EKO</t>
  </si>
  <si>
    <t>&lt;4&gt;_1R71-HS-90006-03-3_EKO</t>
  </si>
  <si>
    <t>&lt;3&gt;_1R71-HS-90006-04-2_EKO</t>
  </si>
  <si>
    <t>&lt;4&gt;_1R71-HS-90006-04-3_EKO</t>
  </si>
  <si>
    <t>&lt;3&gt;_1R71-HS-90006-05-2_KARTONO</t>
  </si>
  <si>
    <t>&lt;4&gt;_1R71-HS-90006-05-3_KARTONO</t>
  </si>
  <si>
    <t>&lt;3&gt;_1R71-HS-90006-06-2_KARTONO</t>
  </si>
  <si>
    <t>&lt;4&gt;_1R71-HS-90006-06-3_KARTONO</t>
  </si>
  <si>
    <t>: HEIN-IV-017</t>
  </si>
  <si>
    <t xml:space="preserve">PIPE SIZE : 8'' S-XS CS A106-B SMLS BE B36.10M </t>
  </si>
  <si>
    <t>&lt;1&gt;_1R71-P-30092-01-1_KARTONO</t>
  </si>
  <si>
    <t>&lt;2&gt;_1R71-P-30092-01-1_KARTONO</t>
  </si>
  <si>
    <t>: HEIN-IV-018</t>
  </si>
  <si>
    <t>&lt;1&gt;_1R71-PL-60016-01-1_KARTONO</t>
  </si>
  <si>
    <t>&lt;2&gt;_1R71-PL-60016-01-1_KARTONO</t>
  </si>
  <si>
    <t>&lt;1&gt;_1R71-PL-60016-02-1_KARTONO</t>
  </si>
  <si>
    <t>&lt;2&gt;_1R71-PL-60016-02-2_KARTONO</t>
  </si>
  <si>
    <t>: HEIN-IV-019</t>
  </si>
  <si>
    <t>&lt;1&gt;_1R71-BFW-90022-05-1_EKO</t>
  </si>
  <si>
    <t>&lt;2&gt;_1R71-BFW-90022-05-1_EKO</t>
  </si>
  <si>
    <t>: HEIN-IV-020</t>
  </si>
  <si>
    <t xml:space="preserve">PIPE SIZE : 3'' S-XS CS A106-B SMLS BE B36.10M </t>
  </si>
  <si>
    <t>&lt;3&gt;_1R71-BFW-90022-05-1_EKO</t>
  </si>
  <si>
    <t>&lt;3&gt;_1R71-FG-30008-02-3_EKO</t>
  </si>
  <si>
    <t>&lt;4&gt;_1R71-FG-30008-02-3_EKO</t>
  </si>
  <si>
    <t>&lt;5&gt;_1R71-HS-90006-03-3_EKO</t>
  </si>
  <si>
    <t>&lt;5&gt;_1R71-HS-90006-04-3_EKO</t>
  </si>
  <si>
    <t>&lt;5&gt;_1R71-HS-90006-05-3_KARTONO</t>
  </si>
  <si>
    <t>&lt;5&gt;_1R71-HS-90006-06-3_KARTONO</t>
  </si>
  <si>
    <t>: HEIN-IV-021</t>
  </si>
  <si>
    <t>&lt;2&gt;_1R11-LS-90001-01-1_KARTONO</t>
  </si>
  <si>
    <t>&lt;1&gt;_1R11-LS-90001-01-2_KARTONO</t>
  </si>
  <si>
    <t>&lt;2&gt;_1R71-LS-90001-02-3_EKO</t>
  </si>
  <si>
    <t>&lt;1&gt;_1R71-LS-90001-02-4_EKO</t>
  </si>
  <si>
    <t>&lt;4&gt;_1R71-LS-90001-05-2_EKO</t>
  </si>
  <si>
    <t>&lt;2&gt;_1R71-LS-90001-06-1_KARTONO</t>
  </si>
  <si>
    <t>: M212446178</t>
  </si>
  <si>
    <t>: HEIN-IV-022</t>
  </si>
  <si>
    <t xml:space="preserve">PIPE SIZE : 28'' S-STD CS A671-CC60-CL.22 EFW BE B36.10M </t>
  </si>
  <si>
    <t>&lt;2&gt;_1R71-P-30045-01-1_EKO</t>
  </si>
  <si>
    <t>&lt;7&gt;_1R71-P-30045-01-3_EKO</t>
  </si>
  <si>
    <t>: M212446250</t>
  </si>
  <si>
    <t>: HEIN-IV-023</t>
  </si>
  <si>
    <t xml:space="preserve">PIPE SIZE : 30'' S-STD CS A671-CC60-CL.22 EFW BE B36.10M </t>
  </si>
  <si>
    <t>&lt;2&gt;_1R71-WF-90001-02-1_KARTONO</t>
  </si>
  <si>
    <t>M258314406</t>
  </si>
  <si>
    <t>: M258314406</t>
  </si>
  <si>
    <t>: HEIN-IV-024</t>
  </si>
  <si>
    <t xml:space="preserve">PIPE SIZE : 76'' 20.62 LTCS A671-CC60-CL.22 w/S2 EFW BE B36.10M </t>
  </si>
  <si>
    <t>:2023.04.11</t>
  </si>
  <si>
    <t>M212446250</t>
  </si>
  <si>
    <t>M212446178</t>
  </si>
  <si>
    <t>M194129270</t>
  </si>
  <si>
    <t>M192381325</t>
  </si>
  <si>
    <t>M191090737</t>
  </si>
  <si>
    <t>&lt;1&gt;_1R41-LSC-30031-01-1_EKO</t>
  </si>
  <si>
    <t>&lt;1&gt;_1R41-PR-60002-02-1_EKO</t>
  </si>
  <si>
    <t>&lt;1&gt;_1R41-PR-60002-03-1_EKO</t>
  </si>
  <si>
    <t>&lt;1&gt;_1R41-PR-60002-04-1_EKO</t>
  </si>
  <si>
    <t>&lt;1&gt;_1R41-PR-60002-05-1_KARTONO</t>
  </si>
  <si>
    <t>&lt;1&gt;_1R41-PR-60002-06-1_KARTONO</t>
  </si>
  <si>
    <t>&lt;1&gt;_1R41-PR-60002-08-1_EKO</t>
  </si>
  <si>
    <t>&lt;1&gt;_1R41-PR-60004-01-1_KARTONO</t>
  </si>
  <si>
    <t>: HEIN-IV-025</t>
  </si>
  <si>
    <t>&lt;1&gt;_1R41-CWS-90010-01-1_EKO</t>
  </si>
  <si>
    <t>&lt;1&gt;_1R41-CWR-90010-02-1_KARTONO</t>
  </si>
  <si>
    <t>&lt;3&gt;_1R41-CWR-90010-02-2_KARTONO</t>
  </si>
  <si>
    <t>&lt;6&gt;_1R41-CWR-90010-02-3_KARTONO</t>
  </si>
  <si>
    <t>&lt;7&gt;_1R41-CWS-90010-01-4_EKO</t>
  </si>
  <si>
    <t>&lt;10&gt;_1R41-CWS-90010-01-5_EKO</t>
  </si>
  <si>
    <t>&lt;12&gt;_1R41-CWS-90010-01-6_EKO</t>
  </si>
  <si>
    <t>: HEIN-IV-026</t>
  </si>
  <si>
    <t>&lt;7&gt;_1R41-CWR-90010-01-3_EKO</t>
  </si>
  <si>
    <t>&lt;1&gt;_1R41-P-30025-01-1_KARTONO</t>
  </si>
  <si>
    <t>&lt;2&gt;_1R41-P-30025-01-2_KARTONO</t>
  </si>
  <si>
    <t>&lt;1&gt;_1R41-P-30025-02-1_KARTONO</t>
  </si>
  <si>
    <t>&lt;6&gt;_1R41-P-30025-02-3_KARTONO</t>
  </si>
  <si>
    <t>&lt;1&gt;_1R41-P-30028-01-1_EKO</t>
  </si>
  <si>
    <t>&lt;2&gt;_1R41-P-30028-01-2_EKO</t>
  </si>
  <si>
    <t>&lt;1&gt;_1R41-P-30028-02-1_EKO</t>
  </si>
  <si>
    <t>&lt;2&gt;_1R41-P-30028-02-2_EKO</t>
  </si>
  <si>
    <t>&lt;1&gt;_1R41-P-30028-03-1_KARTONO</t>
  </si>
  <si>
    <t>&lt;2&gt;_1R41-P-30028-03-2_KARTONO</t>
  </si>
  <si>
    <t>&lt;5&gt;_1R41-P-30028-04-2_EKO</t>
  </si>
  <si>
    <t>&lt;1&gt;_1R41-N-90034-03-1_KARTONO</t>
  </si>
  <si>
    <t>&lt;2&gt;_1R41-N-90034-03-2_KARTONO</t>
  </si>
  <si>
    <t>&lt;3&gt;_1R41-N-90034-03-3_KARTONO</t>
  </si>
  <si>
    <t>&lt;4&gt;_1R41-N-90034-03-4_KARTONO</t>
  </si>
  <si>
    <t>&lt;5&gt;_1R41-N-90034-03-5_KARTONO</t>
  </si>
  <si>
    <t>&lt;1&gt;_1R41-N-90034-04-1_EKO</t>
  </si>
  <si>
    <t>&lt;2&gt;_1R41-P-30031-01-1_KARTONO</t>
  </si>
  <si>
    <t>&lt;3&gt;_1R41-P-30031-01-2_KARTONO</t>
  </si>
  <si>
    <t>&lt;4&gt;_1R41-P-30031-01-2_KARTONO</t>
  </si>
  <si>
    <t>&lt;5&gt;_1R41-P-30031-01-2_KARTONO</t>
  </si>
  <si>
    <t>&lt;6&gt;_1R41-P-30031-01-3_KARTONO</t>
  </si>
  <si>
    <t>&lt;7&gt;_1R41-P-30031-01-4_KARTONO</t>
  </si>
  <si>
    <t>&lt;5&gt;_1R41-P-30031-02-2_EKO</t>
  </si>
  <si>
    <t>&lt;3&gt;_1R41-P-30093-01-1_EKO</t>
  </si>
  <si>
    <t>&lt;4&gt;_1R41-P-30093-01-1_EKO</t>
  </si>
  <si>
    <t>&lt;1&gt;_1R41-PC-30008-01-1_EKO</t>
  </si>
  <si>
    <t>&lt;2&gt;_1R41-PC-30008-01-1_EKO</t>
  </si>
  <si>
    <t>&lt;3&gt;_1R41-PC-30008-01-2_EKO</t>
  </si>
  <si>
    <t>&lt;4&gt;_1R41-PC-30008-01-2_EKO</t>
  </si>
  <si>
    <t>: HEIN-IV-027</t>
  </si>
  <si>
    <t>&lt;1&gt;_1R41-LS-30025-02-1_KARTONO</t>
  </si>
  <si>
    <t>: HEIN-IV-028</t>
  </si>
  <si>
    <t>&lt;1&gt;_1R41-FW-04901-01-1_KARTONO</t>
  </si>
  <si>
    <t>&lt;2&gt;_1R41-FW-04901-01-1_KARTONO</t>
  </si>
  <si>
    <t>&lt;3&gt;_1R41-FW-04901-01-2_KARTONO</t>
  </si>
  <si>
    <t>&lt;4&gt;_1R41-FW-04901-01-3_KARTONO</t>
  </si>
  <si>
    <t>&lt;5&gt;_1R41-FW-04901-01-4_KARTONO</t>
  </si>
  <si>
    <t>&lt;6&gt;_1R41-FW-04901-01-5_KARTONO</t>
  </si>
  <si>
    <t>&lt;7&gt;_1R41-FW-04901-01-5_KARTONO</t>
  </si>
  <si>
    <t>&lt;1&gt;_1R41-LS-30025-01-1_KARTONO</t>
  </si>
  <si>
    <t>&lt;2&gt;_1R41-LS-30025-01-1_KARTONO</t>
  </si>
  <si>
    <t>&lt;3&gt;_1R41-LS-30025-01-2_KARTONO</t>
  </si>
  <si>
    <t>&lt;4&gt;_1R41-LS-30025-01-3_KARTONO</t>
  </si>
  <si>
    <t>&lt;2&gt;_1R41-LS-30025-02-2_KARTONO</t>
  </si>
  <si>
    <t>&lt;1&gt;_1R41-LSC-30035-01-1_KARTONO</t>
  </si>
  <si>
    <t>&lt;2&gt;_1R41-LSC-30035-01-1_KARTONO</t>
  </si>
  <si>
    <t>&lt;1&gt;_1R41-P-30011-01-1_KARTONO</t>
  </si>
  <si>
    <t>&lt;2&gt;_1R41-P-30011-01-2_KARTONO</t>
  </si>
  <si>
    <t>&lt;1&gt;_1R41-P-30011-02-1_EKO</t>
  </si>
  <si>
    <t>&lt;2&gt;_1R41-P-30011-02-2_EKO</t>
  </si>
  <si>
    <t>&lt;6&gt;_1R41-P-30011-02-3_EKO</t>
  </si>
  <si>
    <t>&lt;1&gt;_1R41-P-30012-01-1_EKO</t>
  </si>
  <si>
    <t>&lt;2&gt;_1R41-P-30012-01-1_EKO</t>
  </si>
  <si>
    <t>&lt;3&gt;_1R41-P-30012-01-2_EKO</t>
  </si>
  <si>
    <t>&lt;4&gt;_1R41-P-30012-01-2_EKO</t>
  </si>
  <si>
    <t>&lt;3&gt;_1R41-P-30181-01-1_EKO</t>
  </si>
  <si>
    <t>&lt;4&gt;_1R41-P-30181-01-1_EKO</t>
  </si>
  <si>
    <t>&lt;5&gt;_1R41-P-30181-01-2_EKO</t>
  </si>
  <si>
    <t>&lt;1&gt;_1R41-PC-30021-01-1_KARTONO</t>
  </si>
  <si>
    <t>&lt;2&gt;_1R41-PC-30021-01-1_KARTONO</t>
  </si>
  <si>
    <t>&lt;3&gt;_1R41-PC-30021-01-2_KARTONO</t>
  </si>
  <si>
    <t>&lt;1&gt;_1R41-AV-30056-01-1_KARTONO</t>
  </si>
  <si>
    <t>&lt;2&gt;_1R41-AV-30056-01-1_KARTONO</t>
  </si>
  <si>
    <t>&lt;3&gt;_1R41-AV-30056-01-1_KARTONO</t>
  </si>
  <si>
    <t>&lt;1&gt;_1R41-AV-30057-01-1_KARTONO</t>
  </si>
  <si>
    <t>&lt;2&gt;_1R41-AV-30057-01-1_KARTONO</t>
  </si>
  <si>
    <t>&lt;3&gt;_1R41-AV-30057-01-1_KARTONO</t>
  </si>
  <si>
    <t>&lt;1&gt;_1R41-AV-50013-01-1_EKO</t>
  </si>
  <si>
    <t>&lt;2&gt;_1R41-AV-50013-01-1_EKO</t>
  </si>
  <si>
    <t>&lt;3&gt;_1R41-AV-50013-01-1_EKO</t>
  </si>
  <si>
    <t>&lt;1&gt;_1R41-AV-50024-01-1_KARTONO</t>
  </si>
  <si>
    <t>&lt;2&gt;_1R41-AV-50024-01-1_KARTONO</t>
  </si>
  <si>
    <t>&lt;3&gt;_1R41-AV-50024-01-1_KARTONO</t>
  </si>
  <si>
    <t>&lt;1&gt;_1R41-LS-50020-01-1_KARTONO</t>
  </si>
  <si>
    <t>&lt;2&gt;_1R41-LS-50020-01-1_KARTONO</t>
  </si>
  <si>
    <t>&lt;3&gt;_1R41-LS-50020-01-2_KARTONO</t>
  </si>
  <si>
    <t>&lt;4&gt;_1R41-LS-50020-01-3_KARTONO</t>
  </si>
  <si>
    <t>&lt;1&gt;_1R41-LS-50020-02-1_KARTONO</t>
  </si>
  <si>
    <t>&lt;2&gt;_1R41-LS-50020-02-2_KARTONO</t>
  </si>
  <si>
    <t>&lt;1&gt;_1R41-LS-90008-04-1_KARTONO</t>
  </si>
  <si>
    <t>&lt;2&gt;_1R41-LS-90008-04-1_KARTONO</t>
  </si>
  <si>
    <t>&lt;3&gt;_1R41-LS-90008-04-2_KARTONO</t>
  </si>
  <si>
    <t>&lt;4&gt;_1R41-LS-90008-04-2_KARTONO</t>
  </si>
  <si>
    <t>&lt;7&gt;_1R41-LS-90008-04-3_KARTONO</t>
  </si>
  <si>
    <t>: HEIN-IV-029</t>
  </si>
  <si>
    <t>&lt;1&gt;_1R41-P-30095-02-1_KARTONO</t>
  </si>
  <si>
    <t>&lt;2&gt;_1R41-P-30095-02-2_KARTONO</t>
  </si>
  <si>
    <t>&lt;1&gt;_1R41-P-30095-03-1_KARTONO</t>
  </si>
  <si>
    <t>&lt;2&gt;_1R41-P-30095-03-2_KARTONO</t>
  </si>
  <si>
    <t>&lt;1&gt;_1R41-P-30095-04-1_EKO</t>
  </si>
  <si>
    <t>&lt;2&gt;_1R41-P-30095-04-2_EKO</t>
  </si>
  <si>
    <t>&lt;1&gt;_1R41-P-30095-01-2_EKO</t>
  </si>
  <si>
    <t>&lt;6&gt;_1R41-P-30095-05-2_EKO</t>
  </si>
  <si>
    <t>: HEIN-IV-030</t>
  </si>
  <si>
    <t>&lt;2&gt;_1R41-PR-50014-01-1_EKO</t>
  </si>
  <si>
    <t>&lt;3&gt;_1R41-PR-50014-01-1_EKO</t>
  </si>
  <si>
    <t>&lt;4&gt;_1R41-PR-50014-01-2_EKO</t>
  </si>
  <si>
    <t>&lt;5&gt;_1R41-PR-50014-01-3_EKO</t>
  </si>
  <si>
    <t>&lt;2&gt;_1R41-PR-60004-01-2_KARTONO</t>
  </si>
  <si>
    <t>: HEIN-IV-031</t>
  </si>
  <si>
    <t>&lt;1&gt;_1R41-PR-60031-01-1_KARTONO</t>
  </si>
  <si>
    <t>&lt;2&gt;_1R41-PR-60031-01-1_KARTONO</t>
  </si>
  <si>
    <t>&lt;9&gt;_1R41-PR-60031-01-2_KARTONO</t>
  </si>
  <si>
    <t>&lt;10&gt;_1R41-PR-60031-01-2_KARTONO</t>
  </si>
  <si>
    <t>: M192656781</t>
  </si>
  <si>
    <t>: HEIN-IV-032</t>
  </si>
  <si>
    <t>&lt;1&gt;_1R41-PR-60029-01-1_EKO</t>
  </si>
  <si>
    <t>&lt;2&gt;_1R41-P-60077-01-1_EKO</t>
  </si>
  <si>
    <t>&lt;1&gt;_1R41-PR-60068-01-2_KARTONO</t>
  </si>
  <si>
    <t>&lt;2&gt;_1R41-P-60078-01-1_KARTONO</t>
  </si>
  <si>
    <t>&lt;1&gt;_1R41-PR-60018-01-1_EKO</t>
  </si>
  <si>
    <t>&lt;2&gt;_1R41-PR-60018-01-1_EKO</t>
  </si>
  <si>
    <t>: HEIN-IV-033</t>
  </si>
  <si>
    <t>&lt;1&gt;_1R41-PR-60035-01-3_KARTONO</t>
  </si>
  <si>
    <t>&lt;2&gt;_1R41-P-60076-01-1_KARTONO</t>
  </si>
  <si>
    <t>&lt;10&gt;_1R41-PL-60012-01-1_KARTONO</t>
  </si>
  <si>
    <t>&lt;11&gt;_1R41-PL-60012-01-1_KARTONO</t>
  </si>
  <si>
    <t>&lt;1&gt;_1R41-PR-40006-01-1_KARTONO</t>
  </si>
  <si>
    <t>&lt;2&gt;_1R41-PR-40006-01-2_KARTONO</t>
  </si>
  <si>
    <t>&lt;3&gt;_1R41-PR-40006-01-2_KARTONO</t>
  </si>
  <si>
    <t>&lt;9&gt;_1R41-PR-40009-01-1_KARTONO</t>
  </si>
  <si>
    <t>&lt;10&gt;_1R41-PR-40009-01-1_KARTONO</t>
  </si>
  <si>
    <t>&lt;1&gt;_1R41-PR-60017-01-2_KARTONO</t>
  </si>
  <si>
    <t>&lt;2&gt;_1R41-PR-60017-01-3_KARTONO</t>
  </si>
  <si>
    <t>&lt;1&gt;_1R41-PR-60017-01-1_KARTONO</t>
  </si>
  <si>
    <t>&lt;2&gt;_1R41-PR-60017-02-1_KARTONO</t>
  </si>
  <si>
    <t>&lt;3&gt;_1R41-PR-60017-02-2_KARTONO</t>
  </si>
  <si>
    <t>&lt;3&gt;_1R41-PR-60029-01-1_EKO</t>
  </si>
  <si>
    <t>&lt;1&gt;_1R41-PR-60029-01-2_EKO</t>
  </si>
  <si>
    <t>&lt;2&gt;_1R41-PR-60029-01-3_EKO</t>
  </si>
  <si>
    <t>&lt;1&gt;_1R41-PR-60029-02-1_EKO</t>
  </si>
  <si>
    <t>&lt;1&gt;_1R41-PR-60038-01-1_EKO</t>
  </si>
  <si>
    <t>&lt;2&gt;_1R41-PR-60038-01-2_EKO</t>
  </si>
  <si>
    <t>&lt;1&gt;_1R41-PR-60040-01-1_EKO</t>
  </si>
  <si>
    <t>&lt;1&gt;_1R41-PR-60045-01-1_EKO</t>
  </si>
  <si>
    <t>&lt;2&gt;_1R41-PR-60045-01-1_EKO</t>
  </si>
  <si>
    <t>&lt;3&gt;_1R41-PR-60045-02-1_EKO</t>
  </si>
  <si>
    <t>&lt;1&gt;_1R41-PR-60045-02-2_EKO</t>
  </si>
  <si>
    <t>&lt;5&gt;_1R41-PR-60045-02-3_EKO</t>
  </si>
  <si>
    <t>&lt;1&gt;_1R41-PR-60045-02-1_EKO</t>
  </si>
  <si>
    <t>&lt;2&gt;_1R41-PR-60045-03-1_EKO</t>
  </si>
  <si>
    <t>&lt;3&gt;_1R41-PR-60045-03-2_EKO</t>
  </si>
  <si>
    <t>&lt;1&gt;_1R41-PR-60046-01-1_EKO</t>
  </si>
  <si>
    <t>&lt;2&gt;_1R41-PR-60046-01-1_EKO</t>
  </si>
  <si>
    <t>&lt;3&gt;_1R41-PR-60046-02-1_EKO</t>
  </si>
  <si>
    <t>&lt;5&gt;_1R41-PR-60046-02-3_KARTONO</t>
  </si>
  <si>
    <t>&lt;1&gt;_1R41-PR-60046-02-1_EKO</t>
  </si>
  <si>
    <t>&lt;2&gt;_1R41-PR-60046-03-1_EKO</t>
  </si>
  <si>
    <t>&lt;3&gt;_1R41-PR-60046-03-2_EKO</t>
  </si>
  <si>
    <t>&lt;1&gt;_1R41-PR-60047-01-1_EKO</t>
  </si>
  <si>
    <t>&lt;2&gt;_1R41-PR-60047-01-1_EKO</t>
  </si>
  <si>
    <t>&lt;3&gt;_1R41-PR-60047-02-1_EKO</t>
  </si>
  <si>
    <t>&lt;5&gt;_1R41-PR-60047-02-3_EKO</t>
  </si>
  <si>
    <t>&lt;1&gt;_1R41-PR-60047-02-1_EKO</t>
  </si>
  <si>
    <t>&lt;2&gt;_1R41-PR-60047-03-1_EKO</t>
  </si>
  <si>
    <t>&lt;3&gt;_1R41-PR-60047-03-2_EKO</t>
  </si>
  <si>
    <t>&lt;1&gt;_1R41-PR-60048-01-1_EKO</t>
  </si>
  <si>
    <t>&lt;2&gt;_1R41-PR-60048-01-1_EKO</t>
  </si>
  <si>
    <t>&lt;3&gt;_1R41-PR-60048-02-1_EKO</t>
  </si>
  <si>
    <t>&lt;1&gt;_1R41-PR-60048-02-2_EKO</t>
  </si>
  <si>
    <t>&lt;5&gt;_1R41-PR-60048-02-3_EKO</t>
  </si>
  <si>
    <t>&lt;1&gt;_1R41-PR-60048-02-1_EKO</t>
  </si>
  <si>
    <t>&lt;2&gt;_1R41-PR-60048-03-1_EKO</t>
  </si>
  <si>
    <t>&lt;3&gt;_1R41-PR-60048-03-2_EKO</t>
  </si>
  <si>
    <t>: HEIN-IV-034</t>
  </si>
  <si>
    <t>&lt;2&gt;_1R41-PR-60035-03-2_KARTONO</t>
  </si>
  <si>
    <t>: 2023.04.13</t>
  </si>
  <si>
    <t>: HEIN-IV-035</t>
  </si>
  <si>
    <t>&lt;2&gt;_1R41-PR-60035-02-1_KARTONO</t>
  </si>
  <si>
    <t>&lt;10&gt;_1R41-PR-50003-01-1_KARTONO</t>
  </si>
  <si>
    <t>&lt;9&gt;_1R41-PR-60025-01-3_KARTONO</t>
  </si>
  <si>
    <t>&lt;5&gt;_1R41-PR-60035-01-3_KARTONO</t>
  </si>
  <si>
    <t>&lt;3&gt;_1R41-PR-60035-02-2_KARTONO</t>
  </si>
  <si>
    <t>&lt;1&gt;_1R41-PR-60035-03-1_KARTONO</t>
  </si>
  <si>
    <t>&lt;1&gt;_1R41-PR-60068-01-1_EKO</t>
  </si>
  <si>
    <t>&lt;6&gt;_1R41-PR-60068-01-2_EKO</t>
  </si>
  <si>
    <t>&lt;5&gt;_1R41-PR-60068-01-4_EKO</t>
  </si>
  <si>
    <t>&lt;9&gt;_1R41-PR-50003-01-1_KARTONO</t>
  </si>
  <si>
    <t>&lt;10&gt;_1R41-PR-60025-01-3_KARTONO</t>
  </si>
  <si>
    <t>&lt;4&gt;_1R41-PR-60035-01-3_KARTONO</t>
  </si>
  <si>
    <t>&lt;1&gt;_1R41-PR-60035-02-1_KARTONO</t>
  </si>
  <si>
    <t>&lt;2&gt;_1R41-PR-60068-01-1_EKO</t>
  </si>
  <si>
    <t>&lt;3&gt;_1R41-PR-60068-01-2_EKO</t>
  </si>
  <si>
    <t>&lt;4&gt;_1R41-PR-60068-01-3_EKO</t>
  </si>
  <si>
    <t>&lt;1&gt;_1R41-PR-60068-02-1_EKO</t>
  </si>
  <si>
    <t>&lt;2&gt;_1R41-PR-60068-02-2_EKO</t>
  </si>
  <si>
    <t xml:space="preserve">PIPE SIZE : 8'' S-STD LTCS A333-6 SMLS BE B36.10M </t>
  </si>
  <si>
    <t>&lt;8&gt;_1R41-PR-30005-01-2_KARTONO</t>
  </si>
  <si>
    <t>&lt;2&gt;_1R41-PR-40008-01-2_EKO</t>
  </si>
  <si>
    <t>&lt;1&gt;_1R41-PR-40008-01-1_EKO</t>
  </si>
  <si>
    <t>&lt;3&gt;_1R41-PR-40008-01-3_EKO</t>
  </si>
  <si>
    <t>&lt;4&gt;_1R41-PR-40008-01-3_EKO</t>
  </si>
  <si>
    <t>&lt;12&gt;_1R41-PR-40008-01-4_EKO</t>
  </si>
  <si>
    <t>: M192657514</t>
  </si>
  <si>
    <t>: HEIN-IV-036</t>
  </si>
  <si>
    <t xml:space="preserve">PIPE SIZE : 30'' S-STD LTCS A671-CC60-CL.22 w/S2 EFW BE B36.10M </t>
  </si>
  <si>
    <t>&lt;6&gt;_1R41-PR-60019-02-6_KARTONO</t>
  </si>
  <si>
    <t>&lt;1&gt;_1R41-PR-60019-02-6_KARTONO</t>
  </si>
  <si>
    <t>&lt;1&gt;_1R41-PR-60028-02-1_EKO</t>
  </si>
  <si>
    <t>&lt;2&gt;_1R41-PR-60028-02-2_EKO</t>
  </si>
  <si>
    <t>&lt;3&gt;_1R41-PR-60028-02-3_EKO</t>
  </si>
  <si>
    <t>: M192657744</t>
  </si>
  <si>
    <t>: HEIN-IV-037</t>
  </si>
  <si>
    <t xml:space="preserve">PIPE SIZE : 42'' S-XS LTCS A671-CC60-CL.22 w/S2 EFW BE B36.10M </t>
  </si>
  <si>
    <t>&lt;9&gt;_1R41-PR-30008-01-1_KARTONO</t>
  </si>
  <si>
    <t>M211201141</t>
  </si>
  <si>
    <t>: M211201141</t>
  </si>
  <si>
    <t>: HEIN-IV-038</t>
  </si>
  <si>
    <t xml:space="preserve">PIPE SIZE : 40'' S-XS LTCS A671-CC60-CL.22 w/S2 EFW BE B36.10M </t>
  </si>
  <si>
    <t>:2023.04.12</t>
  </si>
  <si>
    <t>M192656781</t>
  </si>
  <si>
    <t>M192657115</t>
  </si>
  <si>
    <t>M192657514</t>
  </si>
  <si>
    <t>M192657744</t>
  </si>
  <si>
    <t>&lt;3&gt;_1R31-WF-10001-01-2_EKO</t>
  </si>
  <si>
    <t>: 2023.04.16</t>
  </si>
  <si>
    <t>: HEIN-IV-039</t>
  </si>
  <si>
    <t>&lt;1&gt;_1R31-N-30010-01-1_TUKIMAN</t>
  </si>
  <si>
    <t>&lt;2&gt;_1R31-N-30010-01-1_TUKIMAN</t>
  </si>
  <si>
    <t>&lt;3&gt;_1R31-N-30010-01-2_TUKIMAN</t>
  </si>
  <si>
    <t>&lt;4&gt;_1R31-N-30010-01-3_TUKIMAN</t>
  </si>
  <si>
    <t>&lt;5&gt;_1R31-N-30010-01-4_TUKIMAN</t>
  </si>
  <si>
    <t>&lt;6&gt;_1R31-N-30010-01-5_TUKIMAN</t>
  </si>
  <si>
    <t>&lt;1&gt;_1R31-N-90037-01-1_KARTONO</t>
  </si>
  <si>
    <t>&lt;2&gt;_1R31-N-90037-01-1_KARTONO</t>
  </si>
  <si>
    <t>&lt;3&gt;_1R31-N-90037-01-2_KARTONO</t>
  </si>
  <si>
    <t>&lt;4&gt;_1R31-N-90037-01-2_KARTONO</t>
  </si>
  <si>
    <t>&lt;5&gt;_1R31-N-90037-01-3_KARTONO</t>
  </si>
  <si>
    <t>&lt;1&gt;_1R31-P-30067-01-1_EKO</t>
  </si>
  <si>
    <t>&lt;2&gt;_1R31-P-30067-01-1_EKO</t>
  </si>
  <si>
    <t>&lt;3&gt;_1R31-P-30067-01-2_EKO</t>
  </si>
  <si>
    <t>&lt;4&gt;_1R31-P-30067-01-3_EKO</t>
  </si>
  <si>
    <t>&lt;5&gt;_1R31-P-30067-01-3_EKO</t>
  </si>
  <si>
    <t>&lt;6&gt;_1R31-P-30067-01-4_EKO</t>
  </si>
  <si>
    <t>&lt;1&gt;_1R31-P-30067-02-1_KARTONO</t>
  </si>
  <si>
    <t>&lt;5&gt;_1R31-P-30067-02-3_KARTONO</t>
  </si>
  <si>
    <t>&lt;1&gt;_1R31-WF-10001-01-1_EKO</t>
  </si>
  <si>
    <t>&lt;2&gt;_1R31-WF-10001-01-2_EKO</t>
  </si>
  <si>
    <t>&lt;5&gt;_1R31-RG-30003-01-2_TUKIMAN</t>
  </si>
  <si>
    <t>&lt;6&gt;_1R31-RG-30003-01-3_TUKIMAN</t>
  </si>
  <si>
    <t>&lt;7&gt;_1R31-RG-30003-01-3_TUKIMAN</t>
  </si>
  <si>
    <t>: HEIN-IV-040</t>
  </si>
  <si>
    <t>&lt;1&gt;_1R31-HSC-90015-02-1_KARTONO</t>
  </si>
  <si>
    <t>&lt;5&gt;_1R31-HSC-90015-02-3_KARTONO</t>
  </si>
  <si>
    <t>&lt;4&gt;_1R31-NAS-30012-01-2_KARTONO</t>
  </si>
  <si>
    <t>&lt;5&gt;_1R31-NAS-30012-01-3_KARTONO</t>
  </si>
  <si>
    <t>&lt;6&gt;_1R31-NAS-30012-01-3_KARTONO</t>
  </si>
  <si>
    <t>&lt;1&gt;_1R31-P-10001-01-1_TUKIMAN</t>
  </si>
  <si>
    <t>&lt;2&gt;_1R31-P-10001-01-1_TUKIMAN</t>
  </si>
  <si>
    <t>&lt;3&gt;_1R31-P-10001-01-2_TUKIMAN</t>
  </si>
  <si>
    <t>&lt;1&gt;_1R31-P-10008-01-1_TUKIMAN</t>
  </si>
  <si>
    <t>&lt;2&gt;_1R31-P-10008-01-1_TUKIMAN</t>
  </si>
  <si>
    <t>&lt;3&gt;_1R31-P-10008-01-2_TUKIMAN</t>
  </si>
  <si>
    <t>&lt;4&gt;_1R31-P-10008-01-2_TUKIMAN</t>
  </si>
  <si>
    <t>&lt;5&gt;_1R31-P-10008-01-3_TUKIMAN</t>
  </si>
  <si>
    <t>&lt;2&gt;_1R31-P-30034-01-3_TUKIMAN</t>
  </si>
  <si>
    <t>&lt;6&gt;_1R31-P-30034-02-2_TUKIMAN</t>
  </si>
  <si>
    <t>&lt;1&gt;_1R31-P-30041-01-1_TUKIMAN</t>
  </si>
  <si>
    <t>&lt;2&gt;_1R31-P-30041-01-1_TUKIMAN</t>
  </si>
  <si>
    <t>&lt;3&gt;_1R31-P-30041-01-2_TUKIMAN</t>
  </si>
  <si>
    <t>&lt;4&gt;_1R31-P-30041-01-2_TUKIMAN</t>
  </si>
  <si>
    <t>&lt;1&gt;_1R31-P-30135-01-1_TUKIMAN</t>
  </si>
  <si>
    <t>&lt;2&gt;_1R31-P-30135-01-1_TUKIMAN</t>
  </si>
  <si>
    <t>&lt;3&gt;_1R31-P-30135-01-2_TUKIMAN</t>
  </si>
  <si>
    <t>&lt;4&gt;_1R31-P-30135-01-3_TUKIMAN</t>
  </si>
  <si>
    <t>&lt;5&gt;_1R31-P-30135-01-3_TUKIMAN</t>
  </si>
  <si>
    <t>&lt;2&gt;_1R31-P-30135-02-2_TUKIMAN</t>
  </si>
  <si>
    <t>&lt;3&gt;_1R31-P-30135-02-2_TUKIMAN</t>
  </si>
  <si>
    <t>&lt;4&gt;_1R31-P-30135-02-3_TUKIMAN</t>
  </si>
  <si>
    <t>&lt;5&gt;_1R31-P-30135-02-4_TUKIMAN</t>
  </si>
  <si>
    <t>&lt;6&gt;_1R31-P-30135-02-4_TUKIMAN</t>
  </si>
  <si>
    <t>&lt;1&gt;_1R31-P-30135-03-1_KARTONO</t>
  </si>
  <si>
    <t>&lt;2&gt;_1R31-P-30135-03-1_KARTONO</t>
  </si>
  <si>
    <t>&lt;11&gt;_1R31-P-30135-03-2_KARTONO</t>
  </si>
  <si>
    <t>&lt;12&gt;_1R31-P-30135-03-3_KARTONO</t>
  </si>
  <si>
    <t>&lt;13&gt;_1R31-P-30135-03-3_KARTONO</t>
  </si>
  <si>
    <t>&lt;1&gt;_1R31-P-30177-01-1_EKO</t>
  </si>
  <si>
    <t>&lt;2&gt;_1R31-P-30177-01-1_EKO</t>
  </si>
  <si>
    <t>&lt;3&gt;_1R31-P-30177-01-2_EKO</t>
  </si>
  <si>
    <t>&lt;4&gt;_1R31-P-30177-01-2_EKO</t>
  </si>
  <si>
    <t>&lt;5&gt;_1R31-P-30177-01-3_EKO</t>
  </si>
  <si>
    <t>&lt;6&gt;_1R31-P-30177-02-1_EKO</t>
  </si>
  <si>
    <t>&lt;7&gt;_1R31-P-30177-02-1_EKO</t>
  </si>
  <si>
    <t>&lt;1&gt;_1R31-P-30219-01-1_KARTONO</t>
  </si>
  <si>
    <t>&lt;2&gt;_1R31-P-30219-01-1_KARTONO</t>
  </si>
  <si>
    <t>&lt;3&gt;_1R31-P-30219-01-1_KARTONO</t>
  </si>
  <si>
    <t>&lt;4&gt;_1R31-P-30219-01-2_KARTONO</t>
  </si>
  <si>
    <t>&lt;5&gt;_1R31-P-30219-01-3_KARTONO</t>
  </si>
  <si>
    <t>&lt;6&gt;_1R31-P-30219-01-4_KARTONO</t>
  </si>
  <si>
    <t>&lt;7&gt;_1R31-P-30219-01-4_KARTONO</t>
  </si>
  <si>
    <t>&lt;8&gt;_1R31-P-30219-01-5_KARTONO</t>
  </si>
  <si>
    <t>&lt;9&gt;_1R31-P-30219-01-5_KARTONO</t>
  </si>
  <si>
    <t>&lt;10&gt;_1R31-P-30219-01-6_KARTONO</t>
  </si>
  <si>
    <t>&lt;11&gt;_1R31-P-30219-01-6_KARTONO</t>
  </si>
  <si>
    <t>&lt;12&gt;_1R31-P-30219-01-6_KARTONO</t>
  </si>
  <si>
    <t>&lt;13&gt;_1R31-P-30219-01-7_KARTONO</t>
  </si>
  <si>
    <t>&lt;14&gt;_1R31-P-30219-01-7_KARTONO</t>
  </si>
  <si>
    <t>&lt;15&gt;_1R31-P-30219-01-7_KARTONO</t>
  </si>
  <si>
    <t>&lt;16&gt;_1R31-P-30219-01-8_KARTONO</t>
  </si>
  <si>
    <t>&lt;1&gt;_1R31-QO-10011-01-1_KARTONO</t>
  </si>
  <si>
    <t>&lt;2&gt;_1R31-QO-10011-01-1_KARTONO</t>
  </si>
  <si>
    <t>&lt;3&gt;_1R31-QO-10011-01-2_KARTONO</t>
  </si>
  <si>
    <t>&lt;4&gt;_1R31-QO-10011-01-2_KARTONO</t>
  </si>
  <si>
    <t>&lt;3&gt;_1R31-RG-30004-01-2_TUKIMAN</t>
  </si>
  <si>
    <t>&lt;4&gt;_1R31-RG-30004-01-2_TUKIMAN</t>
  </si>
  <si>
    <t>&lt;1&gt;_1R31-RG-30007-02-1_EKO</t>
  </si>
  <si>
    <t>&lt;2&gt;_1R31-RG-30007-02-1_EKO</t>
  </si>
  <si>
    <t>&lt;1&gt;_1R31-TRIM-MH301V1-01-1_EKO</t>
  </si>
  <si>
    <t>&lt;1&gt;_1R31-TRIM-MH302V1-01-1_EKO</t>
  </si>
  <si>
    <t>&lt;1&gt;_1R31-TRIM-MH303V1-01-1_EKO</t>
  </si>
  <si>
    <t>&lt;1&gt;_1R31-TRIM-MH304V1-01-1_EKO</t>
  </si>
  <si>
    <t>&lt;1&gt;_1R31-WF-30087-02-1_EKO</t>
  </si>
  <si>
    <t>&lt;6&gt;_1R31-WF-30087-02-3_EKO</t>
  </si>
  <si>
    <t>&lt;7&gt;_1R31-WF-30087-02-4_EKO</t>
  </si>
  <si>
    <t>&lt;8&gt;_1R31-WF-30087-02-4_EKO</t>
  </si>
  <si>
    <t>&lt;1&gt;_1R71-NAS-30012-01-1_EKO</t>
  </si>
  <si>
    <t>&lt;2&gt;_1R71-NAS-30012-01-1_EKO</t>
  </si>
  <si>
    <t>: HEIN-IV-042</t>
  </si>
  <si>
    <t>: HEIN-IV-041</t>
  </si>
  <si>
    <t>&lt;1&gt;_1R31-WF-30009-01-1_KARTONO</t>
  </si>
  <si>
    <t>&lt;1&gt;_1R31-WF-30009-02-1_KARTONO</t>
  </si>
  <si>
    <t>&lt;5&gt;_1R31-NAP-10005-01-4_TUKIMAN</t>
  </si>
  <si>
    <t>&lt;7&gt;_1R31-RG-30004-01-5_TUKIMAN</t>
  </si>
  <si>
    <t>&lt;1&gt;_1R31-RG-30004-01-1_TUKIMAN</t>
  </si>
  <si>
    <t>&lt;2&gt;_1R31-RG-30004-01-1_TUKIMAN</t>
  </si>
  <si>
    <t>&lt;1&gt;_1R31-ET-10001-01-1_TUKIMAN</t>
  </si>
  <si>
    <t>&lt;2&gt;_1R31-ET-10001-01-1_TUKIMAN</t>
  </si>
  <si>
    <t>&lt;3&gt;_1R31-ET-10001-01-2_TUKIMAN</t>
  </si>
  <si>
    <t>&lt;4&gt;_1R31-ET-10001-01-3_TUKIMAN</t>
  </si>
  <si>
    <t>&lt;5&gt;_1R31-ET-10001-01-3_TUKIMAN</t>
  </si>
  <si>
    <t>&lt;1&gt;_1R31-NAP-10005-01-1_TUKIMAN</t>
  </si>
  <si>
    <t>&lt;2&gt;_1R31-NAP-10005-01-2_TUKIMAN</t>
  </si>
  <si>
    <t>&lt;3&gt;_1R31-NAP-10005-01-2_TUKIMAN</t>
  </si>
  <si>
    <t>&lt;1&gt;_1R31-NAP-10005-02-1_TUKIMAN</t>
  </si>
  <si>
    <t>&lt;6&gt;_1R31-NAP-10005-02-3_TUKIMAN</t>
  </si>
  <si>
    <t>&lt;5&gt;_1R31-RG-30004-01-3_TUKIMAN</t>
  </si>
  <si>
    <t>&lt;6&gt;_1R31-RG-30004-01-4_TUKIMAN</t>
  </si>
  <si>
    <t>&lt;8&gt;_1R31-RG-30004-01-5_TUKIMAN</t>
  </si>
  <si>
    <t>&lt;1&gt;_1R31-RG-30004-02-1_KARTONO</t>
  </si>
  <si>
    <t>&lt;2&gt;_1R31-RG-30004-02-2_KARTONO</t>
  </si>
  <si>
    <t>&lt;3&gt;_1R31-RG-30007-02-2_EKO</t>
  </si>
  <si>
    <t>&lt;4&gt;_1R31-RG-30007-02-3_EKO</t>
  </si>
  <si>
    <t>&lt;5&gt;_1R31-RG-30007-02-3_EKO</t>
  </si>
  <si>
    <t>&lt;6&gt;_1R31-RG-30007-02-4_EKO</t>
  </si>
  <si>
    <t>&lt;7&gt;_1R31-RG-30007-02-4_EKO</t>
  </si>
  <si>
    <t>&lt;4&gt;_1R31-RG-30007-03-2_EKO</t>
  </si>
  <si>
    <t>&lt;3&gt;_1R31-RG-30007-04-1_EKO</t>
  </si>
  <si>
    <t>&lt;4&gt;_1R31-RG-30007-04-1_EKO</t>
  </si>
  <si>
    <t>&lt;3&gt;_1R31-RG-30016-01-2_EKO</t>
  </si>
  <si>
    <t>&lt;4&gt;_1R31-RG-30016-01-3_EKO</t>
  </si>
  <si>
    <t>&lt;5&gt;_1R31-RG-30016-01-3_EKO</t>
  </si>
  <si>
    <t>&lt;1&gt;_1R31-WF-10012-01-1_EKO</t>
  </si>
  <si>
    <t>&lt;3&gt;_1R31-WF-10012-01-3_EKO</t>
  </si>
  <si>
    <t>&lt;4&gt;_1R31-WF-10012-01-3_EKO</t>
  </si>
  <si>
    <t>&lt;5&gt;_1R31-WF-10012-01-3_EKO</t>
  </si>
  <si>
    <t>&lt;6&gt;_1R31-WF-10012-01-3_EKO</t>
  </si>
  <si>
    <t>&lt;7&gt;_1R31-WF-10012-01-6_EKO</t>
  </si>
  <si>
    <t>&lt;8&gt;_1R31-WF-10012-01-6_EKO</t>
  </si>
  <si>
    <t>&lt;1&gt;_1R31-WF-10012-02-1_EKO</t>
  </si>
  <si>
    <t>&lt;5&gt;_1R31-WF-10012-02-3_EKO</t>
  </si>
  <si>
    <t>&lt;6&gt;_1R31-WF-30009-01-3_KARTONO</t>
  </si>
  <si>
    <t>&lt;7&gt;_1R31-WF-30009-01-3_KARTONO</t>
  </si>
  <si>
    <t>&lt;3&gt;_1R31-WF-30009-01-3_KARTONO</t>
  </si>
  <si>
    <t>&lt;8&gt;_1R31-WF-30009-01-5_KARTONO</t>
  </si>
  <si>
    <t>&lt;9&gt;_1R31-WF-30009-01-5_KARTONO</t>
  </si>
  <si>
    <t>&lt;1&gt;_1R31-WF-30010-01-1_KARTONO</t>
  </si>
  <si>
    <t>&lt;1&gt;_1R31-WF-30010-02-1_KARTONO</t>
  </si>
  <si>
    <t>&lt;3&gt;_1R31-WF-30010-02-3_KARTONO</t>
  </si>
  <si>
    <t>&lt;6&gt;_1R31-WF-30010-02-3_KARTONO</t>
  </si>
  <si>
    <t>&lt;7&gt;_1R31-WF-30010-02-3_KARTONO</t>
  </si>
  <si>
    <t>&lt;8&gt;_1R31-WF-30010-02-5_KARTONO</t>
  </si>
  <si>
    <t>&lt;9&gt;_1R31-WF-30010-02-5_KARTONO</t>
  </si>
  <si>
    <t>: HEIN-IV-043</t>
  </si>
  <si>
    <t>&lt;4&gt;_1R31-FG-30005-01-3_EKO</t>
  </si>
  <si>
    <t>&lt;6&gt;_1R31-FG-30005-02-3_KARTONO</t>
  </si>
  <si>
    <t>&lt;6&gt;_1R31-RG-30008-01-4_KARTONO</t>
  </si>
  <si>
    <t>&lt;5&gt;_1R31-RG-30008-02-2_EKO</t>
  </si>
  <si>
    <t>&lt;4&gt;_1R31-HS-90015-01-3_EKO</t>
  </si>
  <si>
    <t>M192381274</t>
  </si>
  <si>
    <t>: HEIN-IV-044</t>
  </si>
  <si>
    <t xml:space="preserve">PIPE SIZE : 6'' S-XS CS A106-B SMLS BE B36.10M </t>
  </si>
  <si>
    <t>&lt;1&gt;_1R31-PR-30003-01-1_KARTONO</t>
  </si>
  <si>
    <t>&lt;2&gt;_1R31-PR-30003-01-1_KARTONO</t>
  </si>
  <si>
    <t>&lt;3&gt;_1R31-PR-30003-01-2_KARTONO</t>
  </si>
  <si>
    <t>&lt;4&gt;_1R31-PR-30003-01-3_KARTONO</t>
  </si>
  <si>
    <t>&lt;3&gt;_1R71-PL-30001-02-2_KARTONO</t>
  </si>
  <si>
    <t>&lt;4&gt;_1R71-PL-30001-02-2_KARTONO</t>
  </si>
  <si>
    <t>: HEIN-IV-045</t>
  </si>
  <si>
    <t>&lt;6&gt;_1R71-N-90038-01-4_KARTONO</t>
  </si>
  <si>
    <t>&lt;3&gt;_1R71-N-92702-01-2_KARTONO</t>
  </si>
  <si>
    <t>: HEIN-IV-046</t>
  </si>
  <si>
    <t>&lt;1&gt;_1R31-P-30069-01-1_EKO</t>
  </si>
  <si>
    <t>M212446111</t>
  </si>
  <si>
    <t>&lt;2&gt;_1R31-P-30069-01-1_EKO</t>
  </si>
  <si>
    <t>&lt;3&gt;_1R31-P-30069-01-2_EKO</t>
  </si>
  <si>
    <t>&lt;4&gt;_1R31-P-30069-01-3_EKO</t>
  </si>
  <si>
    <t>: M212446111</t>
  </si>
  <si>
    <t>: HEIN-IV-047</t>
  </si>
  <si>
    <t xml:space="preserve">PIPE SIZE : 26'' S-STD CS A671-CC60-CL.22 EFW BE B36.10M </t>
  </si>
  <si>
    <t>&lt;7&gt;_1R31-P-30045-01-3_TUKIMAN</t>
  </si>
  <si>
    <t>&lt;8&gt;_1R31-P-30045-01-4_TUKIMAN</t>
  </si>
  <si>
    <t>&lt;9&gt;_1R31-P-30045-01-4_TUKIMAN</t>
  </si>
  <si>
    <t>&lt;10&gt;_1R31-P-30045-01-5_TUKIMAN</t>
  </si>
  <si>
    <t>: HEIN-IV-048</t>
  </si>
  <si>
    <t>&lt;2&gt;_1R31-QW-20008-01-2_TUKIMAN</t>
  </si>
  <si>
    <t>M219465282</t>
  </si>
  <si>
    <t>: HEIN-IV-049</t>
  </si>
  <si>
    <t xml:space="preserve">PIPE SIZE : 20'' 19.05 CS A106-B SMLS BE B36.10M </t>
  </si>
  <si>
    <t>:2023.04.16</t>
  </si>
  <si>
    <t>224::&lt;2&gt;_1R71-P-20018-01-2_KARTONO</t>
  </si>
  <si>
    <t>562::&lt;1&gt;_1R71-LSC-30031-01-1_KARTONO</t>
  </si>
  <si>
    <t>762::&lt;3&gt;_1R71-LSC-30031-03-2_KARTONO</t>
  </si>
  <si>
    <t>224::&lt;2&gt;_1R71-P-20020-01-2_KARTONO</t>
  </si>
  <si>
    <t>224::&lt;2&gt;_1R71-P-20021-01-2_KARTONO</t>
  </si>
  <si>
    <t>224::&lt;2&gt;_1R71-P-20022-01-2_KARTONO</t>
  </si>
  <si>
    <t>224::&lt;2&gt;_1R71-P-20023-01-2_KARTONO</t>
  </si>
  <si>
    <t>224::&lt;2&gt;_1R71-P-20024-01-2_KARTONO</t>
  </si>
  <si>
    <t>224::&lt;2&gt;_1R71-P-20025-01-2_KARTONO</t>
  </si>
  <si>
    <t>224::&lt;2&gt;_1R71-P-20026-01-2_KARTONO</t>
  </si>
  <si>
    <t>224::&lt;2&gt;_1R71-P-20027-01-2_KARTONO</t>
  </si>
  <si>
    <t>224::&lt;2&gt;_1R71-P-20028-01-2_EKO</t>
  </si>
  <si>
    <t>224::&lt;2&gt;_1R71-P-20029-01-2_EKO</t>
  </si>
  <si>
    <t>224::&lt;2&gt;_1R71-P-20030-01-2_EKO</t>
  </si>
  <si>
    <t>224::&lt;2&gt;_1R71-P-20031-01-2_EKO</t>
  </si>
  <si>
    <t>224::&lt;2&gt;_1R71-P-20032-01-2_EKO</t>
  </si>
  <si>
    <t>224::&lt;2&gt;_1R71-P-20039-01-2_EKO</t>
  </si>
  <si>
    <t>224::&lt;2&gt;_1R71-P-20040-01-2_EKO</t>
  </si>
  <si>
    <t>11526::&lt;2&gt;_1R71-LSC-30031-01-1_KARTONO</t>
  </si>
  <si>
    <t>7822::&lt;1&gt;_1R71-LSC-30031-02-1_KARTONO</t>
  </si>
  <si>
    <t>224::&lt;2&gt;_1R71-P-20019-01-2_KARTONO</t>
  </si>
  <si>
    <t>324::&lt;7&gt;_1R31-N-30010-01-6_EKO</t>
  </si>
  <si>
    <t>11526::&lt;6&gt;_1R31-N-90037-01-4_EKO</t>
  </si>
  <si>
    <t>11526::&lt;2&gt;_1R31-P-30067-02-2_EKO</t>
  </si>
  <si>
    <t>295::&lt;4&gt;_1R71-MS-90008-01-4_EKO</t>
  </si>
  <si>
    <t>3066::&lt;1&gt;_1R71-P-20017-01-1_EKO</t>
  </si>
  <si>
    <t>224::&lt;2&gt;_1R71-P-20017-01-2_EKO</t>
  </si>
  <si>
    <t>3066::&lt;1&gt;_1R71-P-20018-01-1_EKO</t>
  </si>
  <si>
    <t>3066::&lt;1&gt;_1R71-P-20019-01-1_EKO</t>
  </si>
  <si>
    <t>3066::&lt;1&gt;_1R71-P-20020-01-1_EKO</t>
  </si>
  <si>
    <t>3066::&lt;1&gt;_1R71-P-20021-01-1_EKO</t>
  </si>
  <si>
    <t>3066::&lt;1&gt;_1R71-P-20022-01-1_EKO</t>
  </si>
  <si>
    <t>3066::&lt;1&gt;_1R71-P-20023-01-1_EKO</t>
  </si>
  <si>
    <t>3066::&lt;1&gt;_1R71-P-20024-01-1_EKO</t>
  </si>
  <si>
    <t>3066::&lt;1&gt;_1R71-P-20025-01-1_EKO</t>
  </si>
  <si>
    <t>3066::&lt;1&gt;_1R71-P-20026-01-1_EKO</t>
  </si>
  <si>
    <t>3066::&lt;1&gt;_1R71-P-20027-01-1_EKO</t>
  </si>
  <si>
    <t>3066::&lt;1&gt;_1R71-P-20028-01-1_EKO</t>
  </si>
  <si>
    <t>3066::&lt;1&gt;_1R71-P-20029-01-1_EKO</t>
  </si>
  <si>
    <t>3066::&lt;1&gt;_1R71-P-20030-01-1_EKO</t>
  </si>
  <si>
    <t>3066::&lt;1&gt;_1R71-P-20031-01-1_EKO</t>
  </si>
  <si>
    <t>3066::&lt;1&gt;_1R71-P-20032-01-1_EKO</t>
  </si>
  <si>
    <t>3066::&lt;1&gt;_1R71-P-20039-01-1_EKO</t>
  </si>
  <si>
    <t>3066::&lt;1&gt;_1R71-P-20040-01-1_EKO</t>
  </si>
  <si>
    <t>6987::&lt;1&gt;_1R81-CWR-80014-01-1_EKO</t>
  </si>
  <si>
    <t>1024::&lt;1&gt;_1R11-FG-10002-01-1_EKO</t>
  </si>
  <si>
    <t>1024::&lt;1&gt;_1R11-FG-10004-01-1_EKO</t>
  </si>
  <si>
    <t>6867::&lt;1&gt;_1R11-P-10002-01-1_EKO</t>
  </si>
  <si>
    <t>2142::&lt;2&gt;_1R11-P-10002-01-1_EKO</t>
  </si>
  <si>
    <t>11526::&lt;3&gt;_1R11-P-10002-01-2_EKO</t>
  </si>
  <si>
    <t>11526::&lt;5&gt;_1R11-P-10002-01-3_EKO</t>
  </si>
  <si>
    <t>11526::&lt;2&gt;_1R11-P-10002-02-1_EKO</t>
  </si>
  <si>
    <t>11526::&lt;4&gt;_1R11-P-10002-02-2_EKO</t>
  </si>
  <si>
    <t>3207::&lt;5&gt;_1R11-P-10002-02-3_EKO</t>
  </si>
  <si>
    <t>1024::&lt;1&gt;_1R11-P-10005-01-1_EKO</t>
  </si>
  <si>
    <t>412::&lt;1&gt;_1R71-P-10002-01-1_EKO</t>
  </si>
  <si>
    <t>11526::&lt;2&gt;_1R71-P-10002-01-1_EKO</t>
  </si>
  <si>
    <t>11526::&lt;4&gt;_1R71-P-10002-01-2_EKO</t>
  </si>
  <si>
    <t>262::&lt;5&gt;_1R71-P-10002-01-2_EKO</t>
  </si>
  <si>
    <t>262::&lt;1&gt;_1R71-P-30067-01-1_EKO</t>
  </si>
  <si>
    <t>11526::&lt;2&gt;_1R71-P-30067-01-1_EKO</t>
  </si>
  <si>
    <t>11282::&lt;1&gt;_1R71-QO-20027-01-1_EKO</t>
  </si>
  <si>
    <t>1162::&lt;2&gt;_1R71-QO-20027-01-2_EKO</t>
  </si>
  <si>
    <t>7762::&lt;3&gt;_1R71-QO-20027-01-2_EKO</t>
  </si>
  <si>
    <t>1587::&lt;1&gt;_1R71-QO-20027-02-1_EKO</t>
  </si>
  <si>
    <t>1024::&lt;1&gt;_1R11-LPG-10013-01-1_EKO</t>
  </si>
  <si>
    <t>7622::&lt;2&gt;_1R71-QO-20027-02-2_EKO</t>
  </si>
  <si>
    <t>2091::&lt;1&gt;_1R41-PR-60004-01-1_KARTONO</t>
  </si>
  <si>
    <t>2676::&lt;1&gt;_1R41-PR-60002-08-1_EKO</t>
  </si>
  <si>
    <t>2842::&lt;1&gt;_1R41-PR-60002-06-1_KARTONO</t>
  </si>
  <si>
    <t>2842::&lt;1&gt;_1R41-PR-60002-05-1_KARTONO</t>
  </si>
  <si>
    <t>2842::&lt;1&gt;_1R41-PR-60002-04-1_EKO</t>
  </si>
  <si>
    <t>2842::&lt;1&gt;_1R41-PR-60002-03-1_EKO</t>
  </si>
  <si>
    <t>2842::&lt;1&gt;_1R41-PR-60002-02-1_EKO</t>
  </si>
  <si>
    <t>11526::&lt;1&gt;_1R41-LSC-30031-01-1_EKO</t>
  </si>
  <si>
    <t>4262::&lt;2&gt;_1R31-WF-10001-01-2_EKO</t>
  </si>
  <si>
    <t>241::&lt;3&gt;_1R31-WF-10001-01-2_EKO</t>
  </si>
  <si>
    <t>1244::&lt;1&gt;_1R31-WF-10001-01-1_EKO</t>
  </si>
  <si>
    <t>11526::&lt;5&gt;_1R31-P-30067-02-3_KARTONO</t>
  </si>
  <si>
    <t>262::&lt;1&gt;_1R31-P-30067-02-1_KARTONO</t>
  </si>
  <si>
    <t>11526::&lt;6&gt;_1R31-P-30067-01-4_EKO</t>
  </si>
  <si>
    <t>5862::&lt;4&gt;_1R31-P-30067-01-3_EKO</t>
  </si>
  <si>
    <t>762::&lt;5&gt;_1R31-P-30067-01-3_EKO</t>
  </si>
  <si>
    <t>2062::&lt;3&gt;_1R31-P-30067-01-2_EKO</t>
  </si>
  <si>
    <t>762::&lt;1&gt;_1R31-P-30067-01-1_EKO</t>
  </si>
  <si>
    <t>5962::&lt;2&gt;_1R31-P-30067-01-1_EKO</t>
  </si>
  <si>
    <t>7825::&lt;5&gt;_1R31-N-90037-01-3_KARTONO</t>
  </si>
  <si>
    <t>1962::&lt;3&gt;_1R31-N-90037-01-2_KARTONO</t>
  </si>
  <si>
    <t>912::&lt;4&gt;_1R31-N-90037-01-2_KARTONO</t>
  </si>
  <si>
    <t>1626::&lt;1&gt;_1R31-N-90037-01-1_KARTONO</t>
  </si>
  <si>
    <t>6082::&lt;2&gt;_1R31-N-90037-01-1_KARTONO</t>
  </si>
  <si>
    <t>516::&lt;6&gt;_1R31-N-30010-01-5_TUKIMAN</t>
  </si>
  <si>
    <t>1479::&lt;5&gt;_1R31-N-30010-01-4_TUKIMAN</t>
  </si>
  <si>
    <t>3762::&lt;4&gt;_1R31-N-30010-01-3_TUKIMAN</t>
  </si>
  <si>
    <t>5762::&lt;3&gt;_1R31-N-30010-01-2_TUKIMAN</t>
  </si>
  <si>
    <t>427::&lt;1&gt;_1R31-N-30010-01-1_TUKIMAN</t>
  </si>
  <si>
    <t>1962::&lt;2&gt;_1R31-N-30010-01-1_TUKIMAN</t>
  </si>
  <si>
    <t>HEIN-III-0045</t>
  </si>
  <si>
    <t>Batch-004</t>
  </si>
  <si>
    <t xml:space="preserve">PIPE SIZE : 12'' S-STD LTCS A333-6 SMLS BE B36.10M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</si>
</sst>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(* #,##0_);_(* \(#,##0\);_(* &quot;-&quot;_);_(@_)"/>
    <numFmt numFmtId="43" formatCode="_(* #,##0.00_);_(* \(#,##0.00\);_(* &quot;-&quot;??_);_(@_)"/>
    <numFmt numFmtId="164" formatCode="#,##0.0"/>
  </numFmts>
  <fonts count="49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charset val="1"/>
      <scheme val="minor"/>
    </font>
    <font>
      <sz val="10"/>
      <name val="Arial"/>
      <family val="2"/>
    </font>
    <font>
      <sz val="11"/>
      <color theme="0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8"/>
      <name val="Arial"/>
      <family val="2"/>
    </font>
    <font>
      <sz val="11"/>
      <color indexed="8"/>
      <name val="Calibri"/>
      <family val="2"/>
      <charset val="1"/>
    </font>
    <font>
      <sz val="11"/>
      <color indexed="9"/>
      <name val="Calibri"/>
      <family val="2"/>
      <charset val="1"/>
    </font>
    <font>
      <sz val="11"/>
      <color indexed="20"/>
      <name val="Calibri"/>
      <family val="2"/>
      <charset val="1"/>
    </font>
    <font>
      <b/>
      <sz val="11"/>
      <color indexed="52"/>
      <name val="Calibri"/>
      <family val="2"/>
      <charset val="1"/>
    </font>
    <font>
      <b/>
      <sz val="11"/>
      <color indexed="9"/>
      <name val="Calibri"/>
      <family val="2"/>
      <charset val="1"/>
    </font>
    <font>
      <i/>
      <sz val="11"/>
      <color indexed="23"/>
      <name val="Calibri"/>
      <family val="2"/>
      <charset val="1"/>
    </font>
    <font>
      <sz val="11"/>
      <color indexed="17"/>
      <name val="Calibri"/>
      <family val="2"/>
      <charset val="1"/>
    </font>
    <font>
      <b/>
      <sz val="15"/>
      <color indexed="56"/>
      <name val="Calibri"/>
      <family val="2"/>
      <charset val="1"/>
    </font>
    <font>
      <b/>
      <sz val="13"/>
      <color indexed="56"/>
      <name val="Calibri"/>
      <family val="2"/>
      <charset val="1"/>
    </font>
    <font>
      <b/>
      <sz val="11"/>
      <color indexed="56"/>
      <name val="Calibri"/>
      <family val="2"/>
      <charset val="1"/>
    </font>
    <font>
      <sz val="11"/>
      <color indexed="62"/>
      <name val="Calibri"/>
      <family val="2"/>
      <charset val="1"/>
    </font>
    <font>
      <sz val="11"/>
      <color indexed="52"/>
      <name val="Calibri"/>
      <family val="2"/>
      <charset val="1"/>
    </font>
    <font>
      <sz val="11"/>
      <color indexed="60"/>
      <name val="Calibri"/>
      <family val="2"/>
      <charset val="1"/>
    </font>
    <font>
      <sz val="10"/>
      <name val="MS Sans Serif"/>
      <family val="2"/>
    </font>
    <font>
      <b/>
      <sz val="11"/>
      <color indexed="63"/>
      <name val="Calibri"/>
      <family val="2"/>
      <charset val="1"/>
    </font>
    <font>
      <b/>
      <sz val="18"/>
      <color indexed="56"/>
      <name val="Cambria"/>
      <family val="2"/>
      <charset val="1"/>
    </font>
    <font>
      <b/>
      <sz val="11"/>
      <color indexed="8"/>
      <name val="Calibri"/>
      <family val="2"/>
      <charset val="1"/>
    </font>
    <font>
      <sz val="11"/>
      <color indexed="10"/>
      <name val="Calibri"/>
      <family val="2"/>
      <charset val="1"/>
    </font>
    <font>
      <b/>
      <sz val="12"/>
      <name val="Arial"/>
      <family val="2"/>
    </font>
    <font>
      <sz val="11"/>
      <color rgb="FF000000"/>
      <name val="Calibri"/>
      <family val="2"/>
      <charset val="204"/>
    </font>
    <font>
      <sz val="10"/>
      <color theme="1"/>
      <name val="Bookman Old"/>
      <family val="2"/>
    </font>
    <font>
      <sz val="8"/>
      <name val="Calibri"/>
      <family val="2"/>
      <charset val="1"/>
      <scheme val="minor"/>
    </font>
    <font>
      <b/>
      <sz val="10"/>
      <color rgb="FFFF0000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indexed="8"/>
      <name val="Calibri"/>
      <family val="2"/>
      <charset val="134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0">
    <fill>
      <patternFill patternType="none"/>
    </fill>
    <fill>
      <patternFill patternType="gray125"/>
    </fill>
    <fill>
      <gradientFill degree="90">
        <stop position="0">
          <color theme="0"/>
        </stop>
        <stop position="0.5">
          <color theme="8" tint="0.59999389629810485"/>
        </stop>
        <stop position="1">
          <color theme="0"/>
        </stop>
      </gradient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30">
    <border>
      <left/>
      <right/>
      <top/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229">
    <xf numFmtId="0" fontId="0" fillId="0" borderId="0"/>
    <xf numFmtId="0" fontId="16" fillId="0" borderId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9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22" borderId="0" applyNumberFormat="0" applyBorder="0" applyAlignment="0" applyProtection="0"/>
    <xf numFmtId="0" fontId="21" fillId="6" borderId="0" applyNumberFormat="0" applyBorder="0" applyAlignment="0" applyProtection="0"/>
    <xf numFmtId="0" fontId="22" fillId="23" borderId="4" applyNumberFormat="0" applyAlignment="0" applyProtection="0"/>
    <xf numFmtId="0" fontId="23" fillId="24" borderId="5" applyNumberFormat="0" applyAlignment="0" applyProtection="0"/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7" borderId="0" applyNumberFormat="0" applyBorder="0" applyAlignment="0" applyProtection="0"/>
    <xf numFmtId="0" fontId="37" fillId="0" borderId="6" applyNumberFormat="0" applyAlignment="0" applyProtection="0">
      <alignment horizontal="left" vertical="center"/>
    </xf>
    <xf numFmtId="0" fontId="37" fillId="0" borderId="7">
      <alignment horizontal="left" vertical="center"/>
    </xf>
    <xf numFmtId="0" fontId="26" fillId="0" borderId="8" applyNumberFormat="0" applyFill="0" applyAlignment="0" applyProtection="0"/>
    <xf numFmtId="0" fontId="27" fillId="0" borderId="9" applyNumberFormat="0" applyFill="0" applyAlignment="0" applyProtection="0"/>
    <xf numFmtId="0" fontId="28" fillId="0" borderId="10" applyNumberFormat="0" applyFill="0" applyAlignment="0" applyProtection="0"/>
    <xf numFmtId="0" fontId="28" fillId="0" borderId="0" applyNumberFormat="0" applyFill="0" applyBorder="0" applyAlignment="0" applyProtection="0"/>
    <xf numFmtId="0" fontId="29" fillId="10" borderId="4" applyNumberFormat="0" applyAlignment="0" applyProtection="0"/>
    <xf numFmtId="0" fontId="30" fillId="0" borderId="11" applyNumberFormat="0" applyFill="0" applyAlignment="0" applyProtection="0"/>
    <xf numFmtId="0" fontId="31" fillId="25" borderId="0" applyNumberFormat="0" applyBorder="0" applyAlignment="0" applyProtection="0"/>
    <xf numFmtId="164" fontId="13" fillId="0" borderId="0" applyFont="0" applyFill="0" applyBorder="0" applyAlignment="0" applyProtection="0"/>
    <xf numFmtId="0" fontId="19" fillId="0" borderId="0"/>
    <xf numFmtId="0" fontId="1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9" fillId="0" borderId="0"/>
    <xf numFmtId="0" fontId="38" fillId="0" borderId="0"/>
    <xf numFmtId="0" fontId="13" fillId="0" borderId="0"/>
    <xf numFmtId="0" fontId="19" fillId="0" borderId="0"/>
    <xf numFmtId="0" fontId="32" fillId="0" borderId="0"/>
    <xf numFmtId="0" fontId="13" fillId="0" borderId="0"/>
    <xf numFmtId="0" fontId="32" fillId="0" borderId="0"/>
    <xf numFmtId="0" fontId="13" fillId="0" borderId="0"/>
    <xf numFmtId="0" fontId="13" fillId="0" borderId="0"/>
    <xf numFmtId="0" fontId="13" fillId="0" borderId="0"/>
    <xf numFmtId="0" fontId="19" fillId="0" borderId="0"/>
    <xf numFmtId="0" fontId="32" fillId="0" borderId="0"/>
    <xf numFmtId="0" fontId="13" fillId="0" borderId="0"/>
    <xf numFmtId="0" fontId="17" fillId="0" borderId="0"/>
    <xf numFmtId="0" fontId="39" fillId="0" borderId="0">
      <alignment horizontal="left" vertical="center"/>
    </xf>
    <xf numFmtId="0" fontId="19" fillId="0" borderId="0"/>
    <xf numFmtId="0" fontId="17" fillId="0" borderId="0"/>
    <xf numFmtId="0" fontId="13" fillId="0" borderId="0"/>
    <xf numFmtId="0" fontId="19" fillId="0" borderId="0"/>
    <xf numFmtId="0" fontId="13" fillId="0" borderId="0"/>
    <xf numFmtId="0" fontId="19" fillId="0" borderId="0"/>
    <xf numFmtId="0" fontId="17" fillId="0" borderId="0"/>
    <xf numFmtId="0" fontId="18" fillId="0" borderId="0"/>
    <xf numFmtId="0" fontId="13" fillId="26" borderId="12" applyNumberFormat="0" applyFont="0" applyAlignment="0" applyProtection="0"/>
    <xf numFmtId="0" fontId="33" fillId="23" borderId="13" applyNumberFormat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14" applyNumberFormat="0" applyFill="0" applyAlignment="0" applyProtection="0"/>
    <xf numFmtId="0" fontId="36" fillId="0" borderId="0" applyNumberFormat="0" applyFill="0" applyBorder="0" applyAlignment="0" applyProtection="0"/>
    <xf numFmtId="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/>
    <xf numFmtId="0" fontId="42" fillId="0" borderId="0">
      <alignment vertical="center"/>
    </xf>
    <xf numFmtId="0" fontId="15" fillId="0" borderId="0"/>
    <xf numFmtId="43" fontId="15" fillId="0" borderId="0" applyFont="0" applyFill="0" applyBorder="0" applyAlignment="0" applyProtection="0"/>
    <xf numFmtId="41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5" fillId="0" borderId="0"/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0" fontId="43" fillId="0" borderId="0">
      <alignment vertical="center"/>
    </xf>
    <xf numFmtId="0" fontId="5" fillId="0" borderId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4" fillId="0" borderId="0"/>
  </cellStyleXfs>
  <cellXfs count="175">
    <xf numFmtId="0" fontId="0" fillId="0" borderId="0" xfId="0"/>
    <xf numFmtId="1" fontId="7" fillId="2" borderId="1" xfId="0" applyNumberFormat="1" applyFont="1" applyFill="1" applyBorder="1" applyAlignment="1">
      <alignment horizontal="center" vertical="center"/>
    </xf>
    <xf numFmtId="0" fontId="8" fillId="0" borderId="0" xfId="0" applyFont="1"/>
    <xf numFmtId="0" fontId="11" fillId="4" borderId="3" xfId="0" applyFont="1" applyFill="1" applyBorder="1" applyAlignment="1">
      <alignment horizontal="center" vertical="center" wrapText="1"/>
    </xf>
    <xf numFmtId="1" fontId="11" fillId="4" borderId="3" xfId="0" applyNumberFormat="1" applyFont="1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0" fontId="0" fillId="3" borderId="3" xfId="0" applyFill="1" applyBorder="1" applyAlignment="1">
      <alignment horizontal="left"/>
    </xf>
    <xf numFmtId="0" fontId="12" fillId="3" borderId="3" xfId="0" applyFont="1" applyFill="1" applyBorder="1" applyAlignment="1">
      <alignment horizont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2" fontId="14" fillId="0" borderId="0" xfId="0" applyNumberFormat="1" applyFont="1"/>
    <xf numFmtId="0" fontId="14" fillId="0" borderId="0" xfId="0" applyFont="1"/>
    <xf numFmtId="0" fontId="14" fillId="0" borderId="0" xfId="0" applyFont="1" applyAlignment="1">
      <alignment horizontal="left" vertical="center"/>
    </xf>
    <xf numFmtId="0" fontId="10" fillId="0" borderId="3" xfId="0" applyFont="1" applyBorder="1" applyAlignment="1">
      <alignment horizontal="center" vertical="center"/>
    </xf>
    <xf numFmtId="0" fontId="8" fillId="3" borderId="3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1" fontId="8" fillId="3" borderId="3" xfId="0" applyNumberFormat="1" applyFont="1" applyFill="1" applyBorder="1" applyAlignment="1">
      <alignment horizontal="center"/>
    </xf>
    <xf numFmtId="0" fontId="8" fillId="3" borderId="3" xfId="0" applyFont="1" applyFill="1" applyBorder="1" applyAlignment="1">
      <alignment horizontal="left"/>
    </xf>
    <xf numFmtId="0" fontId="40" fillId="3" borderId="3" xfId="0" applyFont="1" applyFill="1" applyBorder="1" applyAlignment="1">
      <alignment horizontal="center"/>
    </xf>
    <xf numFmtId="1" fontId="8" fillId="0" borderId="0" xfId="0" applyNumberFormat="1" applyFont="1" applyAlignment="1">
      <alignment horizontal="left"/>
    </xf>
    <xf numFmtId="0" fontId="8" fillId="0" borderId="3" xfId="0" applyFont="1" applyBorder="1" applyAlignment="1">
      <alignment horizontal="center" vertical="center"/>
    </xf>
    <xf numFmtId="1" fontId="41" fillId="2" borderId="1" xfId="0" applyNumberFormat="1" applyFont="1" applyFill="1" applyBorder="1" applyAlignment="1">
      <alignment horizontal="center" vertical="center"/>
    </xf>
    <xf numFmtId="0" fontId="0" fillId="3" borderId="0" xfId="0" applyFill="1"/>
    <xf numFmtId="0" fontId="0" fillId="0" borderId="0" xfId="0" applyAlignment="1">
      <alignment horizontal="center"/>
    </xf>
    <xf numFmtId="1" fontId="44" fillId="3" borderId="2" xfId="0" applyNumberFormat="1" applyFont="1" applyFill="1" applyBorder="1" applyAlignment="1">
      <alignment horizontal="center" vertical="center"/>
    </xf>
    <xf numFmtId="2" fontId="44" fillId="3" borderId="2" xfId="0" applyNumberFormat="1" applyFont="1" applyFill="1" applyBorder="1" applyAlignment="1">
      <alignment horizontal="center" vertical="center"/>
    </xf>
    <xf numFmtId="0" fontId="45" fillId="0" borderId="0" xfId="0" applyFont="1" applyAlignment="1">
      <alignment horizontal="left" vertical="center"/>
    </xf>
    <xf numFmtId="1" fontId="46" fillId="2" borderId="1" xfId="0" applyNumberFormat="1" applyFont="1" applyFill="1" applyBorder="1" applyAlignment="1">
      <alignment horizontal="center" vertical="center"/>
    </xf>
    <xf numFmtId="1" fontId="45" fillId="0" borderId="0" xfId="0" applyNumberFormat="1" applyFont="1" applyAlignment="1">
      <alignment horizontal="left" vertical="center"/>
    </xf>
    <xf numFmtId="0" fontId="10" fillId="3" borderId="17" xfId="0" applyFont="1" applyFill="1" applyBorder="1" applyAlignment="1">
      <alignment horizontal="center" vertical="center"/>
    </xf>
    <xf numFmtId="1" fontId="45" fillId="0" borderId="0" xfId="0" applyNumberFormat="1" applyFont="1" applyAlignment="1">
      <alignment horizontal="right" vertical="center"/>
    </xf>
    <xf numFmtId="0" fontId="10" fillId="3" borderId="16" xfId="0" applyFont="1" applyFill="1" applyBorder="1" applyAlignment="1">
      <alignment horizontal="center" vertical="center"/>
    </xf>
    <xf numFmtId="0" fontId="10" fillId="3" borderId="15" xfId="0" applyFont="1" applyFill="1" applyBorder="1" applyAlignment="1">
      <alignment horizontal="left" vertical="center"/>
    </xf>
    <xf numFmtId="0" fontId="10" fillId="3" borderId="18" xfId="0" applyFont="1" applyFill="1" applyBorder="1" applyAlignment="1">
      <alignment horizontal="left" vertical="center"/>
    </xf>
    <xf numFmtId="0" fontId="11" fillId="4" borderId="3" xfId="0" applyFont="1" applyFill="1" applyBorder="1" applyAlignment="1">
      <alignment horizontal="center" vertical="top" wrapText="1"/>
    </xf>
    <xf numFmtId="1" fontId="11" fillId="4" borderId="3" xfId="0" applyNumberFormat="1" applyFont="1" applyFill="1" applyBorder="1" applyAlignment="1">
      <alignment horizontal="center" vertical="top" wrapText="1"/>
    </xf>
    <xf numFmtId="0" fontId="11" fillId="3" borderId="15" xfId="0" applyFont="1" applyFill="1" applyBorder="1" applyAlignment="1">
      <alignment horizontal="left" vertical="center"/>
    </xf>
    <xf numFmtId="0" fontId="11" fillId="3" borderId="18" xfId="0" applyFont="1" applyFill="1" applyBorder="1" applyAlignment="1">
      <alignment horizontal="left" vertical="center"/>
    </xf>
    <xf numFmtId="0" fontId="11" fillId="3" borderId="16" xfId="0" applyFont="1" applyFill="1" applyBorder="1" applyAlignment="1">
      <alignment horizontal="center" vertical="center"/>
    </xf>
    <xf numFmtId="0" fontId="47" fillId="3" borderId="3" xfId="0" applyFont="1" applyFill="1" applyBorder="1" applyAlignment="1">
      <alignment horizontal="center"/>
    </xf>
    <xf numFmtId="1" fontId="47" fillId="3" borderId="3" xfId="0" applyNumberFormat="1" applyFont="1" applyFill="1" applyBorder="1" applyAlignment="1">
      <alignment horizontal="center"/>
    </xf>
    <xf numFmtId="0" fontId="47" fillId="3" borderId="3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center"/>
    </xf>
    <xf numFmtId="1" fontId="3" fillId="3" borderId="3" xfId="0" applyNumberFormat="1" applyFont="1" applyFill="1" applyBorder="1" applyAlignment="1">
      <alignment horizontal="center"/>
    </xf>
    <xf numFmtId="0" fontId="3" fillId="3" borderId="3" xfId="0" applyFont="1" applyFill="1" applyBorder="1" applyAlignment="1">
      <alignment horizontal="left"/>
    </xf>
    <xf numFmtId="0" fontId="2" fillId="3" borderId="3" xfId="0" applyFont="1" applyFill="1" applyBorder="1" applyAlignment="1">
      <alignment horizontal="left"/>
    </xf>
    <xf numFmtId="0" fontId="47" fillId="27" borderId="3" xfId="0" applyFont="1" applyFill="1" applyBorder="1" applyAlignment="1">
      <alignment horizontal="left"/>
    </xf>
    <xf numFmtId="0" fontId="47" fillId="27" borderId="3" xfId="0" applyFont="1" applyFill="1" applyBorder="1" applyAlignment="1">
      <alignment horizontal="center"/>
    </xf>
    <xf numFmtId="0" fontId="3" fillId="27" borderId="3" xfId="0" applyFont="1" applyFill="1" applyBorder="1" applyAlignment="1">
      <alignment horizontal="left"/>
    </xf>
    <xf numFmtId="0" fontId="3" fillId="27" borderId="3" xfId="0" applyFont="1" applyFill="1" applyBorder="1" applyAlignment="1">
      <alignment horizontal="center"/>
    </xf>
    <xf numFmtId="0" fontId="1" fillId="27" borderId="3" xfId="0" applyFont="1" applyFill="1" applyBorder="1" applyAlignment="1">
      <alignment horizontal="center"/>
    </xf>
    <xf numFmtId="0" fontId="8" fillId="3" borderId="16" xfId="0" applyFont="1" applyFill="1" applyBorder="1" applyAlignment="1">
      <alignment horizontal="center"/>
    </xf>
    <xf numFmtId="0" fontId="8" fillId="0" borderId="16" xfId="0" applyFont="1" applyBorder="1" applyAlignment="1">
      <alignment horizontal="center" vertical="center"/>
    </xf>
    <xf numFmtId="1" fontId="8" fillId="3" borderId="16" xfId="0" applyNumberFormat="1" applyFont="1" applyFill="1" applyBorder="1" applyAlignment="1">
      <alignment horizontal="center"/>
    </xf>
    <xf numFmtId="0" fontId="8" fillId="27" borderId="3" xfId="0" applyFont="1" applyFill="1" applyBorder="1" applyAlignment="1">
      <alignment horizontal="left"/>
    </xf>
    <xf numFmtId="0" fontId="8" fillId="3" borderId="16" xfId="0" applyFont="1" applyFill="1" applyBorder="1" applyAlignment="1">
      <alignment horizontal="left"/>
    </xf>
    <xf numFmtId="0" fontId="40" fillId="3" borderId="16" xfId="0" applyFont="1" applyFill="1" applyBorder="1" applyAlignment="1">
      <alignment horizontal="center"/>
    </xf>
    <xf numFmtId="0" fontId="8" fillId="28" borderId="16" xfId="0" applyFont="1" applyFill="1" applyBorder="1" applyAlignment="1">
      <alignment horizontal="center"/>
    </xf>
    <xf numFmtId="0" fontId="8" fillId="28" borderId="20" xfId="0" applyFont="1" applyFill="1" applyBorder="1" applyAlignment="1">
      <alignment horizontal="center" vertical="center" wrapText="1"/>
    </xf>
    <xf numFmtId="1" fontId="8" fillId="28" borderId="16" xfId="0" applyNumberFormat="1" applyFont="1" applyFill="1" applyBorder="1" applyAlignment="1">
      <alignment horizontal="center"/>
    </xf>
    <xf numFmtId="0" fontId="8" fillId="28" borderId="16" xfId="0" applyFont="1" applyFill="1" applyBorder="1" applyAlignment="1">
      <alignment horizontal="left"/>
    </xf>
    <xf numFmtId="0" fontId="8" fillId="28" borderId="15" xfId="0" applyFont="1" applyFill="1" applyBorder="1" applyAlignment="1">
      <alignment horizontal="center"/>
    </xf>
    <xf numFmtId="0" fontId="40" fillId="28" borderId="17" xfId="0" applyFont="1" applyFill="1" applyBorder="1" applyAlignment="1">
      <alignment horizontal="center"/>
    </xf>
    <xf numFmtId="0" fontId="8" fillId="28" borderId="18" xfId="0" applyFont="1" applyFill="1" applyBorder="1" applyAlignment="1">
      <alignment horizontal="center"/>
    </xf>
    <xf numFmtId="0" fontId="8" fillId="0" borderId="20" xfId="0" applyFont="1" applyBorder="1" applyAlignment="1">
      <alignment vertical="center" wrapText="1"/>
    </xf>
    <xf numFmtId="0" fontId="11" fillId="29" borderId="0" xfId="0" applyFont="1" applyFill="1"/>
    <xf numFmtId="0" fontId="48" fillId="29" borderId="0" xfId="0" applyFont="1" applyFill="1" applyAlignment="1">
      <alignment horizontal="center" vertical="center"/>
    </xf>
    <xf numFmtId="0" fontId="8" fillId="0" borderId="19" xfId="0" applyFont="1" applyBorder="1" applyAlignment="1">
      <alignment vertical="center" wrapText="1"/>
    </xf>
    <xf numFmtId="0" fontId="8" fillId="0" borderId="21" xfId="0" applyFont="1" applyBorder="1" applyAlignment="1">
      <alignment vertical="center" wrapText="1"/>
    </xf>
    <xf numFmtId="0" fontId="10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center" vertical="center"/>
    </xf>
    <xf numFmtId="0" fontId="10" fillId="3" borderId="3" xfId="0" applyFont="1" applyFill="1" applyBorder="1" applyAlignment="1">
      <alignment horizontal="left" vertical="center"/>
    </xf>
    <xf numFmtId="0" fontId="9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left" vertical="center"/>
    </xf>
    <xf numFmtId="0" fontId="11" fillId="3" borderId="22" xfId="0" applyFont="1" applyFill="1" applyBorder="1" applyAlignment="1">
      <alignment horizontal="center" vertical="center"/>
    </xf>
    <xf numFmtId="0" fontId="11" fillId="3" borderId="28" xfId="0" applyFont="1" applyFill="1" applyBorder="1" applyAlignment="1">
      <alignment horizontal="center" vertical="center"/>
    </xf>
    <xf numFmtId="0" fontId="11" fillId="3" borderId="23" xfId="0" applyFont="1" applyFill="1" applyBorder="1" applyAlignment="1">
      <alignment horizontal="center" vertical="center"/>
    </xf>
    <xf numFmtId="0" fontId="11" fillId="3" borderId="24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1" fillId="3" borderId="25" xfId="0" applyFont="1" applyFill="1" applyBorder="1" applyAlignment="1">
      <alignment horizontal="center" vertical="center"/>
    </xf>
    <xf numFmtId="0" fontId="11" fillId="3" borderId="26" xfId="0" applyFont="1" applyFill="1" applyBorder="1" applyAlignment="1">
      <alignment horizontal="center" vertical="center"/>
    </xf>
    <xf numFmtId="0" fontId="11" fillId="3" borderId="29" xfId="0" applyFont="1" applyFill="1" applyBorder="1" applyAlignment="1">
      <alignment horizontal="center" vertical="center"/>
    </xf>
    <xf numFmtId="0" fontId="11" fillId="3" borderId="27" xfId="0" applyFont="1" applyFill="1" applyBorder="1" applyAlignment="1">
      <alignment horizontal="center" vertical="center"/>
    </xf>
    <xf numFmtId="0" fontId="11" fillId="3" borderId="15" xfId="0" applyFont="1" applyFill="1" applyBorder="1" applyAlignment="1">
      <alignment horizontal="left" vertical="center"/>
    </xf>
    <xf numFmtId="0" fontId="11" fillId="3" borderId="18" xfId="0" applyFont="1" applyFill="1" applyBorder="1" applyAlignment="1">
      <alignment horizontal="left" vertical="center"/>
    </xf>
    <xf numFmtId="0" fontId="11" fillId="3" borderId="15" xfId="0" applyFont="1" applyFill="1" applyBorder="1" applyAlignment="1">
      <alignment horizontal="left" vertical="top" wrapText="1"/>
    </xf>
    <xf numFmtId="0" fontId="11" fillId="3" borderId="17" xfId="0" applyFont="1" applyFill="1" applyBorder="1" applyAlignment="1">
      <alignment horizontal="left" vertical="top" wrapText="1"/>
    </xf>
    <xf numFmtId="0" fontId="11" fillId="3" borderId="18" xfId="0" applyFont="1" applyFill="1" applyBorder="1" applyAlignment="1">
      <alignment horizontal="left" vertical="top" wrapText="1"/>
    </xf>
    <xf numFmtId="22" fontId="11" fillId="3" borderId="15" xfId="0" applyNumberFormat="1" applyFont="1" applyFill="1" applyBorder="1" applyAlignment="1">
      <alignment horizontal="left" vertical="center"/>
    </xf>
    <xf numFmtId="22" fontId="11" fillId="3" borderId="17" xfId="0" applyNumberFormat="1" applyFont="1" applyFill="1" applyBorder="1" applyAlignment="1">
      <alignment horizontal="left" vertical="center"/>
    </xf>
    <xf numFmtId="22" fontId="11" fillId="3" borderId="18" xfId="0" applyNumberFormat="1" applyFont="1" applyFill="1" applyBorder="1" applyAlignment="1">
      <alignment horizontal="left" vertical="center"/>
    </xf>
    <xf numFmtId="2" fontId="11" fillId="3" borderId="15" xfId="0" applyNumberFormat="1" applyFont="1" applyFill="1" applyBorder="1" applyAlignment="1">
      <alignment horizontal="left" vertical="center"/>
    </xf>
    <xf numFmtId="2" fontId="11" fillId="3" borderId="17" xfId="0" applyNumberFormat="1" applyFont="1" applyFill="1" applyBorder="1" applyAlignment="1">
      <alignment horizontal="left" vertical="center"/>
    </xf>
    <xf numFmtId="2" fontId="11" fillId="3" borderId="18" xfId="0" applyNumberFormat="1" applyFont="1" applyFill="1" applyBorder="1" applyAlignment="1">
      <alignment horizontal="left" vertical="center"/>
    </xf>
    <xf numFmtId="0" fontId="11" fillId="3" borderId="22" xfId="0" applyFont="1" applyFill="1" applyBorder="1" applyAlignment="1">
      <alignment horizontal="left" vertical="center"/>
    </xf>
    <xf numFmtId="0" fontId="11" fillId="3" borderId="23" xfId="0" applyFont="1" applyFill="1" applyBorder="1" applyAlignment="1">
      <alignment horizontal="left" vertical="center"/>
    </xf>
    <xf numFmtId="0" fontId="11" fillId="3" borderId="26" xfId="0" applyFont="1" applyFill="1" applyBorder="1" applyAlignment="1">
      <alignment horizontal="left" vertical="center"/>
    </xf>
    <xf numFmtId="0" fontId="11" fillId="3" borderId="27" xfId="0" applyFont="1" applyFill="1" applyBorder="1" applyAlignment="1">
      <alignment horizontal="left" vertical="center"/>
    </xf>
    <xf numFmtId="0" fontId="11" fillId="3" borderId="28" xfId="0" applyFont="1" applyFill="1" applyBorder="1" applyAlignment="1">
      <alignment horizontal="left" vertical="center"/>
    </xf>
    <xf numFmtId="0" fontId="11" fillId="3" borderId="29" xfId="0" applyFont="1" applyFill="1" applyBorder="1" applyAlignment="1">
      <alignment horizontal="left" vertical="center"/>
    </xf>
    <xf numFmtId="0" fontId="11" fillId="3" borderId="17" xfId="0" applyFont="1" applyFill="1" applyBorder="1" applyAlignment="1">
      <alignment horizontal="left" vertical="center"/>
    </xf>
    <xf numFmtId="0" fontId="11" fillId="3" borderId="15" xfId="0" applyFont="1" applyFill="1" applyBorder="1" applyAlignment="1">
      <alignment horizontal="right" vertical="center"/>
    </xf>
    <xf numFmtId="0" fontId="11" fillId="3" borderId="17" xfId="0" applyFont="1" applyFill="1" applyBorder="1" applyAlignment="1">
      <alignment horizontal="right" vertical="center"/>
    </xf>
    <xf numFmtId="0" fontId="11" fillId="3" borderId="18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/>
    </xf>
    <xf numFmtId="0" fontId="11" fillId="3" borderId="17" xfId="0" applyFont="1" applyFill="1" applyBorder="1" applyAlignment="1">
      <alignment horizontal="center" vertical="center"/>
    </xf>
    <xf numFmtId="0" fontId="11" fillId="3" borderId="18" xfId="0" applyFont="1" applyFill="1" applyBorder="1" applyAlignment="1">
      <alignment horizontal="center" vertical="center"/>
    </xf>
    <xf numFmtId="0" fontId="8" fillId="0" borderId="19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0" fillId="3" borderId="19" xfId="0" applyFill="1" applyBorder="1" applyAlignment="1">
      <alignment horizontal="center" vertical="center" wrapText="1"/>
    </xf>
    <xf numFmtId="0" fontId="0" fillId="3" borderId="21" xfId="0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 wrapText="1"/>
    </xf>
    <xf numFmtId="0" fontId="11" fillId="3" borderId="16" xfId="0" applyFont="1" applyFill="1" applyBorder="1" applyAlignment="1">
      <alignment horizontal="center" vertical="center"/>
    </xf>
    <xf numFmtId="0" fontId="11" fillId="3" borderId="16" xfId="0" applyFont="1" applyFill="1" applyBorder="1" applyAlignment="1">
      <alignment horizontal="left" vertical="center"/>
    </xf>
    <xf numFmtId="0" fontId="11" fillId="3" borderId="17" xfId="0" applyFont="1" applyFill="1" applyBorder="1" applyAlignment="1">
      <alignment horizontal="left" vertical="top"/>
    </xf>
    <xf numFmtId="0" fontId="11" fillId="3" borderId="18" xfId="0" applyFont="1" applyFill="1" applyBorder="1" applyAlignment="1">
      <alignment horizontal="left" vertical="top"/>
    </xf>
    <xf numFmtId="22" fontId="11" fillId="3" borderId="16" xfId="0" applyNumberFormat="1" applyFont="1" applyFill="1" applyBorder="1" applyAlignment="1">
      <alignment horizontal="left" vertical="center"/>
    </xf>
    <xf numFmtId="0" fontId="11" fillId="3" borderId="16" xfId="0" applyFont="1" applyFill="1" applyBorder="1" applyAlignment="1">
      <alignment horizontal="right" vertical="center"/>
    </xf>
    <xf numFmtId="0" fontId="40" fillId="27" borderId="22" xfId="0" applyFont="1" applyFill="1" applyBorder="1" applyAlignment="1">
      <alignment horizontal="center" vertical="center" wrapText="1"/>
    </xf>
    <xf numFmtId="0" fontId="40" fillId="27" borderId="23" xfId="0" applyFont="1" applyFill="1" applyBorder="1" applyAlignment="1">
      <alignment horizontal="center" vertical="center" wrapText="1"/>
    </xf>
    <xf numFmtId="0" fontId="40" fillId="27" borderId="24" xfId="0" applyFont="1" applyFill="1" applyBorder="1" applyAlignment="1">
      <alignment horizontal="center" vertical="center" wrapText="1"/>
    </xf>
    <xf numFmtId="0" fontId="40" fillId="27" borderId="25" xfId="0" applyFont="1" applyFill="1" applyBorder="1" applyAlignment="1">
      <alignment horizontal="center" vertical="center" wrapText="1"/>
    </xf>
    <xf numFmtId="0" fontId="40" fillId="27" borderId="26" xfId="0" applyFont="1" applyFill="1" applyBorder="1" applyAlignment="1">
      <alignment horizontal="center" vertical="center" wrapText="1"/>
    </xf>
    <xf numFmtId="0" fontId="40" fillId="27" borderId="27" xfId="0" applyFont="1" applyFill="1" applyBorder="1" applyAlignment="1">
      <alignment horizontal="center" vertical="center" wrapText="1"/>
    </xf>
    <xf numFmtId="0" fontId="40" fillId="27" borderId="15" xfId="0" applyFont="1" applyFill="1" applyBorder="1" applyAlignment="1">
      <alignment horizontal="center"/>
    </xf>
    <xf numFmtId="0" fontId="40" fillId="27" borderId="18" xfId="0" applyFont="1" applyFill="1" applyBorder="1" applyAlignment="1">
      <alignment horizontal="center"/>
    </xf>
    <xf numFmtId="0" fontId="8" fillId="27" borderId="15" xfId="0" applyFont="1" applyFill="1" applyBorder="1" applyAlignment="1">
      <alignment horizontal="center"/>
    </xf>
    <xf numFmtId="0" fontId="8" fillId="27" borderId="17" xfId="0" applyFont="1" applyFill="1" applyBorder="1" applyAlignment="1">
      <alignment horizontal="center"/>
    </xf>
    <xf numFmtId="0" fontId="8" fillId="27" borderId="18" xfId="0" applyFont="1" applyFill="1" applyBorder="1" applyAlignment="1">
      <alignment horizontal="center"/>
    </xf>
    <xf numFmtId="0" fontId="40" fillId="27" borderId="15" xfId="0" applyFont="1" applyFill="1" applyBorder="1" applyAlignment="1">
      <alignment horizontal="center" vertical="center"/>
    </xf>
    <xf numFmtId="0" fontId="40" fillId="27" borderId="18" xfId="0" applyFont="1" applyFill="1" applyBorder="1" applyAlignment="1">
      <alignment horizontal="center" vertical="center"/>
    </xf>
    <xf numFmtId="0" fontId="40" fillId="27" borderId="22" xfId="0" applyFont="1" applyFill="1" applyBorder="1" applyAlignment="1">
      <alignment horizontal="center" vertical="center"/>
    </xf>
    <xf numFmtId="0" fontId="40" fillId="27" borderId="23" xfId="0" applyFont="1" applyFill="1" applyBorder="1" applyAlignment="1">
      <alignment horizontal="center" vertical="center"/>
    </xf>
    <xf numFmtId="0" fontId="40" fillId="27" borderId="26" xfId="0" applyFont="1" applyFill="1" applyBorder="1" applyAlignment="1">
      <alignment horizontal="center" vertical="center"/>
    </xf>
    <xf numFmtId="0" fontId="40" fillId="27" borderId="27" xfId="0" applyFont="1" applyFill="1" applyBorder="1" applyAlignment="1">
      <alignment horizontal="center" vertical="center"/>
    </xf>
    <xf numFmtId="0" fontId="40" fillId="3" borderId="22" xfId="0" applyFont="1" applyFill="1" applyBorder="1" applyAlignment="1">
      <alignment horizontal="left" vertical="center" wrapText="1"/>
    </xf>
    <xf numFmtId="0" fontId="40" fillId="3" borderId="23" xfId="0" applyFont="1" applyFill="1" applyBorder="1" applyAlignment="1">
      <alignment horizontal="left" vertical="center" wrapText="1"/>
    </xf>
    <xf numFmtId="0" fontId="40" fillId="3" borderId="24" xfId="0" applyFont="1" applyFill="1" applyBorder="1" applyAlignment="1">
      <alignment horizontal="left" vertical="center" wrapText="1"/>
    </xf>
    <xf numFmtId="0" fontId="40" fillId="3" borderId="25" xfId="0" applyFont="1" applyFill="1" applyBorder="1" applyAlignment="1">
      <alignment horizontal="left" vertical="center" wrapText="1"/>
    </xf>
    <xf numFmtId="0" fontId="40" fillId="3" borderId="26" xfId="0" applyFont="1" applyFill="1" applyBorder="1" applyAlignment="1">
      <alignment horizontal="left" vertical="center" wrapText="1"/>
    </xf>
    <xf numFmtId="0" fontId="40" fillId="3" borderId="27" xfId="0" applyFont="1" applyFill="1" applyBorder="1" applyAlignment="1">
      <alignment horizontal="left" vertical="center" wrapText="1"/>
    </xf>
    <xf numFmtId="0" fontId="9" fillId="3" borderId="16" xfId="0" applyFont="1" applyFill="1" applyBorder="1" applyAlignment="1">
      <alignment horizontal="center" vertical="center"/>
    </xf>
    <xf numFmtId="0" fontId="10" fillId="3" borderId="16" xfId="0" applyFont="1" applyFill="1" applyBorder="1" applyAlignment="1">
      <alignment horizontal="left" vertical="center"/>
    </xf>
    <xf numFmtId="0" fontId="10" fillId="3" borderId="15" xfId="0" applyFont="1" applyFill="1" applyBorder="1" applyAlignment="1">
      <alignment horizontal="left" vertical="top" wrapText="1"/>
    </xf>
    <xf numFmtId="0" fontId="10" fillId="3" borderId="17" xfId="0" applyFont="1" applyFill="1" applyBorder="1" applyAlignment="1">
      <alignment horizontal="left" vertical="top"/>
    </xf>
    <xf numFmtId="0" fontId="10" fillId="3" borderId="18" xfId="0" applyFont="1" applyFill="1" applyBorder="1" applyAlignment="1">
      <alignment horizontal="left" vertical="top"/>
    </xf>
    <xf numFmtId="22" fontId="10" fillId="3" borderId="16" xfId="0" applyNumberFormat="1" applyFont="1" applyFill="1" applyBorder="1" applyAlignment="1">
      <alignment horizontal="left" vertical="center"/>
    </xf>
    <xf numFmtId="0" fontId="10" fillId="3" borderId="15" xfId="0" applyFont="1" applyFill="1" applyBorder="1" applyAlignment="1">
      <alignment horizontal="left" vertical="center"/>
    </xf>
    <xf numFmtId="0" fontId="10" fillId="3" borderId="18" xfId="0" applyFont="1" applyFill="1" applyBorder="1" applyAlignment="1">
      <alignment horizontal="left" vertical="center"/>
    </xf>
    <xf numFmtId="2" fontId="10" fillId="3" borderId="15" xfId="0" applyNumberFormat="1" applyFont="1" applyFill="1" applyBorder="1" applyAlignment="1">
      <alignment horizontal="left" vertical="center"/>
    </xf>
    <xf numFmtId="0" fontId="10" fillId="3" borderId="17" xfId="0" applyFont="1" applyFill="1" applyBorder="1" applyAlignment="1">
      <alignment horizontal="left" vertical="center"/>
    </xf>
    <xf numFmtId="0" fontId="10" fillId="3" borderId="16" xfId="0" applyFont="1" applyFill="1" applyBorder="1" applyAlignment="1">
      <alignment horizontal="right" vertical="center"/>
    </xf>
    <xf numFmtId="0" fontId="10" fillId="3" borderId="16" xfId="0" applyFont="1" applyFill="1" applyBorder="1" applyAlignment="1">
      <alignment horizontal="center" vertical="center"/>
    </xf>
    <xf numFmtId="0" fontId="47" fillId="0" borderId="19" xfId="0" applyFont="1" applyBorder="1" applyAlignment="1">
      <alignment horizontal="center" vertical="center"/>
    </xf>
    <xf numFmtId="0" fontId="47" fillId="0" borderId="21" xfId="0" applyFont="1" applyBorder="1" applyAlignment="1">
      <alignment horizontal="center" vertical="center"/>
    </xf>
    <xf numFmtId="0" fontId="47" fillId="0" borderId="20" xfId="0" applyFont="1" applyBorder="1" applyAlignment="1">
      <alignment horizontal="center" vertical="center"/>
    </xf>
    <xf numFmtId="0" fontId="47" fillId="0" borderId="19" xfId="0" applyFont="1" applyBorder="1" applyAlignment="1">
      <alignment horizontal="center" vertical="center" wrapText="1"/>
    </xf>
    <xf numFmtId="0" fontId="47" fillId="0" borderId="21" xfId="0" applyFont="1" applyBorder="1" applyAlignment="1">
      <alignment horizontal="center" vertical="center" wrapText="1"/>
    </xf>
    <xf numFmtId="0" fontId="47" fillId="0" borderId="20" xfId="0" applyFont="1" applyBorder="1" applyAlignment="1">
      <alignment horizontal="center" vertical="center" wrapText="1"/>
    </xf>
    <xf numFmtId="0" fontId="8" fillId="27" borderId="19" xfId="0" applyFont="1" applyFill="1" applyBorder="1" applyAlignment="1">
      <alignment horizontal="center" vertical="center" wrapText="1"/>
    </xf>
    <xf numFmtId="0" fontId="8" fillId="27" borderId="21" xfId="0" applyFont="1" applyFill="1" applyBorder="1" applyAlignment="1">
      <alignment horizontal="center" vertical="center" wrapText="1"/>
    </xf>
    <xf numFmtId="0" fontId="8" fillId="27" borderId="20" xfId="0" applyFont="1" applyFill="1" applyBorder="1" applyAlignment="1">
      <alignment horizontal="center" vertical="center" wrapText="1"/>
    </xf>
    <xf numFmtId="0" fontId="8" fillId="27" borderId="19" xfId="0" applyFont="1" applyFill="1" applyBorder="1" applyAlignment="1">
      <alignment horizontal="center" wrapText="1"/>
    </xf>
    <xf numFmtId="0" fontId="8" fillId="27" borderId="20" xfId="0" applyFont="1" applyFill="1" applyBorder="1" applyAlignment="1">
      <alignment horizontal="center" wrapText="1"/>
    </xf>
    <xf numFmtId="0" fontId="8" fillId="27" borderId="22" xfId="0" applyFont="1" applyFill="1" applyBorder="1" applyAlignment="1">
      <alignment horizontal="center" vertical="center" wrapText="1"/>
    </xf>
    <xf numFmtId="0" fontId="8" fillId="27" borderId="23" xfId="0" applyFont="1" applyFill="1" applyBorder="1" applyAlignment="1">
      <alignment horizontal="center" vertical="center" wrapText="1"/>
    </xf>
    <xf numFmtId="0" fontId="8" fillId="27" borderId="26" xfId="0" applyFont="1" applyFill="1" applyBorder="1" applyAlignment="1">
      <alignment horizontal="center" vertical="center" wrapText="1"/>
    </xf>
    <xf numFmtId="0" fontId="8" fillId="27" borderId="27" xfId="0" applyFont="1" applyFill="1" applyBorder="1" applyAlignment="1">
      <alignment horizontal="center" vertical="center" wrapText="1"/>
    </xf>
    <xf numFmtId="0" fontId="40" fillId="27" borderId="24" xfId="0" applyFont="1" applyFill="1" applyBorder="1" applyAlignment="1">
      <alignment horizontal="center" vertical="center"/>
    </xf>
    <xf numFmtId="0" fontId="40" fillId="27" borderId="25" xfId="0" applyFont="1" applyFill="1" applyBorder="1" applyAlignment="1">
      <alignment horizontal="center" vertical="center"/>
    </xf>
  </cellXfs>
  <cellStyles count="229">
    <cellStyle name="20% - Accent1 2" xfId="2" xr:uid="{00000000-0005-0000-0000-000000000000}"/>
    <cellStyle name="20% - Accent2 2" xfId="3" xr:uid="{00000000-0005-0000-0000-000001000000}"/>
    <cellStyle name="20% - Accent3 2" xfId="4" xr:uid="{00000000-0005-0000-0000-000002000000}"/>
    <cellStyle name="20% - Accent4 2" xfId="5" xr:uid="{00000000-0005-0000-0000-000003000000}"/>
    <cellStyle name="20% - Accent5 2" xfId="6" xr:uid="{00000000-0005-0000-0000-000004000000}"/>
    <cellStyle name="20% - Accent6 2" xfId="7" xr:uid="{00000000-0005-0000-0000-000005000000}"/>
    <cellStyle name="40% - Accent1 2" xfId="8" xr:uid="{00000000-0005-0000-0000-000006000000}"/>
    <cellStyle name="40% - Accent2 2" xfId="9" xr:uid="{00000000-0005-0000-0000-000007000000}"/>
    <cellStyle name="40% - Accent3 2" xfId="10" xr:uid="{00000000-0005-0000-0000-000008000000}"/>
    <cellStyle name="40% - Accent4 2" xfId="11" xr:uid="{00000000-0005-0000-0000-000009000000}"/>
    <cellStyle name="40% - Accent5 2" xfId="12" xr:uid="{00000000-0005-0000-0000-00000A000000}"/>
    <cellStyle name="40% - Accent6 2" xfId="13" xr:uid="{00000000-0005-0000-0000-00000B000000}"/>
    <cellStyle name="60% - Accent1 2" xfId="14" xr:uid="{00000000-0005-0000-0000-00000C000000}"/>
    <cellStyle name="60% - Accent2 2" xfId="15" xr:uid="{00000000-0005-0000-0000-00000D000000}"/>
    <cellStyle name="60% - Accent3 2" xfId="16" xr:uid="{00000000-0005-0000-0000-00000E000000}"/>
    <cellStyle name="60% - Accent4 2" xfId="17" xr:uid="{00000000-0005-0000-0000-00000F000000}"/>
    <cellStyle name="60% - Accent5 2" xfId="18" xr:uid="{00000000-0005-0000-0000-000010000000}"/>
    <cellStyle name="60% - Accent6 2" xfId="19" xr:uid="{00000000-0005-0000-0000-000011000000}"/>
    <cellStyle name="Accent1 2" xfId="20" xr:uid="{00000000-0005-0000-0000-000012000000}"/>
    <cellStyle name="Accent2 2" xfId="21" xr:uid="{00000000-0005-0000-0000-000013000000}"/>
    <cellStyle name="Accent3 2" xfId="22" xr:uid="{00000000-0005-0000-0000-000014000000}"/>
    <cellStyle name="Accent4 2" xfId="23" xr:uid="{00000000-0005-0000-0000-000015000000}"/>
    <cellStyle name="Accent5 2" xfId="24" xr:uid="{00000000-0005-0000-0000-000016000000}"/>
    <cellStyle name="Accent6 2" xfId="25" xr:uid="{00000000-0005-0000-0000-000017000000}"/>
    <cellStyle name="Bad 2" xfId="26" xr:uid="{00000000-0005-0000-0000-000018000000}"/>
    <cellStyle name="Calculation 2" xfId="27" xr:uid="{00000000-0005-0000-0000-000019000000}"/>
    <cellStyle name="Check Cell 2" xfId="28" xr:uid="{00000000-0005-0000-0000-00001A000000}"/>
    <cellStyle name="Comma [0] 2" xfId="30" xr:uid="{00000000-0005-0000-0000-00001B000000}"/>
    <cellStyle name="Comma [0] 2 17" xfId="31" xr:uid="{00000000-0005-0000-0000-00001C000000}"/>
    <cellStyle name="Comma [0] 2 2" xfId="32" xr:uid="{00000000-0005-0000-0000-00001D000000}"/>
    <cellStyle name="Comma [0] 2 2 2" xfId="33" xr:uid="{00000000-0005-0000-0000-00001E000000}"/>
    <cellStyle name="Comma [0] 2 3" xfId="34" xr:uid="{00000000-0005-0000-0000-00001F000000}"/>
    <cellStyle name="Comma [0] 2 4" xfId="223" xr:uid="{00000000-0005-0000-0000-000020000000}"/>
    <cellStyle name="Comma [0] 3" xfId="35" xr:uid="{00000000-0005-0000-0000-000021000000}"/>
    <cellStyle name="Comma [0] 3 2" xfId="219" xr:uid="{00000000-0005-0000-0000-000022000000}"/>
    <cellStyle name="Comma [0] 5" xfId="36" xr:uid="{00000000-0005-0000-0000-000023000000}"/>
    <cellStyle name="Comma [0] 5 2" xfId="37" xr:uid="{00000000-0005-0000-0000-000024000000}"/>
    <cellStyle name="Comma 10" xfId="38" xr:uid="{00000000-0005-0000-0000-000025000000}"/>
    <cellStyle name="Comma 10 2" xfId="39" xr:uid="{00000000-0005-0000-0000-000026000000}"/>
    <cellStyle name="Comma 10 3" xfId="40" xr:uid="{00000000-0005-0000-0000-000027000000}"/>
    <cellStyle name="Comma 11" xfId="41" xr:uid="{00000000-0005-0000-0000-000028000000}"/>
    <cellStyle name="Comma 11 2" xfId="42" xr:uid="{00000000-0005-0000-0000-000029000000}"/>
    <cellStyle name="Comma 11 2 2" xfId="43" xr:uid="{00000000-0005-0000-0000-00002A000000}"/>
    <cellStyle name="Comma 12" xfId="44" xr:uid="{00000000-0005-0000-0000-00002B000000}"/>
    <cellStyle name="Comma 12 2" xfId="45" xr:uid="{00000000-0005-0000-0000-00002C000000}"/>
    <cellStyle name="Comma 12 2 2" xfId="222" xr:uid="{00000000-0005-0000-0000-00002D000000}"/>
    <cellStyle name="Comma 13" xfId="46" xr:uid="{00000000-0005-0000-0000-00002E000000}"/>
    <cellStyle name="Comma 13 2" xfId="47" xr:uid="{00000000-0005-0000-0000-00002F000000}"/>
    <cellStyle name="Comma 14" xfId="48" xr:uid="{00000000-0005-0000-0000-000030000000}"/>
    <cellStyle name="Comma 14 2" xfId="49" xr:uid="{00000000-0005-0000-0000-000031000000}"/>
    <cellStyle name="Comma 15" xfId="50" xr:uid="{00000000-0005-0000-0000-000032000000}"/>
    <cellStyle name="Comma 15 2" xfId="51" xr:uid="{00000000-0005-0000-0000-000033000000}"/>
    <cellStyle name="Comma 16" xfId="52" xr:uid="{00000000-0005-0000-0000-000034000000}"/>
    <cellStyle name="Comma 16 2" xfId="53" xr:uid="{00000000-0005-0000-0000-000035000000}"/>
    <cellStyle name="Comma 17" xfId="54" xr:uid="{00000000-0005-0000-0000-000036000000}"/>
    <cellStyle name="Comma 17 2" xfId="55" xr:uid="{00000000-0005-0000-0000-000037000000}"/>
    <cellStyle name="Comma 18" xfId="56" xr:uid="{00000000-0005-0000-0000-000038000000}"/>
    <cellStyle name="Comma 18 2" xfId="57" xr:uid="{00000000-0005-0000-0000-000039000000}"/>
    <cellStyle name="Comma 19" xfId="58" xr:uid="{00000000-0005-0000-0000-00003A000000}"/>
    <cellStyle name="Comma 19 2" xfId="59" xr:uid="{00000000-0005-0000-0000-00003B000000}"/>
    <cellStyle name="Comma 2" xfId="60" xr:uid="{00000000-0005-0000-0000-00003C000000}"/>
    <cellStyle name="Comma 2 2" xfId="61" xr:uid="{00000000-0005-0000-0000-00003D000000}"/>
    <cellStyle name="Comma 2 2 2" xfId="62" xr:uid="{00000000-0005-0000-0000-00003E000000}"/>
    <cellStyle name="Comma 2 2 3" xfId="63" xr:uid="{00000000-0005-0000-0000-00003F000000}"/>
    <cellStyle name="Comma 2 3" xfId="64" xr:uid="{00000000-0005-0000-0000-000040000000}"/>
    <cellStyle name="Comma 2 4" xfId="65" xr:uid="{00000000-0005-0000-0000-000041000000}"/>
    <cellStyle name="Comma 2 5" xfId="218" xr:uid="{00000000-0005-0000-0000-000042000000}"/>
    <cellStyle name="Comma 20" xfId="66" xr:uid="{00000000-0005-0000-0000-000043000000}"/>
    <cellStyle name="Comma 21" xfId="67" xr:uid="{00000000-0005-0000-0000-000044000000}"/>
    <cellStyle name="Comma 21 2" xfId="68" xr:uid="{00000000-0005-0000-0000-000045000000}"/>
    <cellStyle name="Comma 22" xfId="69" xr:uid="{00000000-0005-0000-0000-000046000000}"/>
    <cellStyle name="Comma 22 2" xfId="70" xr:uid="{00000000-0005-0000-0000-000047000000}"/>
    <cellStyle name="Comma 23" xfId="71" xr:uid="{00000000-0005-0000-0000-000048000000}"/>
    <cellStyle name="Comma 23 2" xfId="72" xr:uid="{00000000-0005-0000-0000-000049000000}"/>
    <cellStyle name="Comma 24" xfId="73" xr:uid="{00000000-0005-0000-0000-00004A000000}"/>
    <cellStyle name="Comma 24 2" xfId="74" xr:uid="{00000000-0005-0000-0000-00004B000000}"/>
    <cellStyle name="Comma 25" xfId="75" xr:uid="{00000000-0005-0000-0000-00004C000000}"/>
    <cellStyle name="Comma 25 2" xfId="76" xr:uid="{00000000-0005-0000-0000-00004D000000}"/>
    <cellStyle name="Comma 26" xfId="77" xr:uid="{00000000-0005-0000-0000-00004E000000}"/>
    <cellStyle name="Comma 27" xfId="78" xr:uid="{00000000-0005-0000-0000-00004F000000}"/>
    <cellStyle name="Comma 28" xfId="79" xr:uid="{00000000-0005-0000-0000-000050000000}"/>
    <cellStyle name="Comma 29" xfId="80" xr:uid="{00000000-0005-0000-0000-000051000000}"/>
    <cellStyle name="Comma 3" xfId="81" xr:uid="{00000000-0005-0000-0000-000052000000}"/>
    <cellStyle name="Comma 3 2" xfId="82" xr:uid="{00000000-0005-0000-0000-000053000000}"/>
    <cellStyle name="Comma 3 2 2" xfId="83" xr:uid="{00000000-0005-0000-0000-000054000000}"/>
    <cellStyle name="Comma 3 3" xfId="84" xr:uid="{00000000-0005-0000-0000-000055000000}"/>
    <cellStyle name="Comma 3 4" xfId="85" xr:uid="{00000000-0005-0000-0000-000056000000}"/>
    <cellStyle name="Comma 3 5" xfId="226" xr:uid="{00000000-0005-0000-0000-000057000000}"/>
    <cellStyle name="Comma 30" xfId="86" xr:uid="{00000000-0005-0000-0000-000058000000}"/>
    <cellStyle name="Comma 31" xfId="87" xr:uid="{00000000-0005-0000-0000-000059000000}"/>
    <cellStyle name="Comma 32" xfId="88" xr:uid="{00000000-0005-0000-0000-00005A000000}"/>
    <cellStyle name="Comma 33" xfId="89" xr:uid="{00000000-0005-0000-0000-00005B000000}"/>
    <cellStyle name="Comma 33 2" xfId="90" xr:uid="{00000000-0005-0000-0000-00005C000000}"/>
    <cellStyle name="Comma 34" xfId="91" xr:uid="{00000000-0005-0000-0000-00005D000000}"/>
    <cellStyle name="Comma 34 2" xfId="92" xr:uid="{00000000-0005-0000-0000-00005E000000}"/>
    <cellStyle name="Comma 35" xfId="93" xr:uid="{00000000-0005-0000-0000-00005F000000}"/>
    <cellStyle name="Comma 35 2" xfId="94" xr:uid="{00000000-0005-0000-0000-000060000000}"/>
    <cellStyle name="Comma 36" xfId="95" xr:uid="{00000000-0005-0000-0000-000061000000}"/>
    <cellStyle name="Comma 36 2" xfId="96" xr:uid="{00000000-0005-0000-0000-000062000000}"/>
    <cellStyle name="Comma 37" xfId="97" xr:uid="{00000000-0005-0000-0000-000063000000}"/>
    <cellStyle name="Comma 38" xfId="98" xr:uid="{00000000-0005-0000-0000-000064000000}"/>
    <cellStyle name="Comma 39" xfId="99" xr:uid="{00000000-0005-0000-0000-000065000000}"/>
    <cellStyle name="Comma 39 2" xfId="100" xr:uid="{00000000-0005-0000-0000-000066000000}"/>
    <cellStyle name="Comma 4" xfId="101" xr:uid="{00000000-0005-0000-0000-000067000000}"/>
    <cellStyle name="Comma 4 2" xfId="102" xr:uid="{00000000-0005-0000-0000-000068000000}"/>
    <cellStyle name="Comma 4 3" xfId="227" xr:uid="{00000000-0005-0000-0000-000069000000}"/>
    <cellStyle name="Comma 40" xfId="103" xr:uid="{00000000-0005-0000-0000-00006A000000}"/>
    <cellStyle name="Comma 41" xfId="104" xr:uid="{00000000-0005-0000-0000-00006B000000}"/>
    <cellStyle name="Comma 42" xfId="105" xr:uid="{00000000-0005-0000-0000-00006C000000}"/>
    <cellStyle name="Comma 43" xfId="106" xr:uid="{00000000-0005-0000-0000-00006D000000}"/>
    <cellStyle name="Comma 44" xfId="29" xr:uid="{00000000-0005-0000-0000-00006E000000}"/>
    <cellStyle name="Comma 45" xfId="214" xr:uid="{00000000-0005-0000-0000-00006F000000}"/>
    <cellStyle name="Comma 5" xfId="107" xr:uid="{00000000-0005-0000-0000-000070000000}"/>
    <cellStyle name="Comma 5 2" xfId="108" xr:uid="{00000000-0005-0000-0000-000071000000}"/>
    <cellStyle name="Comma 6" xfId="109" xr:uid="{00000000-0005-0000-0000-000072000000}"/>
    <cellStyle name="Comma 6 2" xfId="110" xr:uid="{00000000-0005-0000-0000-000073000000}"/>
    <cellStyle name="Comma 67" xfId="111" xr:uid="{00000000-0005-0000-0000-000074000000}"/>
    <cellStyle name="Comma 7" xfId="112" xr:uid="{00000000-0005-0000-0000-000075000000}"/>
    <cellStyle name="Comma 7 2" xfId="113" xr:uid="{00000000-0005-0000-0000-000076000000}"/>
    <cellStyle name="Comma 8" xfId="114" xr:uid="{00000000-0005-0000-0000-000077000000}"/>
    <cellStyle name="Comma 8 2" xfId="115" xr:uid="{00000000-0005-0000-0000-000078000000}"/>
    <cellStyle name="Comma 9" xfId="116" xr:uid="{00000000-0005-0000-0000-000079000000}"/>
    <cellStyle name="Explanatory Text 2" xfId="117" xr:uid="{00000000-0005-0000-0000-00007A000000}"/>
    <cellStyle name="Good 2" xfId="118" xr:uid="{00000000-0005-0000-0000-00007B000000}"/>
    <cellStyle name="Header1" xfId="119" xr:uid="{00000000-0005-0000-0000-00007C000000}"/>
    <cellStyle name="Header2" xfId="120" xr:uid="{00000000-0005-0000-0000-00007D000000}"/>
    <cellStyle name="Heading 1 2" xfId="121" xr:uid="{00000000-0005-0000-0000-00007E000000}"/>
    <cellStyle name="Heading 2 2" xfId="122" xr:uid="{00000000-0005-0000-0000-00007F000000}"/>
    <cellStyle name="Heading 3 2" xfId="123" xr:uid="{00000000-0005-0000-0000-000080000000}"/>
    <cellStyle name="Heading 4 2" xfId="124" xr:uid="{00000000-0005-0000-0000-000081000000}"/>
    <cellStyle name="Input 2" xfId="125" xr:uid="{00000000-0005-0000-0000-000082000000}"/>
    <cellStyle name="Linked Cell 2" xfId="126" xr:uid="{00000000-0005-0000-0000-000083000000}"/>
    <cellStyle name="Neutral 2" xfId="127" xr:uid="{00000000-0005-0000-0000-000084000000}"/>
    <cellStyle name="No of bars" xfId="128" xr:uid="{00000000-0005-0000-0000-000085000000}"/>
    <cellStyle name="Normal" xfId="0" builtinId="0"/>
    <cellStyle name="Normal 10" xfId="129" xr:uid="{00000000-0005-0000-0000-000087000000}"/>
    <cellStyle name="Normal 10 9" xfId="130" xr:uid="{00000000-0005-0000-0000-000088000000}"/>
    <cellStyle name="Normal 11" xfId="131" xr:uid="{00000000-0005-0000-0000-000089000000}"/>
    <cellStyle name="Normal 12" xfId="132" xr:uid="{00000000-0005-0000-0000-00008A000000}"/>
    <cellStyle name="Normal 13" xfId="1" xr:uid="{00000000-0005-0000-0000-00008B000000}"/>
    <cellStyle name="Normal 14" xfId="215" xr:uid="{00000000-0005-0000-0000-00008C000000}"/>
    <cellStyle name="Normal 2" xfId="133" xr:uid="{00000000-0005-0000-0000-00008D000000}"/>
    <cellStyle name="Normal 2 2" xfId="134" xr:uid="{00000000-0005-0000-0000-00008E000000}"/>
    <cellStyle name="Normal 2 2 2" xfId="135" xr:uid="{00000000-0005-0000-0000-00008F000000}"/>
    <cellStyle name="Normal 2 2 2 2" xfId="136" xr:uid="{00000000-0005-0000-0000-000090000000}"/>
    <cellStyle name="Normal 2 2 3" xfId="224" xr:uid="{00000000-0005-0000-0000-000091000000}"/>
    <cellStyle name="Normal 2 3" xfId="137" xr:uid="{00000000-0005-0000-0000-000092000000}"/>
    <cellStyle name="Normal 2 4" xfId="216" xr:uid="{00000000-0005-0000-0000-000093000000}"/>
    <cellStyle name="Normal 2 5" xfId="138" xr:uid="{00000000-0005-0000-0000-000094000000}"/>
    <cellStyle name="Normal 2_K-MEGAL-Tower Type AA2 + 9" xfId="139" xr:uid="{00000000-0005-0000-0000-000095000000}"/>
    <cellStyle name="Normal 3" xfId="140" xr:uid="{00000000-0005-0000-0000-000096000000}"/>
    <cellStyle name="Normal 3 2" xfId="141" xr:uid="{00000000-0005-0000-0000-000097000000}"/>
    <cellStyle name="Normal 3 2 2" xfId="142" xr:uid="{00000000-0005-0000-0000-000098000000}"/>
    <cellStyle name="Normal 3 2 2 2" xfId="143" xr:uid="{00000000-0005-0000-0000-000099000000}"/>
    <cellStyle name="Normal 3 2 3" xfId="144" xr:uid="{00000000-0005-0000-0000-00009A000000}"/>
    <cellStyle name="Normal 3 2_Mas_CitraMas_T72" xfId="145" xr:uid="{00000000-0005-0000-0000-00009B000000}"/>
    <cellStyle name="Normal 3 3" xfId="221" xr:uid="{00000000-0005-0000-0000-00009C000000}"/>
    <cellStyle name="Normal 3 3 2" xfId="146" xr:uid="{00000000-0005-0000-0000-00009D000000}"/>
    <cellStyle name="Normal 3_Mas_150KV_CITRAMAS_AA" xfId="147" xr:uid="{00000000-0005-0000-0000-00009E000000}"/>
    <cellStyle name="Normal 4" xfId="148" xr:uid="{00000000-0005-0000-0000-00009F000000}"/>
    <cellStyle name="Normal 4 2" xfId="149" xr:uid="{00000000-0005-0000-0000-0000A0000000}"/>
    <cellStyle name="Normal 4 3" xfId="150" xr:uid="{00000000-0005-0000-0000-0000A1000000}"/>
    <cellStyle name="Normal 4 4" xfId="225" xr:uid="{00000000-0005-0000-0000-0000A2000000}"/>
    <cellStyle name="Normal 4_Mas_CitraMas_Megal_BB+3+6+9=12" xfId="151" xr:uid="{00000000-0005-0000-0000-0000A3000000}"/>
    <cellStyle name="Normal 5" xfId="152" xr:uid="{00000000-0005-0000-0000-0000A4000000}"/>
    <cellStyle name="Normal 5 2" xfId="153" xr:uid="{00000000-0005-0000-0000-0000A5000000}"/>
    <cellStyle name="Normal 5 3" xfId="217" xr:uid="{00000000-0005-0000-0000-0000A6000000}"/>
    <cellStyle name="Normal 6" xfId="154" xr:uid="{00000000-0005-0000-0000-0000A7000000}"/>
    <cellStyle name="Normal 6 2" xfId="155" xr:uid="{00000000-0005-0000-0000-0000A8000000}"/>
    <cellStyle name="Normal 7" xfId="156" xr:uid="{00000000-0005-0000-0000-0000A9000000}"/>
    <cellStyle name="Normal 8" xfId="157" xr:uid="{00000000-0005-0000-0000-0000AA000000}"/>
    <cellStyle name="Normal 9" xfId="158" xr:uid="{00000000-0005-0000-0000-0000AB000000}"/>
    <cellStyle name="Note 2" xfId="159" xr:uid="{00000000-0005-0000-0000-0000AC000000}"/>
    <cellStyle name="Output 2" xfId="160" xr:uid="{00000000-0005-0000-0000-0000AD000000}"/>
    <cellStyle name="Percent 10" xfId="162" xr:uid="{00000000-0005-0000-0000-0000AE000000}"/>
    <cellStyle name="Percent 10 2" xfId="163" xr:uid="{00000000-0005-0000-0000-0000AF000000}"/>
    <cellStyle name="Percent 11" xfId="164" xr:uid="{00000000-0005-0000-0000-0000B0000000}"/>
    <cellStyle name="Percent 12" xfId="165" xr:uid="{00000000-0005-0000-0000-0000B1000000}"/>
    <cellStyle name="Percent 13" xfId="166" xr:uid="{00000000-0005-0000-0000-0000B2000000}"/>
    <cellStyle name="Percent 14" xfId="167" xr:uid="{00000000-0005-0000-0000-0000B3000000}"/>
    <cellStyle name="Percent 15" xfId="168" xr:uid="{00000000-0005-0000-0000-0000B4000000}"/>
    <cellStyle name="Percent 15 2" xfId="169" xr:uid="{00000000-0005-0000-0000-0000B5000000}"/>
    <cellStyle name="Percent 16" xfId="170" xr:uid="{00000000-0005-0000-0000-0000B6000000}"/>
    <cellStyle name="Percent 17" xfId="171" xr:uid="{00000000-0005-0000-0000-0000B7000000}"/>
    <cellStyle name="Percent 18" xfId="172" xr:uid="{00000000-0005-0000-0000-0000B8000000}"/>
    <cellStyle name="Percent 18 2" xfId="173" xr:uid="{00000000-0005-0000-0000-0000B9000000}"/>
    <cellStyle name="Percent 19" xfId="174" xr:uid="{00000000-0005-0000-0000-0000BA000000}"/>
    <cellStyle name="Percent 2" xfId="175" xr:uid="{00000000-0005-0000-0000-0000BB000000}"/>
    <cellStyle name="Percent 2 2" xfId="176" xr:uid="{00000000-0005-0000-0000-0000BC000000}"/>
    <cellStyle name="Percent 2 3" xfId="177" xr:uid="{00000000-0005-0000-0000-0000BD000000}"/>
    <cellStyle name="Percent 2 4" xfId="220" xr:uid="{00000000-0005-0000-0000-0000BE000000}"/>
    <cellStyle name="Percent 20" xfId="178" xr:uid="{00000000-0005-0000-0000-0000BF000000}"/>
    <cellStyle name="Percent 20 2" xfId="179" xr:uid="{00000000-0005-0000-0000-0000C0000000}"/>
    <cellStyle name="Percent 21" xfId="180" xr:uid="{00000000-0005-0000-0000-0000C1000000}"/>
    <cellStyle name="Percent 22" xfId="181" xr:uid="{00000000-0005-0000-0000-0000C2000000}"/>
    <cellStyle name="Percent 23" xfId="182" xr:uid="{00000000-0005-0000-0000-0000C3000000}"/>
    <cellStyle name="Percent 24" xfId="183" xr:uid="{00000000-0005-0000-0000-0000C4000000}"/>
    <cellStyle name="Percent 25" xfId="184" xr:uid="{00000000-0005-0000-0000-0000C5000000}"/>
    <cellStyle name="Percent 26" xfId="185" xr:uid="{00000000-0005-0000-0000-0000C6000000}"/>
    <cellStyle name="Percent 27" xfId="186" xr:uid="{00000000-0005-0000-0000-0000C7000000}"/>
    <cellStyle name="Percent 28" xfId="187" xr:uid="{00000000-0005-0000-0000-0000C8000000}"/>
    <cellStyle name="Percent 29" xfId="188" xr:uid="{00000000-0005-0000-0000-0000C9000000}"/>
    <cellStyle name="Percent 3" xfId="189" xr:uid="{00000000-0005-0000-0000-0000CA000000}"/>
    <cellStyle name="Percent 3 2" xfId="190" xr:uid="{00000000-0005-0000-0000-0000CB000000}"/>
    <cellStyle name="Percent 30" xfId="191" xr:uid="{00000000-0005-0000-0000-0000CC000000}"/>
    <cellStyle name="Percent 31" xfId="192" xr:uid="{00000000-0005-0000-0000-0000CD000000}"/>
    <cellStyle name="Percent 32" xfId="193" xr:uid="{00000000-0005-0000-0000-0000CE000000}"/>
    <cellStyle name="Percent 32 2" xfId="194" xr:uid="{00000000-0005-0000-0000-0000CF000000}"/>
    <cellStyle name="Percent 33" xfId="195" xr:uid="{00000000-0005-0000-0000-0000D0000000}"/>
    <cellStyle name="Percent 34" xfId="196" xr:uid="{00000000-0005-0000-0000-0000D1000000}"/>
    <cellStyle name="Percent 35" xfId="197" xr:uid="{00000000-0005-0000-0000-0000D2000000}"/>
    <cellStyle name="Percent 36" xfId="198" xr:uid="{00000000-0005-0000-0000-0000D3000000}"/>
    <cellStyle name="Percent 37" xfId="199" xr:uid="{00000000-0005-0000-0000-0000D4000000}"/>
    <cellStyle name="Percent 38" xfId="200" xr:uid="{00000000-0005-0000-0000-0000D5000000}"/>
    <cellStyle name="Percent 39" xfId="201" xr:uid="{00000000-0005-0000-0000-0000D6000000}"/>
    <cellStyle name="Percent 4" xfId="202" xr:uid="{00000000-0005-0000-0000-0000D7000000}"/>
    <cellStyle name="Percent 40" xfId="203" xr:uid="{00000000-0005-0000-0000-0000D8000000}"/>
    <cellStyle name="Percent 41" xfId="204" xr:uid="{00000000-0005-0000-0000-0000D9000000}"/>
    <cellStyle name="Percent 42" xfId="161" xr:uid="{00000000-0005-0000-0000-0000DA000000}"/>
    <cellStyle name="Percent 5" xfId="205" xr:uid="{00000000-0005-0000-0000-0000DB000000}"/>
    <cellStyle name="Percent 6" xfId="206" xr:uid="{00000000-0005-0000-0000-0000DC000000}"/>
    <cellStyle name="Percent 7" xfId="207" xr:uid="{00000000-0005-0000-0000-0000DD000000}"/>
    <cellStyle name="Percent 8" xfId="208" xr:uid="{00000000-0005-0000-0000-0000DE000000}"/>
    <cellStyle name="Percent 9" xfId="209" xr:uid="{00000000-0005-0000-0000-0000DF000000}"/>
    <cellStyle name="Title 2" xfId="210" xr:uid="{00000000-0005-0000-0000-0000E0000000}"/>
    <cellStyle name="Total 2" xfId="211" xr:uid="{00000000-0005-0000-0000-0000E1000000}"/>
    <cellStyle name="Warning Text 2" xfId="212" xr:uid="{00000000-0005-0000-0000-0000E2000000}"/>
    <cellStyle name="Weight" xfId="213" xr:uid="{00000000-0005-0000-0000-0000E3000000}"/>
    <cellStyle name="표준 2" xfId="228" xr:uid="{00000000-0005-0000-0000-0000E4000000}"/>
  </cellStyles>
  <dxfs count="270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CB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AG1047581"/>
  <sheetViews>
    <sheetView tabSelected="1" zoomScale="101" zoomScaleNormal="100" workbookViewId="0"/>
  </sheetViews>
  <sheetFormatPr defaultRowHeight="15"/>
  <cols>
    <col min="1" max="1" width="30.7109375" style="10" bestFit="1" customWidth="1"/>
    <col min="2" max="2" width="25.42578125" style="11" bestFit="1" customWidth="1"/>
    <col min="3" max="3" width="8.5703125" style="32" customWidth="1"/>
    <col min="4" max="4" width="8.140625" style="34" customWidth="1"/>
    <col min="5" max="5" width="12.85546875" style="30" customWidth="1"/>
    <col min="6" max="6" width="11.140625" style="11" customWidth="1"/>
    <col min="7" max="7" width="8.7109375" style="12" customWidth="1"/>
    <col min="8" max="8" width="14.42578125" style="13" customWidth="1"/>
    <col min="9" max="9" width="5.85546875" customWidth="1"/>
    <col min="10" max="10" width="4.85546875" customWidth="1"/>
    <col min="11" max="11" width="9.140625" customWidth="1"/>
    <col min="12" max="12" width="5.85546875" customWidth="1"/>
    <col min="13" max="13" width="10" customWidth="1"/>
    <col min="14" max="14" width="9.42578125" customWidth="1"/>
    <col min="15" max="23" width="3.42578125" customWidth="1"/>
    <col min="24" max="24" width="7.85546875" bestFit="1" customWidth="1"/>
    <col min="25" max="25" width="19.85546875" customWidth="1"/>
    <col min="26" max="26" width="25.85546875" style="2" customWidth="1"/>
    <col min="27" max="32" width="9.140625" style="2" customWidth="1"/>
    <col min="33" max="33" width="9.140625" customWidth="1"/>
    <col min="34" max="34" width="6.5703125" customWidth="1"/>
    <col min="36" max="36" width="26.7109375" bestFit="1" customWidth="1"/>
  </cols>
  <sheetData>
    <row r="1" spans="1:33" ht="17.45" customHeight="1">
      <c r="A1" s="1" t="s">
        <v>23</v>
      </c>
      <c r="B1" s="1" t="s">
        <v>0</v>
      </c>
      <c r="C1" s="31" t="s">
        <v>1093</v>
      </c>
      <c r="D1" s="31" t="s">
        <v>1</v>
      </c>
      <c r="E1" s="25" t="s">
        <v>28</v>
      </c>
      <c r="F1" s="1" t="s">
        <v>2</v>
      </c>
      <c r="G1" s="1">
        <f>SUM(G2:G293)</f>
        <v>97</v>
      </c>
      <c r="H1" s="1" t="s">
        <v>6</v>
      </c>
      <c r="I1" s="1" t="s">
        <v>20</v>
      </c>
      <c r="AA1" s="9" t="s">
        <v>35</v>
      </c>
      <c r="AB1" s="9" t="s">
        <v>36</v>
      </c>
      <c r="AC1" s="2" t="s">
        <v>37</v>
      </c>
      <c r="AD1" s="2">
        <v>11500</v>
      </c>
      <c r="AE1" s="2">
        <v>26</v>
      </c>
      <c r="AG1" t="s">
        <v>34</v>
      </c>
    </row>
    <row r="2" spans="1:33">
      <c r="A2" s="29" t="s">
        <v>287</v>
      </c>
      <c r="B2" s="29"/>
      <c r="C2" s="28">
        <v>298</v>
      </c>
      <c r="D2" s="28"/>
      <c r="E2" s="29" t="s">
        <v>1208</v>
      </c>
      <c r="F2" s="29"/>
      <c r="G2" s="29">
        <f>IF(E2&lt;&gt;"",1,"")</f>
        <v>1</v>
      </c>
      <c r="H2" s="28"/>
      <c r="I2" s="29" t="str">
        <f>IF(AND(A2&lt;&gt;"",SUMIF(NESTING!I:I,A2,NESTING!J:J)=G2),"OK","")</f>
        <v>OK</v>
      </c>
      <c r="AA2">
        <f>COUNTA(X:X)</f>
        <v>0</v>
      </c>
      <c r="AB2"/>
      <c r="AC2">
        <f>COUNTA(L:L)</f>
        <v>0</v>
      </c>
      <c r="AD2"/>
      <c r="AE2"/>
      <c r="AF2"/>
      <c r="AG2" t="s">
        <v>38</v>
      </c>
    </row>
    <row r="3" spans="1:33">
      <c r="A3" s="29" t="s">
        <v>286</v>
      </c>
      <c r="B3" s="29"/>
      <c r="C3" s="28">
        <v>11500</v>
      </c>
      <c r="D3" s="28"/>
      <c r="E3" s="29" t="s">
        <v>1208</v>
      </c>
      <c r="F3" s="29"/>
      <c r="G3" s="29">
        <f t="shared" ref="G3:G66" si="0">IF(E3&lt;&gt;"",1,"")</f>
        <v>1</v>
      </c>
      <c r="H3" s="28"/>
      <c r="I3" s="29" t="str">
        <f>IF(AND(A3&lt;&gt;"",SUMIF(NESTING!I:I,A3,NESTING!J:J)=G3),"OK","")</f>
        <v>OK</v>
      </c>
      <c r="AA3"/>
      <c r="AB3"/>
      <c r="AC3"/>
      <c r="AD3"/>
      <c r="AE3"/>
      <c r="AF3"/>
      <c r="AG3" t="s">
        <v>39</v>
      </c>
    </row>
    <row r="4" spans="1:33">
      <c r="A4" s="29" t="s">
        <v>285</v>
      </c>
      <c r="B4" s="29"/>
      <c r="C4" s="28">
        <v>11500</v>
      </c>
      <c r="D4" s="28"/>
      <c r="E4" s="29" t="s">
        <v>1208</v>
      </c>
      <c r="F4" s="29"/>
      <c r="G4" s="29">
        <f t="shared" si="0"/>
        <v>1</v>
      </c>
      <c r="H4" s="28"/>
      <c r="I4" s="29" t="str">
        <f>IF(AND(A4&lt;&gt;"",SUMIF(NESTING!I:I,A4,NESTING!J:J)=G4),"OK","")</f>
        <v>OK</v>
      </c>
      <c r="AA4"/>
      <c r="AB4"/>
      <c r="AC4"/>
      <c r="AD4"/>
      <c r="AE4"/>
      <c r="AF4"/>
      <c r="AG4" t="s">
        <v>1953</v>
      </c>
    </row>
    <row r="5" spans="1:33">
      <c r="A5" s="29" t="s">
        <v>284</v>
      </c>
      <c r="B5" s="29"/>
      <c r="C5" s="28">
        <v>269</v>
      </c>
      <c r="D5" s="28"/>
      <c r="E5" s="29" t="s">
        <v>1208</v>
      </c>
      <c r="F5" s="29"/>
      <c r="G5" s="29">
        <f t="shared" si="0"/>
        <v>1</v>
      </c>
      <c r="H5" s="28"/>
      <c r="I5" s="29" t="str">
        <f>IF(AND(A5&lt;&gt;"",SUMIF(NESTING!I:I,A5,NESTING!J:J)=G5),"OK","")</f>
        <v>OK</v>
      </c>
      <c r="AG5" t="s">
        <v>1954</v>
      </c>
    </row>
    <row r="6" spans="1:33">
      <c r="A6" s="29" t="s">
        <v>281</v>
      </c>
      <c r="B6" s="29"/>
      <c r="C6" s="28">
        <v>3040</v>
      </c>
      <c r="D6" s="28"/>
      <c r="E6" s="29" t="s">
        <v>1208</v>
      </c>
      <c r="F6" s="29"/>
      <c r="G6" s="29">
        <f t="shared" si="0"/>
        <v>1</v>
      </c>
      <c r="H6" s="28"/>
      <c r="I6" s="29" t="str">
        <f>IF(AND(A6&lt;&gt;"",SUMIF(NESTING!I:I,A6,NESTING!J:J)=G6),"OK","")</f>
        <v>OK</v>
      </c>
    </row>
    <row r="7" spans="1:33">
      <c r="A7" s="29" t="s">
        <v>280</v>
      </c>
      <c r="B7" s="29"/>
      <c r="C7" s="28">
        <v>198</v>
      </c>
      <c r="D7" s="28"/>
      <c r="E7" s="29" t="s">
        <v>1208</v>
      </c>
      <c r="F7" s="29"/>
      <c r="G7" s="29">
        <f t="shared" si="0"/>
        <v>1</v>
      </c>
      <c r="H7" s="28"/>
      <c r="I7" s="29" t="str">
        <f>IF(AND(A7&lt;&gt;"",SUMIF(NESTING!I:I,A7,NESTING!J:J)=G7),"OK","")</f>
        <v>OK</v>
      </c>
    </row>
    <row r="8" spans="1:33">
      <c r="A8" s="29" t="s">
        <v>279</v>
      </c>
      <c r="B8" s="29"/>
      <c r="C8" s="28">
        <v>3040</v>
      </c>
      <c r="D8" s="28"/>
      <c r="E8" s="29" t="s">
        <v>1208</v>
      </c>
      <c r="F8" s="29"/>
      <c r="G8" s="29">
        <f t="shared" si="0"/>
        <v>1</v>
      </c>
      <c r="H8" s="28"/>
      <c r="I8" s="29" t="str">
        <f>IF(AND(A8&lt;&gt;"",SUMIF(NESTING!I:I,A8,NESTING!J:J)=G8),"OK","")</f>
        <v>OK</v>
      </c>
    </row>
    <row r="9" spans="1:33">
      <c r="A9" s="29" t="s">
        <v>278</v>
      </c>
      <c r="B9" s="29"/>
      <c r="C9" s="28">
        <v>3040</v>
      </c>
      <c r="D9" s="28"/>
      <c r="E9" s="29" t="s">
        <v>1208</v>
      </c>
      <c r="F9" s="29"/>
      <c r="G9" s="29">
        <f t="shared" si="0"/>
        <v>1</v>
      </c>
      <c r="H9" s="28"/>
      <c r="I9" s="29" t="str">
        <f>IF(AND(A9&lt;&gt;"",SUMIF(NESTING!I:I,A9,NESTING!J:J)=G9),"OK","")</f>
        <v>OK</v>
      </c>
    </row>
    <row r="10" spans="1:33">
      <c r="A10" s="29" t="s">
        <v>277</v>
      </c>
      <c r="B10" s="29"/>
      <c r="C10" s="28">
        <v>3040</v>
      </c>
      <c r="D10" s="28"/>
      <c r="E10" s="29" t="s">
        <v>1208</v>
      </c>
      <c r="F10" s="29"/>
      <c r="G10" s="29">
        <f t="shared" si="0"/>
        <v>1</v>
      </c>
      <c r="H10" s="28"/>
      <c r="I10" s="29" t="str">
        <f>IF(AND(A10&lt;&gt;"",SUMIF(NESTING!I:I,A10,NESTING!J:J)=G10),"OK","")</f>
        <v>OK</v>
      </c>
    </row>
    <row r="11" spans="1:33">
      <c r="A11" s="29" t="s">
        <v>276</v>
      </c>
      <c r="B11" s="29"/>
      <c r="C11" s="28">
        <v>3040</v>
      </c>
      <c r="D11" s="28"/>
      <c r="E11" s="29" t="s">
        <v>1208</v>
      </c>
      <c r="F11" s="29"/>
      <c r="G11" s="29">
        <f t="shared" si="0"/>
        <v>1</v>
      </c>
      <c r="H11" s="28"/>
      <c r="I11" s="29" t="str">
        <f>IF(AND(A11&lt;&gt;"",SUMIF(NESTING!I:I,A11,NESTING!J:J)=G11),"OK","")</f>
        <v>OK</v>
      </c>
    </row>
    <row r="12" spans="1:33">
      <c r="A12" s="29" t="s">
        <v>275</v>
      </c>
      <c r="B12" s="29"/>
      <c r="C12" s="28">
        <v>3040</v>
      </c>
      <c r="D12" s="28"/>
      <c r="E12" s="29" t="s">
        <v>1208</v>
      </c>
      <c r="F12" s="29"/>
      <c r="G12" s="29">
        <f t="shared" si="0"/>
        <v>1</v>
      </c>
      <c r="H12" s="28"/>
      <c r="I12" s="29" t="str">
        <f>IF(AND(A12&lt;&gt;"",SUMIF(NESTING!I:I,A12,NESTING!J:J)=G12),"OK","")</f>
        <v>OK</v>
      </c>
    </row>
    <row r="13" spans="1:33">
      <c r="A13" s="29" t="s">
        <v>274</v>
      </c>
      <c r="B13" s="29"/>
      <c r="C13" s="28">
        <v>3040</v>
      </c>
      <c r="D13" s="28"/>
      <c r="E13" s="29" t="s">
        <v>1208</v>
      </c>
      <c r="F13" s="29"/>
      <c r="G13" s="29">
        <f t="shared" si="0"/>
        <v>1</v>
      </c>
      <c r="H13" s="28"/>
      <c r="I13" s="29" t="str">
        <f>IF(AND(A13&lt;&gt;"",SUMIF(NESTING!I:I,A13,NESTING!J:J)=G13),"OK","")</f>
        <v>OK</v>
      </c>
      <c r="AA13"/>
      <c r="AB13"/>
      <c r="AC13"/>
      <c r="AD13"/>
      <c r="AE13"/>
      <c r="AF13"/>
    </row>
    <row r="14" spans="1:33">
      <c r="A14" s="29" t="s">
        <v>273</v>
      </c>
      <c r="B14" s="29"/>
      <c r="C14" s="28">
        <v>3040</v>
      </c>
      <c r="D14" s="28"/>
      <c r="E14" s="29" t="s">
        <v>1208</v>
      </c>
      <c r="F14" s="29"/>
      <c r="G14" s="29">
        <f t="shared" si="0"/>
        <v>1</v>
      </c>
      <c r="H14" s="28"/>
      <c r="I14" s="29" t="str">
        <f>IF(AND(A14&lt;&gt;"",SUMIF(NESTING!I:I,A14,NESTING!J:J)=G14),"OK","")</f>
        <v>OK</v>
      </c>
      <c r="AA14"/>
      <c r="AB14"/>
      <c r="AC14"/>
      <c r="AD14"/>
      <c r="AE14"/>
      <c r="AF14"/>
    </row>
    <row r="15" spans="1:33">
      <c r="A15" s="29" t="s">
        <v>272</v>
      </c>
      <c r="B15" s="29"/>
      <c r="C15" s="28">
        <v>3040</v>
      </c>
      <c r="D15" s="28"/>
      <c r="E15" s="29" t="s">
        <v>1208</v>
      </c>
      <c r="F15" s="29"/>
      <c r="G15" s="29">
        <f t="shared" si="0"/>
        <v>1</v>
      </c>
      <c r="H15" s="28"/>
      <c r="I15" s="29" t="str">
        <f>IF(AND(A15&lt;&gt;"",SUMIF(NESTING!I:I,A15,NESTING!J:J)=G15),"OK","")</f>
        <v>OK</v>
      </c>
    </row>
    <row r="16" spans="1:33">
      <c r="A16" s="29" t="s">
        <v>271</v>
      </c>
      <c r="B16" s="29"/>
      <c r="C16" s="28">
        <v>3040</v>
      </c>
      <c r="D16" s="28"/>
      <c r="E16" s="29" t="s">
        <v>1208</v>
      </c>
      <c r="F16" s="29"/>
      <c r="G16" s="29">
        <f t="shared" si="0"/>
        <v>1</v>
      </c>
      <c r="H16" s="28"/>
      <c r="I16" s="29" t="str">
        <f>IF(AND(A16&lt;&gt;"",SUMIF(NESTING!I:I,A16,NESTING!J:J)=G16),"OK","")</f>
        <v>OK</v>
      </c>
      <c r="AA16"/>
      <c r="AB16"/>
      <c r="AC16"/>
      <c r="AD16"/>
      <c r="AE16"/>
      <c r="AF16"/>
    </row>
    <row r="17" spans="1:32">
      <c r="A17" s="29" t="s">
        <v>270</v>
      </c>
      <c r="B17" s="29"/>
      <c r="C17" s="28">
        <v>3040</v>
      </c>
      <c r="D17" s="28"/>
      <c r="E17" s="29" t="s">
        <v>1208</v>
      </c>
      <c r="F17" s="29"/>
      <c r="G17" s="29">
        <f t="shared" si="0"/>
        <v>1</v>
      </c>
      <c r="H17" s="28"/>
      <c r="I17" s="29" t="str">
        <f>IF(AND(A17&lt;&gt;"",SUMIF(NESTING!I:I,A17,NESTING!J:J)=G17),"OK","")</f>
        <v>OK</v>
      </c>
      <c r="AA17"/>
      <c r="AB17"/>
      <c r="AC17"/>
      <c r="AD17"/>
      <c r="AE17"/>
      <c r="AF17"/>
    </row>
    <row r="18" spans="1:32">
      <c r="A18" s="29" t="s">
        <v>269</v>
      </c>
      <c r="B18" s="29"/>
      <c r="C18" s="28">
        <v>3040</v>
      </c>
      <c r="D18" s="28"/>
      <c r="E18" s="29" t="s">
        <v>1208</v>
      </c>
      <c r="F18" s="29"/>
      <c r="G18" s="29">
        <f t="shared" si="0"/>
        <v>1</v>
      </c>
      <c r="H18" s="28"/>
      <c r="I18" s="29" t="str">
        <f>IF(AND(A18&lt;&gt;"",SUMIF(NESTING!I:I,A18,NESTING!J:J)=G18),"OK","")</f>
        <v>OK</v>
      </c>
    </row>
    <row r="19" spans="1:32">
      <c r="A19" s="29" t="s">
        <v>268</v>
      </c>
      <c r="B19" s="29"/>
      <c r="C19" s="28">
        <v>3040</v>
      </c>
      <c r="D19" s="28"/>
      <c r="E19" s="29" t="s">
        <v>1208</v>
      </c>
      <c r="F19" s="29"/>
      <c r="G19" s="29">
        <f t="shared" si="0"/>
        <v>1</v>
      </c>
      <c r="H19" s="28"/>
      <c r="I19" s="29" t="str">
        <f>IF(AND(A19&lt;&gt;"",SUMIF(NESTING!I:I,A19,NESTING!J:J)=G19),"OK","")</f>
        <v>OK</v>
      </c>
      <c r="AA19"/>
      <c r="AB19"/>
      <c r="AC19"/>
      <c r="AD19"/>
      <c r="AE19"/>
      <c r="AF19"/>
    </row>
    <row r="20" spans="1:32">
      <c r="A20" s="29" t="s">
        <v>267</v>
      </c>
      <c r="B20" s="29"/>
      <c r="C20" s="28">
        <v>3040</v>
      </c>
      <c r="D20" s="28"/>
      <c r="E20" s="29" t="s">
        <v>1208</v>
      </c>
      <c r="F20" s="29"/>
      <c r="G20" s="29">
        <f t="shared" si="0"/>
        <v>1</v>
      </c>
      <c r="H20" s="28"/>
      <c r="I20" s="29" t="str">
        <f>IF(AND(A20&lt;&gt;"",SUMIF(NESTING!I:I,A20,NESTING!J:J)=G20),"OK","")</f>
        <v>OK</v>
      </c>
    </row>
    <row r="21" spans="1:32">
      <c r="A21" s="29" t="s">
        <v>266</v>
      </c>
      <c r="B21" s="29"/>
      <c r="C21" s="28">
        <v>3040</v>
      </c>
      <c r="D21" s="28"/>
      <c r="E21" s="29" t="s">
        <v>1208</v>
      </c>
      <c r="F21" s="29"/>
      <c r="G21" s="29">
        <f t="shared" si="0"/>
        <v>1</v>
      </c>
      <c r="H21" s="28"/>
      <c r="I21" s="29" t="str">
        <f>IF(AND(A21&lt;&gt;"",SUMIF(NESTING!I:I,A21,NESTING!J:J)=G21),"OK","")</f>
        <v>OK</v>
      </c>
    </row>
    <row r="22" spans="1:32">
      <c r="A22" s="29" t="s">
        <v>265</v>
      </c>
      <c r="B22" s="29"/>
      <c r="C22" s="28">
        <v>3040</v>
      </c>
      <c r="D22" s="28"/>
      <c r="E22" s="29" t="s">
        <v>1208</v>
      </c>
      <c r="F22" s="29"/>
      <c r="G22" s="29">
        <f t="shared" si="0"/>
        <v>1</v>
      </c>
      <c r="H22" s="28"/>
      <c r="I22" s="29" t="str">
        <f>IF(AND(A22&lt;&gt;"",SUMIF(NESTING!I:I,A22,NESTING!J:J)=G22),"OK","")</f>
        <v>OK</v>
      </c>
    </row>
    <row r="23" spans="1:32">
      <c r="A23" s="29" t="s">
        <v>264</v>
      </c>
      <c r="B23" s="29"/>
      <c r="C23" s="28">
        <v>3040</v>
      </c>
      <c r="D23" s="28"/>
      <c r="E23" s="29" t="s">
        <v>1208</v>
      </c>
      <c r="F23" s="29"/>
      <c r="G23" s="29">
        <f t="shared" si="0"/>
        <v>1</v>
      </c>
      <c r="H23" s="28"/>
      <c r="I23" s="29" t="str">
        <f>IF(AND(A23&lt;&gt;"",SUMIF(NESTING!I:I,A23,NESTING!J:J)=G23),"OK","")</f>
        <v>OK</v>
      </c>
    </row>
    <row r="24" spans="1:32">
      <c r="A24" s="29" t="s">
        <v>263</v>
      </c>
      <c r="B24" s="29"/>
      <c r="C24" s="28">
        <v>3040</v>
      </c>
      <c r="D24" s="28"/>
      <c r="E24" s="29" t="s">
        <v>1208</v>
      </c>
      <c r="F24" s="29"/>
      <c r="G24" s="29">
        <f t="shared" si="0"/>
        <v>1</v>
      </c>
      <c r="H24" s="28"/>
      <c r="I24" s="29" t="str">
        <f>IF(AND(A24&lt;&gt;"",SUMIF(NESTING!I:I,A24,NESTING!J:J)=G24),"OK","")</f>
        <v>OK</v>
      </c>
    </row>
    <row r="25" spans="1:32">
      <c r="A25" s="29" t="s">
        <v>261</v>
      </c>
      <c r="B25" s="29"/>
      <c r="C25" s="28">
        <v>6961</v>
      </c>
      <c r="D25" s="28"/>
      <c r="E25" s="29" t="s">
        <v>1208</v>
      </c>
      <c r="F25" s="29"/>
      <c r="G25" s="29">
        <f t="shared" si="0"/>
        <v>1</v>
      </c>
      <c r="H25" s="28"/>
      <c r="I25" s="29" t="str">
        <f>IF(AND(A25&lt;&gt;"",SUMIF(NESTING!I:I,A25,NESTING!J:J)=G25),"OK","")</f>
        <v>OK</v>
      </c>
    </row>
    <row r="26" spans="1:32">
      <c r="A26" s="29" t="s">
        <v>649</v>
      </c>
      <c r="B26" s="29"/>
      <c r="C26" s="28">
        <v>998</v>
      </c>
      <c r="D26" s="28"/>
      <c r="E26" s="29" t="s">
        <v>1208</v>
      </c>
      <c r="F26" s="29"/>
      <c r="G26" s="29">
        <f t="shared" si="0"/>
        <v>1</v>
      </c>
      <c r="H26" s="28"/>
      <c r="I26" s="29" t="str">
        <f>IF(AND(A26&lt;&gt;"",SUMIF(NESTING!I:I,A26,NESTING!J:J)=G26),"OK","")</f>
        <v>OK</v>
      </c>
      <c r="AA26"/>
      <c r="AB26"/>
      <c r="AC26"/>
      <c r="AD26"/>
      <c r="AE26"/>
      <c r="AF26"/>
    </row>
    <row r="27" spans="1:32">
      <c r="A27" s="29" t="s">
        <v>648</v>
      </c>
      <c r="B27" s="29"/>
      <c r="C27" s="28">
        <v>998</v>
      </c>
      <c r="D27" s="28"/>
      <c r="E27" s="29" t="s">
        <v>1208</v>
      </c>
      <c r="F27" s="29"/>
      <c r="G27" s="29">
        <f t="shared" si="0"/>
        <v>1</v>
      </c>
      <c r="H27" s="28"/>
      <c r="I27" s="29" t="str">
        <f>IF(AND(A27&lt;&gt;"",SUMIF(NESTING!I:I,A27,NESTING!J:J)=G27),"OK","")</f>
        <v>OK</v>
      </c>
      <c r="AA27"/>
      <c r="AB27"/>
      <c r="AC27"/>
      <c r="AD27"/>
      <c r="AE27"/>
      <c r="AF27"/>
    </row>
    <row r="28" spans="1:32">
      <c r="A28" s="29" t="s">
        <v>644</v>
      </c>
      <c r="B28" s="29"/>
      <c r="C28" s="28">
        <v>6841</v>
      </c>
      <c r="D28" s="28"/>
      <c r="E28" s="29" t="s">
        <v>1208</v>
      </c>
      <c r="F28" s="29"/>
      <c r="G28" s="29">
        <f t="shared" si="0"/>
        <v>1</v>
      </c>
      <c r="H28" s="28"/>
      <c r="I28" s="29" t="str">
        <f>IF(AND(A28&lt;&gt;"",SUMIF(NESTING!I:I,A28,NESTING!J:J)=G28),"OK","")</f>
        <v>OK</v>
      </c>
      <c r="AA28"/>
      <c r="AB28"/>
      <c r="AC28"/>
      <c r="AD28"/>
      <c r="AE28"/>
      <c r="AF28"/>
    </row>
    <row r="29" spans="1:32">
      <c r="A29" s="29" t="s">
        <v>660</v>
      </c>
      <c r="B29" s="29"/>
      <c r="C29" s="28">
        <v>2116</v>
      </c>
      <c r="D29" s="28"/>
      <c r="E29" s="29" t="s">
        <v>1208</v>
      </c>
      <c r="F29" s="29"/>
      <c r="G29" s="29">
        <f t="shared" si="0"/>
        <v>1</v>
      </c>
      <c r="H29" s="28"/>
      <c r="I29" s="29" t="str">
        <f>IF(AND(A29&lt;&gt;"",SUMIF(NESTING!I:I,A29,NESTING!J:J)=G29),"OK","")</f>
        <v>OK</v>
      </c>
    </row>
    <row r="30" spans="1:32">
      <c r="A30" s="29" t="s">
        <v>643</v>
      </c>
      <c r="B30" s="29"/>
      <c r="C30" s="28">
        <v>11500</v>
      </c>
      <c r="D30" s="28"/>
      <c r="E30" s="29" t="s">
        <v>1208</v>
      </c>
      <c r="F30" s="29"/>
      <c r="G30" s="29">
        <f t="shared" si="0"/>
        <v>1</v>
      </c>
      <c r="H30" s="28"/>
      <c r="I30" s="29" t="str">
        <f>IF(AND(A30&lt;&gt;"",SUMIF(NESTING!I:I,A30,NESTING!J:J)=G30),"OK","")</f>
        <v>OK</v>
      </c>
    </row>
    <row r="31" spans="1:32">
      <c r="A31" s="29" t="s">
        <v>642</v>
      </c>
      <c r="B31" s="29"/>
      <c r="C31" s="28">
        <v>11500</v>
      </c>
      <c r="D31" s="28"/>
      <c r="E31" s="29" t="s">
        <v>1208</v>
      </c>
      <c r="F31" s="29"/>
      <c r="G31" s="29">
        <f t="shared" si="0"/>
        <v>1</v>
      </c>
      <c r="H31" s="28"/>
      <c r="I31" s="29" t="str">
        <f>IF(AND(A31&lt;&gt;"",SUMIF(NESTING!I:I,A31,NESTING!J:J)=G31),"OK","")</f>
        <v>OK</v>
      </c>
    </row>
    <row r="32" spans="1:32">
      <c r="A32" s="29" t="s">
        <v>641</v>
      </c>
      <c r="B32" s="29"/>
      <c r="C32" s="28">
        <v>11500</v>
      </c>
      <c r="D32" s="28"/>
      <c r="E32" s="29" t="s">
        <v>1208</v>
      </c>
      <c r="F32" s="29"/>
      <c r="G32" s="29">
        <f t="shared" si="0"/>
        <v>1</v>
      </c>
      <c r="H32" s="28"/>
      <c r="I32" s="29" t="str">
        <f>IF(AND(A32&lt;&gt;"",SUMIF(NESTING!I:I,A32,NESTING!J:J)=G32),"OK","")</f>
        <v>OK</v>
      </c>
    </row>
    <row r="33" spans="1:32">
      <c r="A33" s="29" t="s">
        <v>640</v>
      </c>
      <c r="B33" s="29"/>
      <c r="C33" s="28">
        <v>11500</v>
      </c>
      <c r="D33" s="28"/>
      <c r="E33" s="29" t="s">
        <v>1208</v>
      </c>
      <c r="F33" s="29"/>
      <c r="G33" s="29">
        <f t="shared" si="0"/>
        <v>1</v>
      </c>
      <c r="H33" s="28"/>
      <c r="I33" s="29" t="str">
        <f>IF(AND(A33&lt;&gt;"",SUMIF(NESTING!I:I,A33,NESTING!J:J)=G33),"OK","")</f>
        <v>OK</v>
      </c>
    </row>
    <row r="34" spans="1:32">
      <c r="A34" s="29" t="s">
        <v>639</v>
      </c>
      <c r="B34" s="29"/>
      <c r="C34" s="28">
        <v>3181</v>
      </c>
      <c r="D34" s="28"/>
      <c r="E34" s="29" t="s">
        <v>1208</v>
      </c>
      <c r="F34" s="29"/>
      <c r="G34" s="29">
        <f t="shared" si="0"/>
        <v>1</v>
      </c>
      <c r="H34" s="28"/>
      <c r="I34" s="29" t="str">
        <f>IF(AND(A34&lt;&gt;"",SUMIF(NESTING!I:I,A34,NESTING!J:J)=G34),"OK","")</f>
        <v>OK</v>
      </c>
    </row>
    <row r="35" spans="1:32">
      <c r="A35" s="29" t="s">
        <v>638</v>
      </c>
      <c r="B35" s="29"/>
      <c r="C35" s="28">
        <v>998</v>
      </c>
      <c r="D35" s="28"/>
      <c r="E35" s="29" t="s">
        <v>1208</v>
      </c>
      <c r="F35" s="29"/>
      <c r="G35" s="29">
        <f t="shared" si="0"/>
        <v>1</v>
      </c>
      <c r="H35" s="28"/>
      <c r="I35" s="29" t="str">
        <f>IF(AND(A35&lt;&gt;"",SUMIF(NESTING!I:I,A35,NESTING!J:J)=G35),"OK","")</f>
        <v>OK</v>
      </c>
    </row>
    <row r="36" spans="1:32">
      <c r="A36" s="29" t="s">
        <v>621</v>
      </c>
      <c r="B36" s="29"/>
      <c r="C36" s="28">
        <v>386</v>
      </c>
      <c r="D36" s="28"/>
      <c r="E36" s="29" t="s">
        <v>1208</v>
      </c>
      <c r="F36" s="29"/>
      <c r="G36" s="29">
        <f t="shared" si="0"/>
        <v>1</v>
      </c>
      <c r="H36" s="28"/>
      <c r="I36" s="29" t="str">
        <f>IF(AND(A36&lt;&gt;"",SUMIF(NESTING!I:I,A36,NESTING!J:J)=G36),"OK","")</f>
        <v>OK</v>
      </c>
    </row>
    <row r="37" spans="1:32">
      <c r="A37" s="29" t="s">
        <v>653</v>
      </c>
      <c r="B37" s="29"/>
      <c r="C37" s="28">
        <v>11500</v>
      </c>
      <c r="D37" s="28"/>
      <c r="E37" s="29" t="s">
        <v>1208</v>
      </c>
      <c r="F37" s="29"/>
      <c r="G37" s="29">
        <f t="shared" si="0"/>
        <v>1</v>
      </c>
      <c r="H37" s="28"/>
      <c r="I37" s="29" t="str">
        <f>IF(AND(A37&lt;&gt;"",SUMIF(NESTING!I:I,A37,NESTING!J:J)=G37),"OK","")</f>
        <v>OK</v>
      </c>
    </row>
    <row r="38" spans="1:32">
      <c r="A38" s="29" t="s">
        <v>620</v>
      </c>
      <c r="B38" s="29"/>
      <c r="C38" s="28">
        <v>11500</v>
      </c>
      <c r="D38" s="28"/>
      <c r="E38" s="29" t="s">
        <v>1208</v>
      </c>
      <c r="F38" s="29"/>
      <c r="G38" s="29">
        <f t="shared" si="0"/>
        <v>1</v>
      </c>
      <c r="H38" s="28"/>
      <c r="I38" s="29" t="str">
        <f>IF(AND(A38&lt;&gt;"",SUMIF(NESTING!I:I,A38,NESTING!J:J)=G38),"OK","")</f>
        <v>OK</v>
      </c>
      <c r="AA38"/>
      <c r="AB38"/>
      <c r="AC38"/>
      <c r="AD38"/>
      <c r="AE38"/>
      <c r="AF38"/>
    </row>
    <row r="39" spans="1:32">
      <c r="A39" s="29" t="s">
        <v>652</v>
      </c>
      <c r="B39" s="29"/>
      <c r="C39" s="28">
        <v>236</v>
      </c>
      <c r="D39" s="28"/>
      <c r="E39" s="29" t="s">
        <v>1208</v>
      </c>
      <c r="F39" s="29"/>
      <c r="G39" s="29">
        <f t="shared" si="0"/>
        <v>1</v>
      </c>
      <c r="H39" s="28"/>
      <c r="I39" s="29" t="str">
        <f>IF(AND(A39&lt;&gt;"",SUMIF(NESTING!I:I,A39,NESTING!J:J)=G39),"OK","")</f>
        <v>OK</v>
      </c>
    </row>
    <row r="40" spans="1:32">
      <c r="A40" s="29" t="s">
        <v>619</v>
      </c>
      <c r="B40" s="29"/>
      <c r="C40" s="28">
        <v>236</v>
      </c>
      <c r="D40" s="28"/>
      <c r="E40" s="29" t="s">
        <v>1208</v>
      </c>
      <c r="F40" s="29"/>
      <c r="G40" s="29">
        <f t="shared" si="0"/>
        <v>1</v>
      </c>
      <c r="H40" s="28"/>
      <c r="I40" s="29" t="str">
        <f>IF(AND(A40&lt;&gt;"",SUMIF(NESTING!I:I,A40,NESTING!J:J)=G40),"OK","")</f>
        <v>OK</v>
      </c>
    </row>
    <row r="41" spans="1:32">
      <c r="A41" s="29" t="s">
        <v>651</v>
      </c>
      <c r="B41" s="29"/>
      <c r="C41" s="28">
        <v>11500</v>
      </c>
      <c r="D41" s="28"/>
      <c r="E41" s="29" t="s">
        <v>1208</v>
      </c>
      <c r="F41" s="29"/>
      <c r="G41" s="29">
        <f t="shared" si="0"/>
        <v>1</v>
      </c>
      <c r="H41" s="28"/>
      <c r="I41" s="29" t="str">
        <f>IF(AND(A41&lt;&gt;"",SUMIF(NESTING!I:I,A41,NESTING!J:J)=G41),"OK","")</f>
        <v>OK</v>
      </c>
    </row>
    <row r="42" spans="1:32">
      <c r="A42" s="29" t="s">
        <v>618</v>
      </c>
      <c r="B42" s="29"/>
      <c r="C42" s="28">
        <v>11256</v>
      </c>
      <c r="D42" s="28"/>
      <c r="E42" s="29" t="s">
        <v>1208</v>
      </c>
      <c r="F42" s="29"/>
      <c r="G42" s="29">
        <f t="shared" si="0"/>
        <v>1</v>
      </c>
      <c r="H42" s="28"/>
      <c r="I42" s="29" t="str">
        <f>IF(AND(A42&lt;&gt;"",SUMIF(NESTING!I:I,A42,NESTING!J:J)=G42),"OK","")</f>
        <v>OK</v>
      </c>
      <c r="AA42"/>
      <c r="AB42"/>
      <c r="AC42"/>
      <c r="AD42"/>
      <c r="AE42"/>
      <c r="AF42"/>
    </row>
    <row r="43" spans="1:32">
      <c r="A43" s="29" t="s">
        <v>617</v>
      </c>
      <c r="B43" s="29"/>
      <c r="C43" s="28">
        <v>1136</v>
      </c>
      <c r="D43" s="28"/>
      <c r="E43" s="29" t="s">
        <v>1208</v>
      </c>
      <c r="F43" s="29"/>
      <c r="G43" s="29">
        <f t="shared" si="0"/>
        <v>1</v>
      </c>
      <c r="H43" s="28"/>
      <c r="I43" s="29" t="str">
        <f>IF(AND(A43&lt;&gt;"",SUMIF(NESTING!I:I,A43,NESTING!J:J)=G43),"OK","")</f>
        <v>OK</v>
      </c>
    </row>
    <row r="44" spans="1:32">
      <c r="A44" s="29" t="s">
        <v>650</v>
      </c>
      <c r="B44" s="29"/>
      <c r="C44" s="28">
        <v>7736</v>
      </c>
      <c r="D44" s="28"/>
      <c r="E44" s="29" t="s">
        <v>1208</v>
      </c>
      <c r="F44" s="29"/>
      <c r="G44" s="29">
        <f t="shared" si="0"/>
        <v>1</v>
      </c>
      <c r="H44" s="28"/>
      <c r="I44" s="29" t="str">
        <f>IF(AND(A44&lt;&gt;"",SUMIF(NESTING!I:I,A44,NESTING!J:J)=G44),"OK","")</f>
        <v>OK</v>
      </c>
    </row>
    <row r="45" spans="1:32">
      <c r="A45" s="29" t="s">
        <v>616</v>
      </c>
      <c r="B45" s="29"/>
      <c r="C45" s="28">
        <v>1561</v>
      </c>
      <c r="D45" s="28"/>
      <c r="E45" s="29" t="s">
        <v>1208</v>
      </c>
      <c r="F45" s="29"/>
      <c r="G45" s="29">
        <f t="shared" si="0"/>
        <v>1</v>
      </c>
      <c r="H45" s="28"/>
      <c r="I45" s="29" t="str">
        <f>IF(AND(A45&lt;&gt;"",SUMIF(NESTING!I:I,A45,NESTING!J:J)=G45),"OK","")</f>
        <v>OK</v>
      </c>
    </row>
    <row r="46" spans="1:32">
      <c r="A46" s="29" t="s">
        <v>769</v>
      </c>
      <c r="B46" s="29"/>
      <c r="C46" s="28">
        <v>998</v>
      </c>
      <c r="D46" s="28"/>
      <c r="E46" s="29" t="s">
        <v>1208</v>
      </c>
      <c r="F46" s="29"/>
      <c r="G46" s="29">
        <f t="shared" si="0"/>
        <v>1</v>
      </c>
      <c r="H46" s="28"/>
      <c r="I46" s="29" t="str">
        <f>IF(AND(A46&lt;&gt;"",SUMIF(NESTING!I:I,A46,NESTING!J:J)=G46),"OK","")</f>
        <v>OK</v>
      </c>
      <c r="AA46"/>
      <c r="AB46"/>
      <c r="AC46"/>
      <c r="AD46"/>
      <c r="AE46"/>
      <c r="AF46"/>
    </row>
    <row r="47" spans="1:32">
      <c r="A47" s="29" t="s">
        <v>1206</v>
      </c>
      <c r="B47" s="29"/>
      <c r="C47" s="28">
        <v>198</v>
      </c>
      <c r="D47" s="28"/>
      <c r="E47" s="29" t="s">
        <v>1208</v>
      </c>
      <c r="F47" s="29"/>
      <c r="G47" s="29">
        <f t="shared" si="0"/>
        <v>1</v>
      </c>
      <c r="H47" s="28"/>
      <c r="I47" s="29" t="str">
        <f>IF(AND(A47&lt;&gt;"",SUMIF(NESTING!I:I,A47,NESTING!J:J)=G47),"OK","")</f>
        <v>OK</v>
      </c>
      <c r="AA47"/>
      <c r="AB47"/>
      <c r="AC47"/>
      <c r="AD47"/>
      <c r="AE47"/>
      <c r="AF47"/>
    </row>
    <row r="48" spans="1:32">
      <c r="A48" s="29" t="s">
        <v>1205</v>
      </c>
      <c r="B48" s="29"/>
      <c r="C48" s="28">
        <v>198</v>
      </c>
      <c r="D48" s="28"/>
      <c r="E48" s="29" t="s">
        <v>1208</v>
      </c>
      <c r="F48" s="29"/>
      <c r="G48" s="29">
        <f t="shared" si="0"/>
        <v>1</v>
      </c>
      <c r="H48" s="28"/>
      <c r="I48" s="29" t="str">
        <f>IF(AND(A48&lt;&gt;"",SUMIF(NESTING!I:I,A48,NESTING!J:J)=G48),"OK","")</f>
        <v>OK</v>
      </c>
      <c r="AA48"/>
      <c r="AB48"/>
      <c r="AC48"/>
      <c r="AD48"/>
      <c r="AE48"/>
      <c r="AF48"/>
    </row>
    <row r="49" spans="1:32">
      <c r="A49" s="29" t="s">
        <v>1204</v>
      </c>
      <c r="B49" s="29"/>
      <c r="C49" s="28">
        <v>198</v>
      </c>
      <c r="D49" s="28"/>
      <c r="E49" s="29" t="s">
        <v>1208</v>
      </c>
      <c r="F49" s="29"/>
      <c r="G49" s="29">
        <f t="shared" si="0"/>
        <v>1</v>
      </c>
      <c r="H49" s="28"/>
      <c r="I49" s="29" t="str">
        <f>IF(AND(A49&lt;&gt;"",SUMIF(NESTING!I:I,A49,NESTING!J:J)=G49),"OK","")</f>
        <v>OK</v>
      </c>
      <c r="AA49"/>
      <c r="AB49"/>
      <c r="AC49"/>
      <c r="AD49"/>
      <c r="AE49"/>
      <c r="AF49"/>
    </row>
    <row r="50" spans="1:32">
      <c r="A50" s="29" t="s">
        <v>1203</v>
      </c>
      <c r="B50" s="29"/>
      <c r="C50" s="28">
        <v>198</v>
      </c>
      <c r="D50" s="28"/>
      <c r="E50" s="29" t="s">
        <v>1208</v>
      </c>
      <c r="F50" s="29"/>
      <c r="G50" s="29">
        <f t="shared" si="0"/>
        <v>1</v>
      </c>
      <c r="H50" s="28"/>
      <c r="I50" s="29" t="str">
        <f>IF(AND(A50&lt;&gt;"",SUMIF(NESTING!I:I,A50,NESTING!J:J)=G50),"OK","")</f>
        <v>OK</v>
      </c>
      <c r="AA50"/>
      <c r="AB50"/>
      <c r="AC50"/>
      <c r="AD50"/>
      <c r="AE50"/>
      <c r="AF50"/>
    </row>
    <row r="51" spans="1:32">
      <c r="A51" s="29" t="s">
        <v>1202</v>
      </c>
      <c r="B51" s="29"/>
      <c r="C51" s="28">
        <v>198</v>
      </c>
      <c r="D51" s="28"/>
      <c r="E51" s="29" t="s">
        <v>1208</v>
      </c>
      <c r="F51" s="29"/>
      <c r="G51" s="29">
        <f t="shared" si="0"/>
        <v>1</v>
      </c>
      <c r="H51" s="28"/>
      <c r="I51" s="29" t="str">
        <f>IF(AND(A51&lt;&gt;"",SUMIF(NESTING!I:I,A51,NESTING!J:J)=G51),"OK","")</f>
        <v>OK</v>
      </c>
      <c r="AA51"/>
      <c r="AB51"/>
      <c r="AC51"/>
      <c r="AD51"/>
      <c r="AE51"/>
      <c r="AF51"/>
    </row>
    <row r="52" spans="1:32">
      <c r="A52" s="29" t="s">
        <v>1201</v>
      </c>
      <c r="B52" s="29"/>
      <c r="C52" s="28">
        <v>198</v>
      </c>
      <c r="D52" s="28"/>
      <c r="E52" s="29" t="s">
        <v>1208</v>
      </c>
      <c r="F52" s="29"/>
      <c r="G52" s="29">
        <f t="shared" si="0"/>
        <v>1</v>
      </c>
      <c r="H52" s="28"/>
      <c r="I52" s="29" t="str">
        <f>IF(AND(A52&lt;&gt;"",SUMIF(NESTING!I:I,A52,NESTING!J:J)=G52),"OK","")</f>
        <v>OK</v>
      </c>
      <c r="AA52"/>
      <c r="AB52"/>
      <c r="AC52"/>
      <c r="AD52"/>
      <c r="AE52"/>
      <c r="AF52"/>
    </row>
    <row r="53" spans="1:32">
      <c r="A53" s="29" t="s">
        <v>1200</v>
      </c>
      <c r="B53" s="29"/>
      <c r="C53" s="28">
        <v>198</v>
      </c>
      <c r="D53" s="28"/>
      <c r="E53" s="29" t="s">
        <v>1208</v>
      </c>
      <c r="F53" s="29"/>
      <c r="G53" s="29">
        <f t="shared" si="0"/>
        <v>1</v>
      </c>
      <c r="H53" s="28"/>
      <c r="I53" s="29" t="str">
        <f>IF(AND(A53&lt;&gt;"",SUMIF(NESTING!I:I,A53,NESTING!J:J)=G53),"OK","")</f>
        <v>OK</v>
      </c>
      <c r="AA53"/>
      <c r="AB53"/>
      <c r="AC53"/>
      <c r="AD53"/>
      <c r="AE53"/>
      <c r="AF53"/>
    </row>
    <row r="54" spans="1:32">
      <c r="A54" s="29" t="s">
        <v>1199</v>
      </c>
      <c r="B54" s="29"/>
      <c r="C54" s="28">
        <v>198</v>
      </c>
      <c r="D54" s="28"/>
      <c r="E54" s="29" t="s">
        <v>1208</v>
      </c>
      <c r="F54" s="29"/>
      <c r="G54" s="29">
        <f t="shared" si="0"/>
        <v>1</v>
      </c>
      <c r="H54" s="28"/>
      <c r="I54" s="29" t="str">
        <f>IF(AND(A54&lt;&gt;"",SUMIF(NESTING!I:I,A54,NESTING!J:J)=G54),"OK","")</f>
        <v>OK</v>
      </c>
    </row>
    <row r="55" spans="1:32">
      <c r="A55" s="29" t="s">
        <v>1198</v>
      </c>
      <c r="B55" s="29"/>
      <c r="C55" s="28">
        <v>198</v>
      </c>
      <c r="D55" s="28"/>
      <c r="E55" s="29" t="s">
        <v>1208</v>
      </c>
      <c r="F55" s="29"/>
      <c r="G55" s="29">
        <f t="shared" si="0"/>
        <v>1</v>
      </c>
      <c r="H55" s="28"/>
      <c r="I55" s="29" t="str">
        <f>IF(AND(A55&lt;&gt;"",SUMIF(NESTING!I:I,A55,NESTING!J:J)=G55),"OK","")</f>
        <v>OK</v>
      </c>
    </row>
    <row r="56" spans="1:32">
      <c r="A56" s="29" t="s">
        <v>1197</v>
      </c>
      <c r="B56" s="29"/>
      <c r="C56" s="28">
        <v>198</v>
      </c>
      <c r="D56" s="28"/>
      <c r="E56" s="29" t="s">
        <v>1208</v>
      </c>
      <c r="F56" s="29"/>
      <c r="G56" s="29">
        <f t="shared" si="0"/>
        <v>1</v>
      </c>
      <c r="H56" s="28"/>
      <c r="I56" s="29" t="str">
        <f>IF(AND(A56&lt;&gt;"",SUMIF(NESTING!I:I,A56,NESTING!J:J)=G56),"OK","")</f>
        <v>OK</v>
      </c>
    </row>
    <row r="57" spans="1:32">
      <c r="A57" s="29" t="s">
        <v>1196</v>
      </c>
      <c r="B57" s="29"/>
      <c r="C57" s="28">
        <v>198</v>
      </c>
      <c r="D57" s="28"/>
      <c r="E57" s="29" t="s">
        <v>1208</v>
      </c>
      <c r="F57" s="29"/>
      <c r="G57" s="29">
        <f t="shared" si="0"/>
        <v>1</v>
      </c>
      <c r="H57" s="28"/>
      <c r="I57" s="29" t="str">
        <f>IF(AND(A57&lt;&gt;"",SUMIF(NESTING!I:I,A57,NESTING!J:J)=G57),"OK","")</f>
        <v>OK</v>
      </c>
    </row>
    <row r="58" spans="1:32">
      <c r="A58" s="29" t="s">
        <v>1195</v>
      </c>
      <c r="B58" s="29"/>
      <c r="C58" s="28">
        <v>198</v>
      </c>
      <c r="D58" s="28"/>
      <c r="E58" s="29" t="s">
        <v>1208</v>
      </c>
      <c r="F58" s="29"/>
      <c r="G58" s="29">
        <f t="shared" si="0"/>
        <v>1</v>
      </c>
      <c r="H58" s="28"/>
      <c r="I58" s="29" t="str">
        <f>IF(AND(A58&lt;&gt;"",SUMIF(NESTING!I:I,A58,NESTING!J:J)=G58),"OK","")</f>
        <v>OK</v>
      </c>
    </row>
    <row r="59" spans="1:32">
      <c r="A59" s="29" t="s">
        <v>1194</v>
      </c>
      <c r="B59" s="29"/>
      <c r="C59" s="28">
        <v>198</v>
      </c>
      <c r="D59" s="28"/>
      <c r="E59" s="29" t="s">
        <v>1208</v>
      </c>
      <c r="F59" s="29"/>
      <c r="G59" s="29">
        <f t="shared" si="0"/>
        <v>1</v>
      </c>
      <c r="H59" s="28"/>
      <c r="I59" s="29" t="str">
        <f>IF(AND(A59&lt;&gt;"",SUMIF(NESTING!I:I,A59,NESTING!J:J)=G59),"OK","")</f>
        <v>OK</v>
      </c>
    </row>
    <row r="60" spans="1:32">
      <c r="A60" s="29" t="s">
        <v>1193</v>
      </c>
      <c r="B60" s="29"/>
      <c r="C60" s="28">
        <v>198</v>
      </c>
      <c r="D60" s="28"/>
      <c r="E60" s="29" t="s">
        <v>1208</v>
      </c>
      <c r="F60" s="29"/>
      <c r="G60" s="29">
        <f t="shared" si="0"/>
        <v>1</v>
      </c>
      <c r="H60" s="28"/>
      <c r="I60" s="29" t="str">
        <f>IF(AND(A60&lt;&gt;"",SUMIF(NESTING!I:I,A60,NESTING!J:J)=G60),"OK","")</f>
        <v>OK</v>
      </c>
    </row>
    <row r="61" spans="1:32">
      <c r="A61" s="29" t="s">
        <v>1192</v>
      </c>
      <c r="B61" s="29"/>
      <c r="C61" s="28">
        <v>198</v>
      </c>
      <c r="D61" s="28"/>
      <c r="E61" s="29" t="s">
        <v>1208</v>
      </c>
      <c r="F61" s="29"/>
      <c r="G61" s="29">
        <f t="shared" si="0"/>
        <v>1</v>
      </c>
      <c r="H61" s="28"/>
      <c r="I61" s="29" t="str">
        <f>IF(AND(A61&lt;&gt;"",SUMIF(NESTING!I:I,A61,NESTING!J:J)=G61),"OK","")</f>
        <v>OK</v>
      </c>
    </row>
    <row r="62" spans="1:32">
      <c r="A62" s="29" t="s">
        <v>1191</v>
      </c>
      <c r="B62" s="29"/>
      <c r="C62" s="28">
        <v>198</v>
      </c>
      <c r="D62" s="28"/>
      <c r="E62" s="29" t="s">
        <v>1208</v>
      </c>
      <c r="F62" s="29"/>
      <c r="G62" s="29">
        <f t="shared" si="0"/>
        <v>1</v>
      </c>
      <c r="H62" s="28"/>
      <c r="I62" s="29" t="str">
        <f>IF(AND(A62&lt;&gt;"",SUMIF(NESTING!I:I,A62,NESTING!J:J)=G62),"OK","")</f>
        <v>OK</v>
      </c>
    </row>
    <row r="63" spans="1:32">
      <c r="A63" s="29" t="s">
        <v>1190</v>
      </c>
      <c r="B63" s="29"/>
      <c r="C63" s="28">
        <v>198</v>
      </c>
      <c r="D63" s="28"/>
      <c r="E63" s="29" t="s">
        <v>1208</v>
      </c>
      <c r="F63" s="29"/>
      <c r="G63" s="29">
        <f t="shared" si="0"/>
        <v>1</v>
      </c>
      <c r="H63" s="28"/>
      <c r="I63" s="29" t="str">
        <f>IF(AND(A63&lt;&gt;"",SUMIF(NESTING!I:I,A63,NESTING!J:J)=G63),"OK","")</f>
        <v>OK</v>
      </c>
    </row>
    <row r="64" spans="1:32">
      <c r="A64" s="29" t="s">
        <v>1189</v>
      </c>
      <c r="B64" s="29"/>
      <c r="C64" s="28">
        <v>736</v>
      </c>
      <c r="D64" s="28"/>
      <c r="E64" s="29" t="s">
        <v>1208</v>
      </c>
      <c r="F64" s="29"/>
      <c r="G64" s="29">
        <f t="shared" si="0"/>
        <v>1</v>
      </c>
      <c r="H64" s="28"/>
      <c r="I64" s="29" t="str">
        <f>IF(AND(A64&lt;&gt;"",SUMIF(NESTING!I:I,A64,NESTING!J:J)=G64),"OK","")</f>
        <v>OK</v>
      </c>
    </row>
    <row r="65" spans="1:9">
      <c r="A65" s="29" t="s">
        <v>1212</v>
      </c>
      <c r="B65" s="29"/>
      <c r="C65" s="28">
        <v>7796</v>
      </c>
      <c r="D65" s="28"/>
      <c r="E65" s="29" t="s">
        <v>1208</v>
      </c>
      <c r="F65" s="29"/>
      <c r="G65" s="29">
        <f t="shared" si="0"/>
        <v>1</v>
      </c>
      <c r="H65" s="28"/>
      <c r="I65" s="29" t="str">
        <f>IF(AND(A65&lt;&gt;"",SUMIF(NESTING!I:I,A65,NESTING!J:J)=G65),"OK","")</f>
        <v>OK</v>
      </c>
    </row>
    <row r="66" spans="1:9">
      <c r="A66" s="29" t="s">
        <v>1210</v>
      </c>
      <c r="B66" s="29"/>
      <c r="C66" s="28">
        <v>536</v>
      </c>
      <c r="D66" s="28"/>
      <c r="E66" s="29" t="s">
        <v>1208</v>
      </c>
      <c r="F66" s="29"/>
      <c r="G66" s="29">
        <f t="shared" si="0"/>
        <v>1</v>
      </c>
      <c r="H66" s="28"/>
      <c r="I66" s="29" t="str">
        <f>IF(AND(A66&lt;&gt;"",SUMIF(NESTING!I:I,A66,NESTING!J:J)=G66),"OK","")</f>
        <v>OK</v>
      </c>
    </row>
    <row r="67" spans="1:9">
      <c r="A67" s="29" t="s">
        <v>1211</v>
      </c>
      <c r="B67" s="29"/>
      <c r="C67" s="28">
        <v>11500</v>
      </c>
      <c r="D67" s="28"/>
      <c r="E67" s="29" t="s">
        <v>1208</v>
      </c>
      <c r="F67" s="29"/>
      <c r="G67" s="29">
        <f t="shared" ref="G67:G117" si="1">IF(E67&lt;&gt;"",1,"")</f>
        <v>1</v>
      </c>
      <c r="H67" s="28"/>
      <c r="I67" s="29" t="str">
        <f>IF(AND(A67&lt;&gt;"",SUMIF(NESTING!I:I,A67,NESTING!J:J)=G67),"OK","")</f>
        <v>OK</v>
      </c>
    </row>
    <row r="68" spans="1:9">
      <c r="A68" s="29" t="s">
        <v>1326</v>
      </c>
      <c r="B68" s="29"/>
      <c r="C68" s="28">
        <v>7596</v>
      </c>
      <c r="D68" s="28"/>
      <c r="E68" s="29" t="s">
        <v>1208</v>
      </c>
      <c r="F68" s="29"/>
      <c r="G68" s="29">
        <f t="shared" si="1"/>
        <v>1</v>
      </c>
      <c r="H68" s="28"/>
      <c r="I68" s="29" t="str">
        <f>IF(AND(A68&lt;&gt;"",SUMIF(NESTING!I:I,A68,NESTING!J:J)=G68),"OK","")</f>
        <v>OK</v>
      </c>
    </row>
    <row r="69" spans="1:9">
      <c r="A69" s="29" t="s">
        <v>1435</v>
      </c>
      <c r="B69" s="29"/>
      <c r="C69" s="28">
        <v>2065</v>
      </c>
      <c r="D69" s="28"/>
      <c r="E69" s="29" t="s">
        <v>1208</v>
      </c>
      <c r="F69" s="29"/>
      <c r="G69" s="29">
        <f t="shared" si="1"/>
        <v>1</v>
      </c>
      <c r="H69" s="28"/>
      <c r="I69" s="29" t="str">
        <f>IF(AND(A69&lt;&gt;"",SUMIF(NESTING!I:I,A69,NESTING!J:J)=G69),"OK","")</f>
        <v>OK</v>
      </c>
    </row>
    <row r="70" spans="1:9">
      <c r="A70" s="29" t="s">
        <v>1434</v>
      </c>
      <c r="B70" s="29"/>
      <c r="C70" s="28">
        <v>2650</v>
      </c>
      <c r="D70" s="28"/>
      <c r="E70" s="29" t="s">
        <v>1208</v>
      </c>
      <c r="F70" s="29"/>
      <c r="G70" s="29">
        <f t="shared" si="1"/>
        <v>1</v>
      </c>
      <c r="H70" s="28"/>
      <c r="I70" s="29" t="str">
        <f>IF(AND(A70&lt;&gt;"",SUMIF(NESTING!I:I,A70,NESTING!J:J)=G70),"OK","")</f>
        <v>OK</v>
      </c>
    </row>
    <row r="71" spans="1:9">
      <c r="A71" s="29" t="s">
        <v>1433</v>
      </c>
      <c r="B71" s="29"/>
      <c r="C71" s="28">
        <v>2816</v>
      </c>
      <c r="D71" s="28"/>
      <c r="E71" s="29" t="s">
        <v>1208</v>
      </c>
      <c r="F71" s="29"/>
      <c r="G71" s="29">
        <f t="shared" si="1"/>
        <v>1</v>
      </c>
      <c r="H71" s="28"/>
      <c r="I71" s="29" t="str">
        <f>IF(AND(A71&lt;&gt;"",SUMIF(NESTING!I:I,A71,NESTING!J:J)=G71),"OK","")</f>
        <v>OK</v>
      </c>
    </row>
    <row r="72" spans="1:9">
      <c r="A72" s="29" t="s">
        <v>1432</v>
      </c>
      <c r="B72" s="29"/>
      <c r="C72" s="28">
        <v>2816</v>
      </c>
      <c r="D72" s="28"/>
      <c r="E72" s="29" t="s">
        <v>1208</v>
      </c>
      <c r="F72" s="29"/>
      <c r="G72" s="29">
        <f t="shared" si="1"/>
        <v>1</v>
      </c>
      <c r="H72" s="28"/>
      <c r="I72" s="29" t="str">
        <f>IF(AND(A72&lt;&gt;"",SUMIF(NESTING!I:I,A72,NESTING!J:J)=G72),"OK","")</f>
        <v>OK</v>
      </c>
    </row>
    <row r="73" spans="1:9">
      <c r="A73" s="29" t="s">
        <v>1431</v>
      </c>
      <c r="B73" s="29"/>
      <c r="C73" s="28">
        <v>2816</v>
      </c>
      <c r="D73" s="28"/>
      <c r="E73" s="29" t="s">
        <v>1208</v>
      </c>
      <c r="F73" s="29"/>
      <c r="G73" s="29">
        <f t="shared" si="1"/>
        <v>1</v>
      </c>
      <c r="H73" s="28"/>
      <c r="I73" s="29" t="str">
        <f>IF(AND(A73&lt;&gt;"",SUMIF(NESTING!I:I,A73,NESTING!J:J)=G73),"OK","")</f>
        <v>OK</v>
      </c>
    </row>
    <row r="74" spans="1:9">
      <c r="A74" s="29" t="s">
        <v>1430</v>
      </c>
      <c r="B74" s="29"/>
      <c r="C74" s="28">
        <v>2816</v>
      </c>
      <c r="D74" s="28"/>
      <c r="E74" s="29" t="s">
        <v>1208</v>
      </c>
      <c r="F74" s="29"/>
      <c r="G74" s="29">
        <f t="shared" si="1"/>
        <v>1</v>
      </c>
      <c r="H74" s="28"/>
      <c r="I74" s="29" t="str">
        <f>IF(AND(A74&lt;&gt;"",SUMIF(NESTING!I:I,A74,NESTING!J:J)=G74),"OK","")</f>
        <v>OK</v>
      </c>
    </row>
    <row r="75" spans="1:9">
      <c r="A75" s="29" t="s">
        <v>1429</v>
      </c>
      <c r="B75" s="29"/>
      <c r="C75" s="28">
        <v>2816</v>
      </c>
      <c r="D75" s="28"/>
      <c r="E75" s="29" t="s">
        <v>1208</v>
      </c>
      <c r="F75" s="29"/>
      <c r="G75" s="29">
        <f t="shared" si="1"/>
        <v>1</v>
      </c>
      <c r="H75" s="28"/>
      <c r="I75" s="29" t="str">
        <f>IF(AND(A75&lt;&gt;"",SUMIF(NESTING!I:I,A75,NESTING!J:J)=G75),"OK","")</f>
        <v>OK</v>
      </c>
    </row>
    <row r="76" spans="1:9">
      <c r="A76" s="29" t="s">
        <v>1428</v>
      </c>
      <c r="B76" s="29"/>
      <c r="C76" s="28">
        <v>11500</v>
      </c>
      <c r="D76" s="28"/>
      <c r="E76" s="29" t="s">
        <v>1208</v>
      </c>
      <c r="F76" s="29"/>
      <c r="G76" s="29">
        <f t="shared" si="1"/>
        <v>1</v>
      </c>
      <c r="H76" s="28"/>
      <c r="I76" s="29" t="str">
        <f>IF(AND(A76&lt;&gt;"",SUMIF(NESTING!I:I,A76,NESTING!J:J)=G76),"OK","")</f>
        <v>OK</v>
      </c>
    </row>
    <row r="77" spans="1:9">
      <c r="A77" s="29" t="s">
        <v>1684</v>
      </c>
      <c r="B77" s="29"/>
      <c r="C77" s="28">
        <v>4236</v>
      </c>
      <c r="D77" s="28"/>
      <c r="E77" s="29" t="s">
        <v>1208</v>
      </c>
      <c r="F77" s="29"/>
      <c r="G77" s="29">
        <f t="shared" si="1"/>
        <v>1</v>
      </c>
      <c r="H77" s="28"/>
      <c r="I77" s="29" t="str">
        <f>IF(AND(A77&lt;&gt;"",SUMIF(NESTING!I:I,A77,NESTING!J:J)=G77),"OK","")</f>
        <v>OK</v>
      </c>
    </row>
    <row r="78" spans="1:9">
      <c r="A78" s="29" t="s">
        <v>1661</v>
      </c>
      <c r="B78" s="29"/>
      <c r="C78" s="28">
        <v>215</v>
      </c>
      <c r="D78" s="28"/>
      <c r="E78" s="29" t="s">
        <v>1208</v>
      </c>
      <c r="F78" s="29"/>
      <c r="G78" s="29">
        <f t="shared" si="1"/>
        <v>1</v>
      </c>
      <c r="H78" s="28"/>
      <c r="I78" s="29" t="str">
        <f>IF(AND(A78&lt;&gt;"",SUMIF(NESTING!I:I,A78,NESTING!J:J)=G78),"OK","")</f>
        <v>OK</v>
      </c>
    </row>
    <row r="79" spans="1:9">
      <c r="A79" s="29" t="s">
        <v>1683</v>
      </c>
      <c r="B79" s="29"/>
      <c r="C79" s="28">
        <v>1218</v>
      </c>
      <c r="D79" s="28"/>
      <c r="E79" s="29" t="s">
        <v>1208</v>
      </c>
      <c r="F79" s="29"/>
      <c r="G79" s="29">
        <f t="shared" si="1"/>
        <v>1</v>
      </c>
      <c r="H79" s="28"/>
      <c r="I79" s="29" t="str">
        <f>IF(AND(A79&lt;&gt;"",SUMIF(NESTING!I:I,A79,NESTING!J:J)=G79),"OK","")</f>
        <v>OK</v>
      </c>
    </row>
    <row r="80" spans="1:9">
      <c r="A80" s="29" t="s">
        <v>1682</v>
      </c>
      <c r="B80" s="29"/>
      <c r="C80" s="28">
        <v>11500</v>
      </c>
      <c r="D80" s="28"/>
      <c r="E80" s="29" t="s">
        <v>1208</v>
      </c>
      <c r="F80" s="29"/>
      <c r="G80" s="29">
        <f t="shared" si="1"/>
        <v>1</v>
      </c>
      <c r="H80" s="28"/>
      <c r="I80" s="29" t="str">
        <f>IF(AND(A80&lt;&gt;"",SUMIF(NESTING!I:I,A80,NESTING!J:J)=G80),"OK","")</f>
        <v>OK</v>
      </c>
    </row>
    <row r="81" spans="1:9">
      <c r="A81" s="29" t="s">
        <v>1681</v>
      </c>
      <c r="B81" s="29"/>
      <c r="C81" s="28">
        <v>236</v>
      </c>
      <c r="D81" s="28"/>
      <c r="E81" s="29" t="s">
        <v>1208</v>
      </c>
      <c r="F81" s="29"/>
      <c r="G81" s="29">
        <f t="shared" si="1"/>
        <v>1</v>
      </c>
      <c r="H81" s="28"/>
      <c r="I81" s="29" t="str">
        <f>IF(AND(A81&lt;&gt;"",SUMIF(NESTING!I:I,A81,NESTING!J:J)=G81),"OK","")</f>
        <v>OK</v>
      </c>
    </row>
    <row r="82" spans="1:9">
      <c r="A82" s="29" t="s">
        <v>1680</v>
      </c>
      <c r="B82" s="29"/>
      <c r="C82" s="28">
        <v>11500</v>
      </c>
      <c r="D82" s="28"/>
      <c r="E82" s="29" t="s">
        <v>1208</v>
      </c>
      <c r="F82" s="29"/>
      <c r="G82" s="29">
        <f t="shared" si="1"/>
        <v>1</v>
      </c>
      <c r="H82" s="28"/>
      <c r="I82" s="29" t="str">
        <f>IF(AND(A82&lt;&gt;"",SUMIF(NESTING!I:I,A82,NESTING!J:J)=G82),"OK","")</f>
        <v>OK</v>
      </c>
    </row>
    <row r="83" spans="1:9">
      <c r="A83" s="29" t="s">
        <v>1678</v>
      </c>
      <c r="B83" s="29"/>
      <c r="C83" s="28">
        <v>5836</v>
      </c>
      <c r="D83" s="28"/>
      <c r="E83" s="29" t="s">
        <v>1208</v>
      </c>
      <c r="F83" s="29"/>
      <c r="G83" s="29">
        <f t="shared" si="1"/>
        <v>1</v>
      </c>
      <c r="H83" s="28"/>
      <c r="I83" s="29" t="str">
        <f>IF(AND(A83&lt;&gt;"",SUMIF(NESTING!I:I,A83,NESTING!J:J)=G83),"OK","")</f>
        <v>OK</v>
      </c>
    </row>
    <row r="84" spans="1:9">
      <c r="A84" s="29" t="s">
        <v>1679</v>
      </c>
      <c r="B84" s="29"/>
      <c r="C84" s="28">
        <v>736</v>
      </c>
      <c r="D84" s="28"/>
      <c r="E84" s="29" t="s">
        <v>1208</v>
      </c>
      <c r="F84" s="29"/>
      <c r="G84" s="29">
        <f t="shared" si="1"/>
        <v>1</v>
      </c>
      <c r="H84" s="28"/>
      <c r="I84" s="29" t="str">
        <f>IF(AND(A84&lt;&gt;"",SUMIF(NESTING!I:I,A84,NESTING!J:J)=G84),"OK","")</f>
        <v>OK</v>
      </c>
    </row>
    <row r="85" spans="1:9">
      <c r="A85" s="29" t="s">
        <v>1677</v>
      </c>
      <c r="B85" s="29"/>
      <c r="C85" s="28">
        <v>2036</v>
      </c>
      <c r="D85" s="28"/>
      <c r="E85" s="29" t="s">
        <v>1208</v>
      </c>
      <c r="F85" s="29"/>
      <c r="G85" s="29">
        <f t="shared" si="1"/>
        <v>1</v>
      </c>
      <c r="H85" s="28"/>
      <c r="I85" s="29" t="str">
        <f>IF(AND(A85&lt;&gt;"",SUMIF(NESTING!I:I,A85,NESTING!J:J)=G85),"OK","")</f>
        <v>OK</v>
      </c>
    </row>
    <row r="86" spans="1:9">
      <c r="A86" s="29" t="s">
        <v>1675</v>
      </c>
      <c r="B86" s="29"/>
      <c r="C86" s="28">
        <v>736</v>
      </c>
      <c r="D86" s="28"/>
      <c r="E86" s="29" t="s">
        <v>1208</v>
      </c>
      <c r="F86" s="29"/>
      <c r="G86" s="29">
        <f t="shared" si="1"/>
        <v>1</v>
      </c>
      <c r="H86" s="28"/>
      <c r="I86" s="29" t="str">
        <f>IF(AND(A86&lt;&gt;"",SUMIF(NESTING!I:I,A86,NESTING!J:J)=G86),"OK","")</f>
        <v>OK</v>
      </c>
    </row>
    <row r="87" spans="1:9">
      <c r="A87" s="29" t="s">
        <v>1676</v>
      </c>
      <c r="B87" s="29"/>
      <c r="C87" s="28">
        <v>5936</v>
      </c>
      <c r="D87" s="28"/>
      <c r="E87" s="29" t="s">
        <v>1208</v>
      </c>
      <c r="F87" s="29"/>
      <c r="G87" s="29">
        <f t="shared" si="1"/>
        <v>1</v>
      </c>
      <c r="H87" s="28"/>
      <c r="I87" s="29" t="str">
        <f>IF(AND(A87&lt;&gt;"",SUMIF(NESTING!I:I,A87,NESTING!J:J)=G87),"OK","")</f>
        <v>OK</v>
      </c>
    </row>
    <row r="88" spans="1:9">
      <c r="A88" s="29" t="s">
        <v>1674</v>
      </c>
      <c r="B88" s="29"/>
      <c r="C88" s="28">
        <v>7799</v>
      </c>
      <c r="D88" s="28"/>
      <c r="E88" s="29" t="s">
        <v>1208</v>
      </c>
      <c r="F88" s="29"/>
      <c r="G88" s="29">
        <f t="shared" si="1"/>
        <v>1</v>
      </c>
      <c r="H88" s="28"/>
      <c r="I88" s="29" t="str">
        <f>IF(AND(A88&lt;&gt;"",SUMIF(NESTING!I:I,A88,NESTING!J:J)=G88),"OK","")</f>
        <v>OK</v>
      </c>
    </row>
    <row r="89" spans="1:9">
      <c r="A89" s="29" t="s">
        <v>1672</v>
      </c>
      <c r="B89" s="29"/>
      <c r="C89" s="28">
        <v>1936</v>
      </c>
      <c r="D89" s="28"/>
      <c r="E89" s="29" t="s">
        <v>1208</v>
      </c>
      <c r="F89" s="29"/>
      <c r="G89" s="29">
        <f t="shared" si="1"/>
        <v>1</v>
      </c>
      <c r="H89" s="28"/>
      <c r="I89" s="29" t="str">
        <f>IF(AND(A89&lt;&gt;"",SUMIF(NESTING!I:I,A89,NESTING!J:J)=G89),"OK","")</f>
        <v>OK</v>
      </c>
    </row>
    <row r="90" spans="1:9">
      <c r="A90" s="29" t="s">
        <v>1673</v>
      </c>
      <c r="B90" s="29"/>
      <c r="C90" s="28">
        <v>886</v>
      </c>
      <c r="D90" s="28"/>
      <c r="E90" s="29" t="s">
        <v>1208</v>
      </c>
      <c r="F90" s="29"/>
      <c r="G90" s="29">
        <f t="shared" si="1"/>
        <v>1</v>
      </c>
      <c r="H90" s="28"/>
      <c r="I90" s="29" t="str">
        <f>IF(AND(A90&lt;&gt;"",SUMIF(NESTING!I:I,A90,NESTING!J:J)=G90),"OK","")</f>
        <v>OK</v>
      </c>
    </row>
    <row r="91" spans="1:9">
      <c r="A91" s="29" t="s">
        <v>1670</v>
      </c>
      <c r="B91" s="29"/>
      <c r="C91" s="28">
        <v>1600</v>
      </c>
      <c r="D91" s="28"/>
      <c r="E91" s="29" t="s">
        <v>1208</v>
      </c>
      <c r="F91" s="29"/>
      <c r="G91" s="29">
        <f t="shared" si="1"/>
        <v>1</v>
      </c>
      <c r="H91" s="28"/>
      <c r="I91" s="29" t="str">
        <f>IF(AND(A91&lt;&gt;"",SUMIF(NESTING!I:I,A91,NESTING!J:J)=G91),"OK","")</f>
        <v>OK</v>
      </c>
    </row>
    <row r="92" spans="1:9">
      <c r="A92" s="29" t="s">
        <v>1671</v>
      </c>
      <c r="B92" s="29"/>
      <c r="C92" s="28">
        <v>6056</v>
      </c>
      <c r="D92" s="28"/>
      <c r="E92" s="29" t="s">
        <v>1208</v>
      </c>
      <c r="F92" s="29"/>
      <c r="G92" s="29">
        <f t="shared" si="1"/>
        <v>1</v>
      </c>
      <c r="H92" s="28"/>
      <c r="I92" s="29" t="str">
        <f>IF(AND(A92&lt;&gt;"",SUMIF(NESTING!I:I,A92,NESTING!J:J)=G92),"OK","")</f>
        <v>OK</v>
      </c>
    </row>
    <row r="93" spans="1:9">
      <c r="A93" s="29" t="s">
        <v>1669</v>
      </c>
      <c r="B93" s="29"/>
      <c r="C93" s="28">
        <v>490</v>
      </c>
      <c r="D93" s="28"/>
      <c r="E93" s="29" t="s">
        <v>1208</v>
      </c>
      <c r="F93" s="29"/>
      <c r="G93" s="29">
        <f t="shared" si="1"/>
        <v>1</v>
      </c>
      <c r="H93" s="28"/>
      <c r="I93" s="29" t="str">
        <f>IF(AND(A93&lt;&gt;"",SUMIF(NESTING!I:I,A93,NESTING!J:J)=G93),"OK","")</f>
        <v>OK</v>
      </c>
    </row>
    <row r="94" spans="1:9">
      <c r="A94" s="29" t="s">
        <v>1668</v>
      </c>
      <c r="B94" s="29"/>
      <c r="C94" s="28">
        <v>1453</v>
      </c>
      <c r="D94" s="28"/>
      <c r="E94" s="29" t="s">
        <v>1208</v>
      </c>
      <c r="F94" s="29"/>
      <c r="G94" s="29">
        <f t="shared" si="1"/>
        <v>1</v>
      </c>
      <c r="H94" s="28"/>
      <c r="I94" s="29" t="str">
        <f>IF(AND(A94&lt;&gt;"",SUMIF(NESTING!I:I,A94,NESTING!J:J)=G94),"OK","")</f>
        <v>OK</v>
      </c>
    </row>
    <row r="95" spans="1:9">
      <c r="A95" s="29" t="s">
        <v>1667</v>
      </c>
      <c r="B95" s="29"/>
      <c r="C95" s="28">
        <v>3736</v>
      </c>
      <c r="D95" s="28"/>
      <c r="E95" s="29" t="s">
        <v>1208</v>
      </c>
      <c r="F95" s="29"/>
      <c r="G95" s="29">
        <f t="shared" si="1"/>
        <v>1</v>
      </c>
      <c r="H95" s="28"/>
      <c r="I95" s="29" t="str">
        <f>IF(AND(A95&lt;&gt;"",SUMIF(NESTING!I:I,A95,NESTING!J:J)=G95),"OK","")</f>
        <v>OK</v>
      </c>
    </row>
    <row r="96" spans="1:9">
      <c r="A96" s="29" t="s">
        <v>1666</v>
      </c>
      <c r="B96" s="29"/>
      <c r="C96" s="28">
        <v>5736</v>
      </c>
      <c r="D96" s="28"/>
      <c r="E96" s="29" t="s">
        <v>1208</v>
      </c>
      <c r="F96" s="29"/>
      <c r="G96" s="29">
        <f t="shared" si="1"/>
        <v>1</v>
      </c>
      <c r="H96" s="28"/>
      <c r="I96" s="29" t="str">
        <f>IF(AND(A96&lt;&gt;"",SUMIF(NESTING!I:I,A96,NESTING!J:J)=G96),"OK","")</f>
        <v>OK</v>
      </c>
    </row>
    <row r="97" spans="1:9">
      <c r="A97" s="29" t="s">
        <v>1664</v>
      </c>
      <c r="B97" s="29"/>
      <c r="C97" s="28">
        <v>401</v>
      </c>
      <c r="D97" s="28"/>
      <c r="E97" s="29" t="s">
        <v>1208</v>
      </c>
      <c r="F97" s="29"/>
      <c r="G97" s="29">
        <f t="shared" si="1"/>
        <v>1</v>
      </c>
      <c r="H97" s="28"/>
      <c r="I97" s="29" t="str">
        <f>IF(AND(A97&lt;&gt;"",SUMIF(NESTING!I:I,A97,NESTING!J:J)=G97),"OK","")</f>
        <v>OK</v>
      </c>
    </row>
    <row r="98" spans="1:9">
      <c r="A98" s="29" t="s">
        <v>1665</v>
      </c>
      <c r="B98" s="29"/>
      <c r="C98" s="28">
        <v>1936</v>
      </c>
      <c r="D98" s="28"/>
      <c r="E98" s="29" t="s">
        <v>1208</v>
      </c>
      <c r="F98" s="29"/>
      <c r="G98" s="29">
        <f t="shared" si="1"/>
        <v>1</v>
      </c>
      <c r="H98" s="28"/>
      <c r="I98" s="29" t="str">
        <f>IF(AND(A98&lt;&gt;"",SUMIF(NESTING!I:I,A98,NESTING!J:J)=G98),"OK","")</f>
        <v>OK</v>
      </c>
    </row>
    <row r="99" spans="1:9">
      <c r="A99" s="29"/>
      <c r="B99" s="29"/>
      <c r="C99" s="28"/>
      <c r="D99" s="28"/>
      <c r="E99" s="29"/>
      <c r="F99" s="29"/>
      <c r="G99" s="29" t="str">
        <f t="shared" si="1"/>
        <v/>
      </c>
      <c r="H99" s="28"/>
      <c r="I99" s="29" t="str">
        <f>IF(AND(A99&lt;&gt;"",SUMIF(NESTING!I:I,A99,NESTING!J:J)=G99),"OK","")</f>
        <v/>
      </c>
    </row>
    <row r="100" spans="1:9">
      <c r="A100" s="29"/>
      <c r="B100" s="29"/>
      <c r="C100" s="28"/>
      <c r="D100" s="28"/>
      <c r="E100" s="29"/>
      <c r="F100" s="29"/>
      <c r="G100" s="29" t="str">
        <f t="shared" si="1"/>
        <v/>
      </c>
      <c r="H100" s="28"/>
      <c r="I100" s="29" t="str">
        <f>IF(AND(A100&lt;&gt;"",SUMIF(NESTING!I:I,A100,NESTING!J:J)=G100),"OK","")</f>
        <v/>
      </c>
    </row>
    <row r="101" spans="1:9">
      <c r="A101" s="29"/>
      <c r="B101" s="29"/>
      <c r="C101" s="28"/>
      <c r="D101" s="28"/>
      <c r="E101" s="29"/>
      <c r="F101" s="29"/>
      <c r="G101" s="29" t="str">
        <f t="shared" si="1"/>
        <v/>
      </c>
      <c r="H101" s="28"/>
      <c r="I101" s="29" t="str">
        <f>IF(AND(A101&lt;&gt;"",SUMIF(NESTING!I:I,A101,NESTING!J:J)=G101),"OK","")</f>
        <v/>
      </c>
    </row>
    <row r="102" spans="1:9">
      <c r="A102" s="29"/>
      <c r="B102" s="29"/>
      <c r="C102" s="28"/>
      <c r="D102" s="28"/>
      <c r="E102" s="29"/>
      <c r="F102" s="29"/>
      <c r="G102" s="29" t="str">
        <f t="shared" si="1"/>
        <v/>
      </c>
      <c r="H102" s="28"/>
      <c r="I102" s="29" t="str">
        <f>IF(AND(A102&lt;&gt;"",SUMIF(NESTING!I:I,A102,NESTING!J:J)=G102),"OK","")</f>
        <v/>
      </c>
    </row>
    <row r="103" spans="1:9">
      <c r="A103" s="29"/>
      <c r="B103" s="29"/>
      <c r="C103" s="28"/>
      <c r="D103" s="28"/>
      <c r="E103" s="29"/>
      <c r="F103" s="29"/>
      <c r="G103" s="29" t="str">
        <f t="shared" si="1"/>
        <v/>
      </c>
      <c r="H103" s="28"/>
      <c r="I103" s="29" t="str">
        <f>IF(AND(A103&lt;&gt;"",SUMIF(NESTING!I:I,A103,NESTING!J:J)=G103),"OK","")</f>
        <v/>
      </c>
    </row>
    <row r="104" spans="1:9">
      <c r="A104" s="29"/>
      <c r="B104" s="29"/>
      <c r="C104" s="28"/>
      <c r="D104" s="28"/>
      <c r="E104" s="29"/>
      <c r="F104" s="29"/>
      <c r="G104" s="29" t="str">
        <f t="shared" si="1"/>
        <v/>
      </c>
      <c r="H104" s="28"/>
      <c r="I104" s="29" t="str">
        <f>IF(AND(A104&lt;&gt;"",SUMIF(NESTING!I:I,A104,NESTING!J:J)=G104),"OK","")</f>
        <v/>
      </c>
    </row>
    <row r="105" spans="1:9">
      <c r="A105" s="29"/>
      <c r="B105" s="29"/>
      <c r="C105" s="28"/>
      <c r="D105" s="28"/>
      <c r="E105" s="29"/>
      <c r="F105" s="29"/>
      <c r="G105" s="29" t="str">
        <f t="shared" si="1"/>
        <v/>
      </c>
      <c r="H105" s="28"/>
      <c r="I105" s="29" t="str">
        <f>IF(AND(A105&lt;&gt;"",SUMIF(NESTING!I:I,A105,NESTING!J:J)=G105),"OK","")</f>
        <v/>
      </c>
    </row>
    <row r="106" spans="1:9">
      <c r="A106" s="29"/>
      <c r="B106" s="29"/>
      <c r="C106" s="28"/>
      <c r="D106" s="28"/>
      <c r="E106" s="29"/>
      <c r="F106" s="29"/>
      <c r="G106" s="29" t="str">
        <f t="shared" si="1"/>
        <v/>
      </c>
      <c r="H106" s="28"/>
      <c r="I106" s="29" t="str">
        <f>IF(AND(A106&lt;&gt;"",SUMIF(NESTING!I:I,A106,NESTING!J:J)=G106),"OK","")</f>
        <v/>
      </c>
    </row>
    <row r="107" spans="1:9">
      <c r="A107" s="29"/>
      <c r="B107" s="29"/>
      <c r="C107" s="28"/>
      <c r="D107" s="28"/>
      <c r="E107" s="29"/>
      <c r="F107" s="29"/>
      <c r="G107" s="29" t="str">
        <f t="shared" si="1"/>
        <v/>
      </c>
      <c r="H107" s="28"/>
      <c r="I107" s="29" t="str">
        <f>IF(AND(A107&lt;&gt;"",SUMIF(NESTING!I:I,A107,NESTING!J:J)=G107),"OK","")</f>
        <v/>
      </c>
    </row>
    <row r="108" spans="1:9">
      <c r="A108" s="29"/>
      <c r="B108" s="29"/>
      <c r="C108" s="28"/>
      <c r="D108" s="28"/>
      <c r="E108" s="29"/>
      <c r="F108" s="29"/>
      <c r="G108" s="29" t="str">
        <f t="shared" si="1"/>
        <v/>
      </c>
      <c r="H108" s="28"/>
      <c r="I108" s="29" t="str">
        <f>IF(AND(A108&lt;&gt;"",SUMIF(NESTING!I:I,A108,NESTING!J:J)=G108),"OK","")</f>
        <v/>
      </c>
    </row>
    <row r="109" spans="1:9">
      <c r="A109" s="29"/>
      <c r="B109" s="29"/>
      <c r="C109" s="28"/>
      <c r="D109" s="28"/>
      <c r="E109" s="29"/>
      <c r="F109" s="29"/>
      <c r="G109" s="29" t="str">
        <f t="shared" si="1"/>
        <v/>
      </c>
      <c r="H109" s="28"/>
      <c r="I109" s="29" t="str">
        <f>IF(AND(A109&lt;&gt;"",SUMIF(NESTING!I:I,A109,NESTING!J:J)=G109),"OK","")</f>
        <v/>
      </c>
    </row>
    <row r="110" spans="1:9">
      <c r="A110" s="29"/>
      <c r="B110" s="29"/>
      <c r="C110" s="28"/>
      <c r="D110" s="28"/>
      <c r="E110" s="29"/>
      <c r="F110" s="29"/>
      <c r="G110" s="29" t="str">
        <f t="shared" si="1"/>
        <v/>
      </c>
      <c r="H110" s="28"/>
      <c r="I110" s="29" t="str">
        <f>IF(AND(A110&lt;&gt;"",SUMIF(NESTING!I:I,A110,NESTING!J:J)=G110),"OK","")</f>
        <v/>
      </c>
    </row>
    <row r="111" spans="1:9">
      <c r="A111" s="29"/>
      <c r="B111" s="29"/>
      <c r="C111" s="28"/>
      <c r="D111" s="28"/>
      <c r="E111" s="29"/>
      <c r="F111" s="29"/>
      <c r="G111" s="29" t="str">
        <f t="shared" si="1"/>
        <v/>
      </c>
      <c r="H111" s="28"/>
      <c r="I111" s="29" t="str">
        <f>IF(AND(A111&lt;&gt;"",SUMIF(NESTING!I:I,A111,NESTING!J:J)=G111),"OK","")</f>
        <v/>
      </c>
    </row>
    <row r="112" spans="1:9">
      <c r="A112" s="29"/>
      <c r="B112" s="29"/>
      <c r="C112" s="28"/>
      <c r="D112" s="28"/>
      <c r="E112" s="29"/>
      <c r="F112" s="29"/>
      <c r="G112" s="29" t="str">
        <f t="shared" si="1"/>
        <v/>
      </c>
      <c r="H112" s="28"/>
      <c r="I112" s="29" t="str">
        <f>IF(AND(A112&lt;&gt;"",SUMIF(NESTING!I:I,A112,NESTING!J:J)=G112),"OK","")</f>
        <v/>
      </c>
    </row>
    <row r="113" spans="1:9">
      <c r="A113" s="29"/>
      <c r="B113" s="29"/>
      <c r="C113" s="28"/>
      <c r="D113" s="28"/>
      <c r="E113" s="29"/>
      <c r="F113" s="29"/>
      <c r="G113" s="29" t="str">
        <f t="shared" si="1"/>
        <v/>
      </c>
      <c r="H113" s="28"/>
      <c r="I113" s="29" t="str">
        <f>IF(AND(A113&lt;&gt;"",SUMIF(NESTING!I:I,A113,NESTING!J:J)=G113),"OK","")</f>
        <v/>
      </c>
    </row>
    <row r="114" spans="1:9">
      <c r="A114" s="29"/>
      <c r="B114" s="29"/>
      <c r="C114" s="28"/>
      <c r="D114" s="28"/>
      <c r="E114" s="29"/>
      <c r="F114" s="29"/>
      <c r="G114" s="29" t="str">
        <f t="shared" si="1"/>
        <v/>
      </c>
      <c r="H114" s="28"/>
      <c r="I114" s="29" t="str">
        <f>IF(AND(A114&lt;&gt;"",SUMIF(NESTING!I:I,A114,NESTING!J:J)=G114),"OK","")</f>
        <v/>
      </c>
    </row>
    <row r="115" spans="1:9">
      <c r="A115" s="29"/>
      <c r="B115" s="29"/>
      <c r="C115" s="28"/>
      <c r="D115" s="28"/>
      <c r="E115" s="29"/>
      <c r="F115" s="29"/>
      <c r="G115" s="29" t="str">
        <f t="shared" si="1"/>
        <v/>
      </c>
      <c r="H115" s="28"/>
      <c r="I115" s="29" t="str">
        <f>IF(AND(A115&lt;&gt;"",SUMIF(NESTING!I:I,A115,NESTING!J:J)=G115),"OK","")</f>
        <v/>
      </c>
    </row>
    <row r="116" spans="1:9">
      <c r="A116" s="29"/>
      <c r="B116" s="29"/>
      <c r="C116" s="28"/>
      <c r="D116" s="28"/>
      <c r="E116" s="29"/>
      <c r="F116" s="29"/>
      <c r="G116" s="29" t="str">
        <f t="shared" si="1"/>
        <v/>
      </c>
      <c r="H116" s="28"/>
      <c r="I116" s="29" t="str">
        <f>IF(AND(A116&lt;&gt;"",SUMIF(NESTING!I:I,A116,NESTING!J:J)=G116),"OK","")</f>
        <v/>
      </c>
    </row>
    <row r="117" spans="1:9">
      <c r="A117" s="29"/>
      <c r="B117" s="29"/>
      <c r="C117" s="28"/>
      <c r="D117" s="28"/>
      <c r="E117" s="29"/>
      <c r="F117" s="29"/>
      <c r="G117" s="29" t="str">
        <f t="shared" si="1"/>
        <v/>
      </c>
      <c r="H117" s="28"/>
      <c r="I117" s="29" t="str">
        <f>IF(AND(A117&lt;&gt;"",SUMIF(NESTING!I:I,A117,NESTING!J:J)=G117),"OK","")</f>
        <v/>
      </c>
    </row>
    <row r="118" spans="1:9">
      <c r="A118" s="29"/>
      <c r="B118" s="29"/>
      <c r="C118" s="28"/>
      <c r="D118" s="28"/>
      <c r="E118" s="29"/>
      <c r="F118" s="29"/>
      <c r="G118" s="29"/>
      <c r="H118" s="28"/>
      <c r="I118" s="29" t="str">
        <f>IF(AND(A118&lt;&gt;"",SUMIF(NESTING!I:I,A118,NESTING!J:J)=G118),"OK","")</f>
        <v/>
      </c>
    </row>
    <row r="119" spans="1:9">
      <c r="A119" s="29"/>
      <c r="B119" s="29"/>
      <c r="C119" s="28"/>
      <c r="D119" s="28"/>
      <c r="E119" s="29"/>
      <c r="F119" s="29"/>
      <c r="G119" s="29"/>
      <c r="H119" s="28"/>
      <c r="I119" s="29" t="str">
        <f>IF(AND(A119&lt;&gt;"",SUMIF(NESTING!I:I,A119,NESTING!J:J)=G119),"OK","")</f>
        <v/>
      </c>
    </row>
    <row r="120" spans="1:9">
      <c r="A120" s="29"/>
      <c r="B120" s="29"/>
      <c r="C120" s="28"/>
      <c r="D120" s="28"/>
      <c r="E120" s="29"/>
      <c r="F120" s="29"/>
      <c r="G120" s="29"/>
      <c r="H120" s="28"/>
      <c r="I120" s="29" t="str">
        <f>IF(AND(A120&lt;&gt;"",SUMIF(NESTING!I:I,A120,NESTING!J:J)=G120),"OK","")</f>
        <v/>
      </c>
    </row>
    <row r="121" spans="1:9">
      <c r="A121" s="29"/>
      <c r="B121" s="29"/>
      <c r="C121" s="28"/>
      <c r="D121" s="28"/>
      <c r="E121" s="29"/>
      <c r="F121" s="29"/>
      <c r="G121" s="29"/>
      <c r="H121" s="28"/>
      <c r="I121" s="29" t="str">
        <f>IF(AND(A121&lt;&gt;"",SUMIF(NESTING!I:I,A121,NESTING!J:J)=G121),"OK","")</f>
        <v/>
      </c>
    </row>
    <row r="122" spans="1:9">
      <c r="A122" s="29"/>
      <c r="B122" s="29"/>
      <c r="C122" s="28"/>
      <c r="D122" s="28"/>
      <c r="E122" s="29"/>
      <c r="F122" s="29"/>
      <c r="G122" s="29"/>
      <c r="H122" s="28"/>
      <c r="I122" s="29" t="str">
        <f>IF(AND(A122&lt;&gt;"",SUMIF(NESTING!I:I,A122,NESTING!J:J)=G122),"OK","")</f>
        <v/>
      </c>
    </row>
    <row r="123" spans="1:9">
      <c r="A123" s="29"/>
      <c r="B123" s="29"/>
      <c r="C123" s="28"/>
      <c r="D123" s="28"/>
      <c r="E123" s="29"/>
      <c r="F123" s="29"/>
      <c r="G123" s="29"/>
      <c r="H123" s="28"/>
      <c r="I123" s="29" t="str">
        <f>IF(AND(A123&lt;&gt;"",SUMIF(NESTING!I:I,A123,NESTING!J:J)=G123),"OK","")</f>
        <v/>
      </c>
    </row>
    <row r="124" spans="1:9">
      <c r="A124" s="29"/>
      <c r="B124" s="29"/>
      <c r="C124" s="28"/>
      <c r="D124" s="28"/>
      <c r="E124" s="29"/>
      <c r="F124" s="29"/>
      <c r="G124" s="29"/>
      <c r="H124" s="28"/>
      <c r="I124" s="29" t="str">
        <f>IF(AND(A124&lt;&gt;"",SUMIF(NESTING!I:I,A124,NESTING!J:J)=G124),"OK","")</f>
        <v/>
      </c>
    </row>
    <row r="125" spans="1:9">
      <c r="A125" s="29"/>
      <c r="B125" s="29"/>
      <c r="C125" s="28"/>
      <c r="D125" s="28"/>
      <c r="E125" s="29"/>
      <c r="F125" s="29"/>
      <c r="G125" s="29"/>
      <c r="H125" s="28"/>
      <c r="I125" s="29" t="str">
        <f>IF(AND(A125&lt;&gt;"",SUMIF(NESTING!I:I,A125,NESTING!J:J)=G125),"OK","")</f>
        <v/>
      </c>
    </row>
    <row r="126" spans="1:9">
      <c r="A126" s="29"/>
      <c r="B126" s="29"/>
      <c r="C126" s="28"/>
      <c r="D126" s="28"/>
      <c r="E126" s="29"/>
      <c r="F126" s="29"/>
      <c r="G126" s="29"/>
      <c r="H126" s="28"/>
      <c r="I126" s="29" t="str">
        <f>IF(AND(A126&lt;&gt;"",SUMIF(NESTING!I:I,A126,NESTING!J:J)=G126),"OK","")</f>
        <v/>
      </c>
    </row>
    <row r="127" spans="1:9">
      <c r="A127" s="29"/>
      <c r="B127" s="29"/>
      <c r="C127" s="28"/>
      <c r="D127" s="28"/>
      <c r="E127" s="29"/>
      <c r="F127" s="29"/>
      <c r="G127" s="29"/>
      <c r="H127" s="28"/>
      <c r="I127" s="29" t="str">
        <f>IF(AND(A127&lt;&gt;"",SUMIF(NESTING!I:I,A127,NESTING!J:J)=G127),"OK","")</f>
        <v/>
      </c>
    </row>
    <row r="128" spans="1:9">
      <c r="A128" s="29"/>
      <c r="B128" s="29"/>
      <c r="C128" s="28"/>
      <c r="D128" s="28"/>
      <c r="E128" s="29"/>
      <c r="F128" s="29"/>
      <c r="G128" s="29"/>
      <c r="H128" s="28"/>
      <c r="I128" s="29" t="str">
        <f>IF(AND(A128&lt;&gt;"",SUMIF(NESTING!I:I,A128,NESTING!J:J)=G128),"OK","")</f>
        <v/>
      </c>
    </row>
    <row r="129" spans="1:9">
      <c r="A129" s="29"/>
      <c r="B129" s="29"/>
      <c r="C129" s="28"/>
      <c r="D129" s="28"/>
      <c r="E129" s="29"/>
      <c r="F129" s="29"/>
      <c r="G129" s="29"/>
      <c r="H129" s="28"/>
      <c r="I129" s="29" t="str">
        <f>IF(AND(A129&lt;&gt;"",SUMIF(NESTING!I:I,A129,NESTING!J:J)=G129),"OK","")</f>
        <v/>
      </c>
    </row>
    <row r="130" spans="1:9">
      <c r="A130" s="29"/>
      <c r="B130" s="29"/>
      <c r="C130" s="28"/>
      <c r="D130" s="28"/>
      <c r="E130" s="29"/>
      <c r="F130" s="29"/>
      <c r="G130" s="29"/>
      <c r="H130" s="28"/>
      <c r="I130" s="29" t="str">
        <f>IF(AND(A130&lt;&gt;"",SUMIF(NESTING!I:I,A130,NESTING!J:J)=G130),"OK","")</f>
        <v/>
      </c>
    </row>
    <row r="131" spans="1:9">
      <c r="A131" s="29"/>
      <c r="B131" s="29"/>
      <c r="C131" s="28"/>
      <c r="D131" s="28"/>
      <c r="E131" s="29"/>
      <c r="F131" s="29"/>
      <c r="G131" s="29"/>
      <c r="H131" s="28"/>
      <c r="I131" s="29" t="str">
        <f>IF(AND(A131&lt;&gt;"",SUMIF(NESTING!I:I,A131,NESTING!J:J)=G131),"OK","")</f>
        <v/>
      </c>
    </row>
    <row r="132" spans="1:9">
      <c r="A132" s="29"/>
      <c r="B132" s="29"/>
      <c r="C132" s="28"/>
      <c r="D132" s="28"/>
      <c r="E132" s="29"/>
      <c r="F132" s="29"/>
      <c r="G132" s="29"/>
      <c r="H132" s="28"/>
      <c r="I132" s="29" t="str">
        <f>IF(AND(A132&lt;&gt;"",SUMIF(NESTING!I:I,A132,NESTING!J:J)=G132),"OK","")</f>
        <v/>
      </c>
    </row>
    <row r="133" spans="1:9">
      <c r="A133" s="29"/>
      <c r="B133" s="29"/>
      <c r="C133" s="28"/>
      <c r="D133" s="28"/>
      <c r="E133" s="29"/>
      <c r="F133" s="29"/>
      <c r="G133" s="29"/>
      <c r="H133" s="28"/>
      <c r="I133" s="29" t="str">
        <f>IF(AND(A133&lt;&gt;"",SUMIF(NESTING!I:I,A133,NESTING!J:J)=G133),"OK","")</f>
        <v/>
      </c>
    </row>
    <row r="134" spans="1:9">
      <c r="A134" s="29"/>
      <c r="B134" s="29"/>
      <c r="C134" s="28"/>
      <c r="D134" s="28"/>
      <c r="E134" s="29"/>
      <c r="F134" s="29"/>
      <c r="G134" s="29"/>
      <c r="H134" s="28"/>
      <c r="I134" s="29" t="str">
        <f>IF(AND(A134&lt;&gt;"",SUMIF(NESTING!I:I,A134,NESTING!J:J)=G134),"OK","")</f>
        <v/>
      </c>
    </row>
    <row r="135" spans="1:9">
      <c r="A135" s="29"/>
      <c r="B135" s="29"/>
      <c r="C135" s="28"/>
      <c r="D135" s="28"/>
      <c r="E135" s="29"/>
      <c r="F135" s="29"/>
      <c r="G135" s="29"/>
      <c r="H135" s="28"/>
      <c r="I135" s="29" t="str">
        <f>IF(AND(A135&lt;&gt;"",SUMIF(NESTING!I:I,A135,NESTING!J:J)=G135),"OK","")</f>
        <v/>
      </c>
    </row>
    <row r="136" spans="1:9">
      <c r="A136" s="29"/>
      <c r="B136" s="29"/>
      <c r="C136" s="28"/>
      <c r="D136" s="28"/>
      <c r="E136" s="29"/>
      <c r="F136" s="29"/>
      <c r="G136" s="29"/>
      <c r="H136" s="28"/>
      <c r="I136" s="29" t="str">
        <f>IF(AND(A136&lt;&gt;"",SUMIF(NESTING!I:I,A136,NESTING!J:J)=G136),"OK","")</f>
        <v/>
      </c>
    </row>
    <row r="137" spans="1:9">
      <c r="A137" s="29"/>
      <c r="B137" s="29"/>
      <c r="C137" s="28"/>
      <c r="D137" s="28"/>
      <c r="E137" s="29"/>
      <c r="F137" s="29"/>
      <c r="G137" s="29"/>
      <c r="H137" s="28"/>
      <c r="I137" s="29" t="str">
        <f>IF(AND(A137&lt;&gt;"",SUMIF(NESTING!I:I,A137,NESTING!J:J)=G137),"OK","")</f>
        <v/>
      </c>
    </row>
    <row r="138" spans="1:9">
      <c r="A138" s="29"/>
      <c r="B138" s="29"/>
      <c r="C138" s="28"/>
      <c r="D138" s="28"/>
      <c r="E138" s="29"/>
      <c r="F138" s="29"/>
      <c r="G138" s="29"/>
      <c r="H138" s="28"/>
      <c r="I138" s="29" t="str">
        <f>IF(AND(A138&lt;&gt;"",SUMIF(NESTING!I:I,A138,NESTING!J:J)=G138),"OK","")</f>
        <v/>
      </c>
    </row>
    <row r="139" spans="1:9">
      <c r="A139" s="29"/>
      <c r="B139" s="29"/>
      <c r="C139" s="28"/>
      <c r="D139" s="28"/>
      <c r="E139" s="29"/>
      <c r="F139" s="29"/>
      <c r="G139" s="29"/>
      <c r="H139" s="28"/>
      <c r="I139" s="29" t="str">
        <f>IF(AND(A139&lt;&gt;"",SUMIF(NESTING!I:I,A139,NESTING!J:J)=G139),"OK","")</f>
        <v/>
      </c>
    </row>
    <row r="140" spans="1:9">
      <c r="A140" s="29"/>
      <c r="B140" s="29"/>
      <c r="C140" s="28"/>
      <c r="D140" s="28"/>
      <c r="E140" s="29"/>
      <c r="F140" s="29"/>
      <c r="G140" s="29"/>
      <c r="H140" s="28"/>
      <c r="I140" s="29" t="str">
        <f>IF(AND(A140&lt;&gt;"",SUMIF(NESTING!I:I,A140,NESTING!J:J)=G140),"OK","")</f>
        <v/>
      </c>
    </row>
    <row r="141" spans="1:9">
      <c r="A141" s="29"/>
      <c r="B141" s="29"/>
      <c r="C141" s="28"/>
      <c r="D141" s="28"/>
      <c r="E141" s="29"/>
      <c r="F141" s="29"/>
      <c r="G141" s="29"/>
      <c r="H141" s="28"/>
      <c r="I141" s="29" t="str">
        <f>IF(AND(A141&lt;&gt;"",SUMIF(NESTING!I:I,A141,NESTING!J:J)=G141),"OK","")</f>
        <v/>
      </c>
    </row>
    <row r="142" spans="1:9">
      <c r="A142" s="29"/>
      <c r="B142" s="29"/>
      <c r="C142" s="28"/>
      <c r="D142" s="28"/>
      <c r="E142" s="29"/>
      <c r="F142" s="29"/>
      <c r="G142" s="29"/>
      <c r="H142" s="28"/>
      <c r="I142" s="29" t="str">
        <f>IF(AND(A142&lt;&gt;"",SUMIF(NESTING!I:I,A142,NESTING!J:J)=G142),"OK","")</f>
        <v/>
      </c>
    </row>
    <row r="143" spans="1:9">
      <c r="A143" s="29"/>
      <c r="B143" s="29"/>
      <c r="C143" s="28"/>
      <c r="D143" s="28"/>
      <c r="E143" s="29"/>
      <c r="F143" s="29"/>
      <c r="G143" s="29"/>
      <c r="H143" s="28"/>
      <c r="I143" s="29" t="str">
        <f>IF(AND(A143&lt;&gt;"",SUMIF(NESTING!I:I,A143,NESTING!J:J)=G143),"OK","")</f>
        <v/>
      </c>
    </row>
    <row r="144" spans="1:9">
      <c r="A144" s="29"/>
      <c r="B144" s="29"/>
      <c r="C144" s="28"/>
      <c r="D144" s="28"/>
      <c r="E144" s="29"/>
      <c r="F144" s="29"/>
      <c r="G144" s="29"/>
      <c r="H144" s="28"/>
      <c r="I144" s="29" t="str">
        <f>IF(AND(A144&lt;&gt;"",SUMIF(NESTING!I:I,A144,NESTING!J:J)=G144),"OK","")</f>
        <v/>
      </c>
    </row>
    <row r="145" spans="1:9">
      <c r="A145" s="29"/>
      <c r="B145" s="29"/>
      <c r="C145" s="28"/>
      <c r="D145" s="28"/>
      <c r="E145" s="29"/>
      <c r="F145" s="29"/>
      <c r="G145" s="29"/>
      <c r="H145" s="28"/>
      <c r="I145" s="29" t="str">
        <f>IF(AND(A145&lt;&gt;"",SUMIF(NESTING!I:I,A145,NESTING!J:J)=G145),"OK","")</f>
        <v/>
      </c>
    </row>
    <row r="146" spans="1:9">
      <c r="A146" s="29"/>
      <c r="B146" s="29"/>
      <c r="C146" s="28"/>
      <c r="D146" s="28"/>
      <c r="E146" s="29"/>
      <c r="F146" s="29"/>
      <c r="G146" s="29"/>
      <c r="H146" s="28"/>
      <c r="I146" s="29" t="str">
        <f>IF(AND(A146&lt;&gt;"",SUMIF(NESTING!I:I,A146,NESTING!J:J)=G146),"OK","")</f>
        <v/>
      </c>
    </row>
    <row r="147" spans="1:9">
      <c r="A147" s="29"/>
      <c r="B147" s="29"/>
      <c r="C147" s="28"/>
      <c r="D147" s="28"/>
      <c r="E147" s="29"/>
      <c r="F147" s="29"/>
      <c r="G147" s="29"/>
      <c r="H147" s="28"/>
      <c r="I147" s="29" t="str">
        <f>IF(AND(A147&lt;&gt;"",SUMIF(NESTING!I:I,A147,NESTING!J:J)=G147),"OK","")</f>
        <v/>
      </c>
    </row>
    <row r="148" spans="1:9">
      <c r="A148" s="29"/>
      <c r="B148" s="29"/>
      <c r="C148" s="28"/>
      <c r="D148" s="28"/>
      <c r="E148" s="29"/>
      <c r="F148" s="29"/>
      <c r="G148" s="29"/>
      <c r="H148" s="28"/>
      <c r="I148" s="29" t="str">
        <f>IF(AND(A148&lt;&gt;"",SUMIF(NESTING!I:I,A148,NESTING!J:J)=G148),"OK","")</f>
        <v/>
      </c>
    </row>
    <row r="149" spans="1:9">
      <c r="A149" s="29"/>
      <c r="B149" s="29"/>
      <c r="C149" s="28"/>
      <c r="D149" s="28"/>
      <c r="E149" s="29"/>
      <c r="F149" s="29"/>
      <c r="G149" s="29"/>
      <c r="H149" s="28"/>
      <c r="I149" s="29" t="str">
        <f>IF(AND(A149&lt;&gt;"",SUMIF(NESTING!I:I,A149,NESTING!J:J)=G149),"OK","")</f>
        <v/>
      </c>
    </row>
    <row r="150" spans="1:9">
      <c r="A150" s="29"/>
      <c r="B150" s="29"/>
      <c r="C150" s="28"/>
      <c r="D150" s="28"/>
      <c r="E150" s="29"/>
      <c r="F150" s="29"/>
      <c r="G150" s="29"/>
      <c r="H150" s="28"/>
      <c r="I150" s="29" t="str">
        <f>IF(AND(A150&lt;&gt;"",SUMIF(NESTING!I:I,A150,NESTING!J:J)=G150),"OK","")</f>
        <v/>
      </c>
    </row>
    <row r="151" spans="1:9">
      <c r="A151" s="29"/>
      <c r="B151" s="29"/>
      <c r="C151" s="28"/>
      <c r="D151" s="28"/>
      <c r="E151" s="29"/>
      <c r="F151" s="29"/>
      <c r="G151" s="29"/>
      <c r="H151" s="28"/>
      <c r="I151" s="29" t="str">
        <f>IF(AND(A151&lt;&gt;"",SUMIF(NESTING!I:I,A151,NESTING!J:J)=G151),"OK","")</f>
        <v/>
      </c>
    </row>
    <row r="152" spans="1:9">
      <c r="A152" s="29"/>
      <c r="B152" s="29"/>
      <c r="C152" s="28"/>
      <c r="D152" s="28"/>
      <c r="E152" s="29"/>
      <c r="F152" s="29"/>
      <c r="G152" s="29"/>
      <c r="H152" s="28"/>
      <c r="I152" s="29" t="str">
        <f>IF(AND(A152&lt;&gt;"",SUMIF(NESTING!I:I,A152,NESTING!J:J)=G152),"OK","")</f>
        <v/>
      </c>
    </row>
    <row r="153" spans="1:9">
      <c r="A153" s="29"/>
      <c r="B153" s="29"/>
      <c r="C153" s="28"/>
      <c r="D153" s="28"/>
      <c r="E153" s="29"/>
      <c r="F153" s="29"/>
      <c r="G153" s="29"/>
      <c r="H153" s="28"/>
      <c r="I153" s="29" t="str">
        <f>IF(AND(A153&lt;&gt;"",SUMIF(NESTING!I:I,A153,NESTING!J:J)=G153),"OK","")</f>
        <v/>
      </c>
    </row>
    <row r="154" spans="1:9">
      <c r="A154" s="29"/>
      <c r="B154" s="29"/>
      <c r="C154" s="28"/>
      <c r="D154" s="28"/>
      <c r="E154" s="29"/>
      <c r="F154" s="29"/>
      <c r="G154" s="29"/>
      <c r="H154" s="28"/>
      <c r="I154" s="29" t="str">
        <f>IF(AND(A154&lt;&gt;"",SUMIF(NESTING!I:I,A154,NESTING!J:J)=G154),"OK","")</f>
        <v/>
      </c>
    </row>
    <row r="155" spans="1:9">
      <c r="A155" s="29"/>
      <c r="B155" s="29"/>
      <c r="C155" s="28"/>
      <c r="D155" s="28"/>
      <c r="E155" s="29"/>
      <c r="F155" s="29"/>
      <c r="G155" s="29"/>
      <c r="H155" s="28"/>
      <c r="I155" s="29" t="str">
        <f>IF(AND(A155&lt;&gt;"",SUMIF(NESTING!I:I,A155,NESTING!J:J)=G155),"OK","")</f>
        <v/>
      </c>
    </row>
    <row r="156" spans="1:9">
      <c r="A156" s="29"/>
      <c r="B156" s="29"/>
      <c r="C156" s="28"/>
      <c r="D156" s="28"/>
      <c r="E156" s="29"/>
      <c r="F156" s="29"/>
      <c r="G156" s="29"/>
      <c r="H156" s="28"/>
      <c r="I156" s="29" t="str">
        <f>IF(AND(A156&lt;&gt;"",SUMIF(NESTING!I:I,A156,NESTING!J:J)=G156),"OK","")</f>
        <v/>
      </c>
    </row>
    <row r="157" spans="1:9">
      <c r="A157" s="29"/>
      <c r="B157" s="29"/>
      <c r="C157" s="28"/>
      <c r="D157" s="28"/>
      <c r="E157" s="29"/>
      <c r="F157" s="29"/>
      <c r="G157" s="29"/>
      <c r="H157" s="28"/>
      <c r="I157" s="29" t="str">
        <f>IF(AND(A157&lt;&gt;"",SUMIF(NESTING!I:I,A157,NESTING!J:J)=G157),"OK","")</f>
        <v/>
      </c>
    </row>
    <row r="158" spans="1:9">
      <c r="A158" s="29"/>
      <c r="B158" s="29"/>
      <c r="C158" s="28"/>
      <c r="D158" s="28"/>
      <c r="E158" s="29"/>
      <c r="F158" s="29"/>
      <c r="G158" s="29"/>
      <c r="H158" s="28"/>
      <c r="I158" s="29" t="str">
        <f>IF(AND(A158&lt;&gt;"",SUMIF(NESTING!I:I,A158,NESTING!J:J)=G158),"OK","")</f>
        <v/>
      </c>
    </row>
    <row r="159" spans="1:9">
      <c r="A159" s="29"/>
      <c r="B159" s="29"/>
      <c r="C159" s="28"/>
      <c r="D159" s="28"/>
      <c r="E159" s="29"/>
      <c r="F159" s="29"/>
      <c r="G159" s="29"/>
      <c r="H159" s="28"/>
      <c r="I159" s="29" t="str">
        <f>IF(AND(A159&lt;&gt;"",SUMIF(NESTING!I:I,A159,NESTING!J:J)=G159),"OK","")</f>
        <v/>
      </c>
    </row>
    <row r="160" spans="1:9">
      <c r="A160" s="29"/>
      <c r="B160" s="29"/>
      <c r="C160" s="28"/>
      <c r="D160" s="28"/>
      <c r="E160" s="29"/>
      <c r="F160" s="29"/>
      <c r="G160" s="29"/>
      <c r="H160" s="28"/>
      <c r="I160" s="29" t="str">
        <f>IF(AND(A160&lt;&gt;"",SUMIF(NESTING!I:I,A160,NESTING!J:J)=G160),"OK","")</f>
        <v/>
      </c>
    </row>
    <row r="161" spans="1:9">
      <c r="A161" s="29"/>
      <c r="B161" s="29"/>
      <c r="C161" s="28"/>
      <c r="D161" s="28"/>
      <c r="E161" s="29"/>
      <c r="F161" s="29"/>
      <c r="G161" s="29"/>
      <c r="H161" s="28"/>
      <c r="I161" s="29" t="str">
        <f>IF(AND(A161&lt;&gt;"",SUMIF(NESTING!I:I,A161,NESTING!J:J)=G161),"OK","")</f>
        <v/>
      </c>
    </row>
    <row r="162" spans="1:9">
      <c r="A162" s="29"/>
      <c r="B162" s="29"/>
      <c r="C162" s="28"/>
      <c r="D162" s="28"/>
      <c r="E162" s="29"/>
      <c r="F162" s="29"/>
      <c r="G162" s="29"/>
      <c r="H162" s="28"/>
      <c r="I162" s="29" t="str">
        <f>IF(AND(A162&lt;&gt;"",SUMIF(NESTING!I:I,A162,NESTING!J:J)=G162),"OK","")</f>
        <v/>
      </c>
    </row>
    <row r="163" spans="1:9">
      <c r="A163" s="29"/>
      <c r="B163" s="29"/>
      <c r="C163" s="28"/>
      <c r="D163" s="28"/>
      <c r="E163" s="29"/>
      <c r="F163" s="29"/>
      <c r="G163" s="29"/>
      <c r="H163" s="28"/>
      <c r="I163" s="29" t="str">
        <f>IF(AND(A163&lt;&gt;"",SUMIF(NESTING!I:I,A163,NESTING!J:J)=G163),"OK","")</f>
        <v/>
      </c>
    </row>
    <row r="164" spans="1:9">
      <c r="A164" s="29"/>
      <c r="B164" s="29"/>
      <c r="C164" s="28"/>
      <c r="D164" s="28"/>
      <c r="E164" s="29"/>
      <c r="F164" s="29"/>
      <c r="G164" s="29"/>
      <c r="H164" s="28"/>
      <c r="I164" s="29" t="str">
        <f>IF(AND(A164&lt;&gt;"",SUMIF(NESTING!I:I,A164,NESTING!J:J)=G164),"OK","")</f>
        <v/>
      </c>
    </row>
    <row r="165" spans="1:9">
      <c r="A165" s="29"/>
      <c r="B165" s="29"/>
      <c r="C165" s="28"/>
      <c r="D165" s="28"/>
      <c r="E165" s="29"/>
      <c r="F165" s="29"/>
      <c r="G165" s="29"/>
      <c r="H165" s="28"/>
      <c r="I165" s="29" t="str">
        <f>IF(AND(A165&lt;&gt;"",SUMIF(NESTING!I:I,A165,NESTING!J:J)=G165),"OK","")</f>
        <v/>
      </c>
    </row>
    <row r="166" spans="1:9">
      <c r="A166" s="29"/>
      <c r="B166" s="29"/>
      <c r="C166" s="28"/>
      <c r="D166" s="28"/>
      <c r="E166" s="29"/>
      <c r="F166" s="29"/>
      <c r="G166" s="29"/>
      <c r="H166" s="28"/>
      <c r="I166" s="29" t="str">
        <f>IF(AND(A166&lt;&gt;"",SUMIF(NESTING!I:I,A166,NESTING!J:J)=G166),"OK","")</f>
        <v/>
      </c>
    </row>
    <row r="167" spans="1:9">
      <c r="A167" s="29"/>
      <c r="B167" s="29"/>
      <c r="C167" s="28"/>
      <c r="D167" s="28"/>
      <c r="E167" s="29"/>
      <c r="F167" s="29"/>
      <c r="G167" s="29"/>
      <c r="H167" s="28"/>
      <c r="I167" s="29" t="str">
        <f>IF(AND(A167&lt;&gt;"",SUMIF(NESTING!I:I,A167,NESTING!J:J)=G167),"OK","")</f>
        <v/>
      </c>
    </row>
    <row r="168" spans="1:9">
      <c r="A168" s="29"/>
      <c r="B168" s="29"/>
      <c r="C168" s="28"/>
      <c r="D168" s="28"/>
      <c r="E168" s="29"/>
      <c r="F168" s="29"/>
      <c r="G168" s="29"/>
      <c r="H168" s="28"/>
      <c r="I168" s="29" t="str">
        <f>IF(AND(A168&lt;&gt;"",SUMIF(NESTING!I:I,A168,NESTING!J:J)=G168),"OK","")</f>
        <v/>
      </c>
    </row>
    <row r="169" spans="1:9">
      <c r="A169" s="29"/>
      <c r="B169" s="29"/>
      <c r="C169" s="28"/>
      <c r="D169" s="28"/>
      <c r="E169" s="29"/>
      <c r="F169" s="29"/>
      <c r="G169" s="29"/>
      <c r="H169" s="28"/>
      <c r="I169" s="29" t="str">
        <f>IF(AND(A169&lt;&gt;"",SUMIF(NESTING!I:I,A169,NESTING!J:J)=G169),"OK","")</f>
        <v/>
      </c>
    </row>
    <row r="170" spans="1:9">
      <c r="A170" s="29"/>
      <c r="B170" s="29"/>
      <c r="C170" s="28"/>
      <c r="D170" s="28"/>
      <c r="E170" s="29"/>
      <c r="F170" s="29"/>
      <c r="G170" s="29"/>
      <c r="H170" s="28"/>
      <c r="I170" s="29" t="str">
        <f>IF(AND(A170&lt;&gt;"",SUMIF(NESTING!I:I,A170,NESTING!J:J)=G170),"OK","")</f>
        <v/>
      </c>
    </row>
    <row r="171" spans="1:9">
      <c r="A171" s="29"/>
      <c r="B171" s="29"/>
      <c r="C171" s="28"/>
      <c r="D171" s="28"/>
      <c r="E171" s="29"/>
      <c r="F171" s="29"/>
      <c r="G171" s="29"/>
      <c r="H171" s="28"/>
      <c r="I171" s="29" t="str">
        <f>IF(AND(A171&lt;&gt;"",SUMIF(NESTING!I:I,A171,NESTING!J:J)=G171),"OK","")</f>
        <v/>
      </c>
    </row>
    <row r="172" spans="1:9">
      <c r="A172" s="29"/>
      <c r="B172" s="29"/>
      <c r="C172" s="28"/>
      <c r="D172" s="28"/>
      <c r="E172" s="29"/>
      <c r="F172" s="29"/>
      <c r="G172" s="29"/>
      <c r="H172" s="28"/>
      <c r="I172" s="29" t="str">
        <f>IF(AND(A172&lt;&gt;"",SUMIF(NESTING!I:I,A172,NESTING!J:J)=G172),"OK","")</f>
        <v/>
      </c>
    </row>
    <row r="173" spans="1:9">
      <c r="A173" s="29"/>
      <c r="B173" s="29"/>
      <c r="C173" s="28"/>
      <c r="D173" s="28"/>
      <c r="E173" s="29"/>
      <c r="F173" s="29"/>
      <c r="G173" s="29"/>
      <c r="H173" s="28"/>
      <c r="I173" s="29" t="str">
        <f>IF(AND(A173&lt;&gt;"",SUMIF(NESTING!I:I,A173,NESTING!J:J)=G173),"OK","")</f>
        <v/>
      </c>
    </row>
    <row r="174" spans="1:9">
      <c r="A174" s="29"/>
      <c r="B174" s="29"/>
      <c r="C174" s="28"/>
      <c r="D174" s="28"/>
      <c r="E174" s="29"/>
      <c r="F174" s="29"/>
      <c r="G174" s="29"/>
      <c r="H174" s="28"/>
      <c r="I174" s="29" t="str">
        <f>IF(AND(A174&lt;&gt;"",SUMIF(NESTING!I:I,A174,NESTING!J:J)=G174),"OK","")</f>
        <v/>
      </c>
    </row>
    <row r="175" spans="1:9">
      <c r="A175" s="29"/>
      <c r="B175" s="29"/>
      <c r="C175" s="28"/>
      <c r="D175" s="28"/>
      <c r="E175" s="29"/>
      <c r="F175" s="29"/>
      <c r="G175" s="29"/>
      <c r="H175" s="28"/>
      <c r="I175" s="29" t="str">
        <f>IF(AND(A175&lt;&gt;"",SUMIF(NESTING!I:I,A175,NESTING!J:J)=G175),"OK","")</f>
        <v/>
      </c>
    </row>
    <row r="176" spans="1:9">
      <c r="A176" s="29"/>
      <c r="B176" s="29"/>
      <c r="C176" s="28"/>
      <c r="D176" s="28"/>
      <c r="E176" s="29"/>
      <c r="F176" s="29"/>
      <c r="G176" s="29"/>
      <c r="H176" s="28"/>
      <c r="I176" s="29" t="str">
        <f>IF(AND(A176&lt;&gt;"",SUMIF(NESTING!I:I,A176,NESTING!J:J)=G176),"OK","")</f>
        <v/>
      </c>
    </row>
    <row r="177" spans="1:9">
      <c r="A177" s="29"/>
      <c r="B177" s="29"/>
      <c r="C177" s="28"/>
      <c r="D177" s="28"/>
      <c r="E177" s="29"/>
      <c r="F177" s="29"/>
      <c r="G177" s="29"/>
      <c r="H177" s="28"/>
      <c r="I177" s="29" t="str">
        <f>IF(AND(A177&lt;&gt;"",SUMIF(NESTING!I:I,A177,NESTING!J:J)=G177),"OK","")</f>
        <v/>
      </c>
    </row>
    <row r="178" spans="1:9">
      <c r="A178" s="29"/>
      <c r="B178" s="29"/>
      <c r="C178" s="28"/>
      <c r="D178" s="28"/>
      <c r="E178" s="29"/>
      <c r="F178" s="29"/>
      <c r="G178" s="29"/>
      <c r="H178" s="28"/>
      <c r="I178" s="29" t="str">
        <f>IF(AND(A178&lt;&gt;"",SUMIF(NESTING!I:I,A178,NESTING!J:J)=G178),"OK","")</f>
        <v/>
      </c>
    </row>
    <row r="179" spans="1:9">
      <c r="A179" s="29"/>
      <c r="B179" s="29"/>
      <c r="C179" s="28"/>
      <c r="D179" s="28"/>
      <c r="E179" s="29"/>
      <c r="F179" s="29"/>
      <c r="G179" s="29"/>
      <c r="H179" s="28"/>
      <c r="I179" s="29" t="str">
        <f>IF(AND(A179&lt;&gt;"",SUMIF(NESTING!I:I,A179,NESTING!J:J)=G179),"OK","")</f>
        <v/>
      </c>
    </row>
    <row r="180" spans="1:9">
      <c r="A180" s="29"/>
      <c r="B180" s="29"/>
      <c r="C180" s="28"/>
      <c r="D180" s="28"/>
      <c r="E180" s="29"/>
      <c r="F180" s="29"/>
      <c r="G180" s="29"/>
      <c r="H180" s="28"/>
      <c r="I180" s="29" t="str">
        <f>IF(AND(A180&lt;&gt;"",SUMIF(NESTING!I:I,A180,NESTING!J:J)=G180),"OK","")</f>
        <v/>
      </c>
    </row>
    <row r="181" spans="1:9">
      <c r="A181" s="29"/>
      <c r="B181" s="29"/>
      <c r="C181" s="28"/>
      <c r="D181" s="28"/>
      <c r="E181" s="29"/>
      <c r="F181" s="29"/>
      <c r="G181" s="29"/>
      <c r="H181" s="28"/>
      <c r="I181" s="29" t="str">
        <f>IF(AND(A181&lt;&gt;"",SUMIF(NESTING!I:I,A181,NESTING!J:J)=G181),"OK","")</f>
        <v/>
      </c>
    </row>
    <row r="182" spans="1:9">
      <c r="A182" s="29"/>
      <c r="B182" s="29"/>
      <c r="C182" s="28"/>
      <c r="D182" s="28"/>
      <c r="E182" s="29"/>
      <c r="F182" s="29"/>
      <c r="G182" s="29"/>
      <c r="H182" s="28"/>
      <c r="I182" s="29" t="str">
        <f>IF(AND(A182&lt;&gt;"",SUMIF(NESTING!I:I,A182,NESTING!J:J)=G182),"OK","")</f>
        <v/>
      </c>
    </row>
    <row r="183" spans="1:9">
      <c r="A183" s="29"/>
      <c r="B183" s="29"/>
      <c r="C183" s="28"/>
      <c r="D183" s="28"/>
      <c r="E183" s="29"/>
      <c r="F183" s="29"/>
      <c r="G183" s="29"/>
      <c r="H183" s="28"/>
      <c r="I183" s="29" t="str">
        <f>IF(AND(A183&lt;&gt;"",SUMIF(NESTING!I:I,A183,NESTING!J:J)=G183),"OK","")</f>
        <v/>
      </c>
    </row>
    <row r="184" spans="1:9">
      <c r="A184" s="29"/>
      <c r="B184" s="29"/>
      <c r="C184" s="28"/>
      <c r="D184" s="28"/>
      <c r="E184" s="29"/>
      <c r="F184" s="29"/>
      <c r="G184" s="29"/>
      <c r="H184" s="28"/>
      <c r="I184" s="29" t="str">
        <f>IF(AND(A184&lt;&gt;"",SUMIF(NESTING!I:I,A184,NESTING!J:J)=G184),"OK","")</f>
        <v/>
      </c>
    </row>
    <row r="185" spans="1:9">
      <c r="A185" s="29"/>
      <c r="B185" s="29"/>
      <c r="C185" s="28"/>
      <c r="D185" s="28"/>
      <c r="E185" s="29"/>
      <c r="F185" s="29"/>
      <c r="G185" s="29"/>
      <c r="H185" s="28"/>
      <c r="I185" s="29" t="str">
        <f>IF(AND(A185&lt;&gt;"",SUMIF(NESTING!I:I,A185,NESTING!J:J)=G185),"OK","")</f>
        <v/>
      </c>
    </row>
    <row r="186" spans="1:9">
      <c r="A186" s="29"/>
      <c r="B186" s="29"/>
      <c r="C186" s="28"/>
      <c r="D186" s="28"/>
      <c r="E186" s="29"/>
      <c r="F186" s="29"/>
      <c r="G186" s="29"/>
      <c r="H186" s="28"/>
      <c r="I186" s="29" t="str">
        <f>IF(AND(A186&lt;&gt;"",SUMIF(NESTING!I:I,A186,NESTING!J:J)=G186),"OK","")</f>
        <v/>
      </c>
    </row>
    <row r="187" spans="1:9">
      <c r="A187" s="29"/>
      <c r="B187" s="29"/>
      <c r="C187" s="28"/>
      <c r="D187" s="28"/>
      <c r="E187" s="29"/>
      <c r="F187" s="29"/>
      <c r="G187" s="29"/>
      <c r="H187" s="28"/>
      <c r="I187" s="29" t="str">
        <f>IF(AND(A187&lt;&gt;"",SUMIF(NESTING!I:I,A187,NESTING!J:J)=G187),"OK","")</f>
        <v/>
      </c>
    </row>
    <row r="188" spans="1:9">
      <c r="A188" s="29"/>
      <c r="B188" s="29"/>
      <c r="C188" s="28"/>
      <c r="D188" s="28"/>
      <c r="E188" s="29"/>
      <c r="F188" s="29"/>
      <c r="G188" s="29"/>
      <c r="H188" s="28"/>
      <c r="I188" s="29" t="str">
        <f>IF(AND(A188&lt;&gt;"",SUMIF(NESTING!I:I,A188,NESTING!J:J)=G188),"OK","")</f>
        <v/>
      </c>
    </row>
    <row r="189" spans="1:9">
      <c r="A189" s="29"/>
      <c r="B189" s="29"/>
      <c r="C189" s="28"/>
      <c r="D189" s="28"/>
      <c r="E189" s="29"/>
      <c r="F189" s="29"/>
      <c r="G189" s="29"/>
      <c r="H189" s="28"/>
      <c r="I189" s="29" t="str">
        <f>IF(AND(A189&lt;&gt;"",SUMIF(NESTING!I:I,A189,NESTING!J:J)=G189),"OK","")</f>
        <v/>
      </c>
    </row>
    <row r="190" spans="1:9">
      <c r="A190" s="29"/>
      <c r="B190" s="29"/>
      <c r="C190" s="28"/>
      <c r="D190" s="28"/>
      <c r="E190" s="29"/>
      <c r="F190" s="29"/>
      <c r="G190" s="29"/>
      <c r="H190" s="28"/>
      <c r="I190" s="29" t="str">
        <f>IF(AND(A190&lt;&gt;"",SUMIF(NESTING!I:I,A190,NESTING!J:J)=G190),"OK","")</f>
        <v/>
      </c>
    </row>
    <row r="191" spans="1:9">
      <c r="A191" s="29"/>
      <c r="B191" s="29"/>
      <c r="C191" s="28"/>
      <c r="D191" s="28"/>
      <c r="E191" s="29"/>
      <c r="F191" s="29"/>
      <c r="G191" s="29"/>
      <c r="H191" s="28"/>
      <c r="I191" s="29" t="str">
        <f>IF(AND(A191&lt;&gt;"",SUMIF(NESTING!I:I,A191,NESTING!J:J)=G191),"OK","")</f>
        <v/>
      </c>
    </row>
    <row r="192" spans="1:9">
      <c r="A192" s="29"/>
      <c r="B192" s="29"/>
      <c r="C192" s="28"/>
      <c r="D192" s="28"/>
      <c r="E192" s="29"/>
      <c r="F192" s="29"/>
      <c r="G192" s="29"/>
      <c r="H192" s="28"/>
      <c r="I192" s="29" t="str">
        <f>IF(AND(A192&lt;&gt;"",SUMIF(NESTING!I:I,A192,NESTING!J:J)=G192),"OK","")</f>
        <v/>
      </c>
    </row>
    <row r="193" spans="1:9">
      <c r="A193" s="29"/>
      <c r="B193" s="29"/>
      <c r="C193" s="28"/>
      <c r="D193" s="28"/>
      <c r="E193" s="29"/>
      <c r="F193" s="29"/>
      <c r="G193" s="29"/>
      <c r="H193" s="28"/>
      <c r="I193" s="29" t="str">
        <f>IF(AND(A193&lt;&gt;"",SUMIF(NESTING!I:I,A193,NESTING!J:J)=G193),"OK","")</f>
        <v/>
      </c>
    </row>
    <row r="194" spans="1:9">
      <c r="A194" s="29"/>
      <c r="B194" s="29"/>
      <c r="C194" s="28"/>
      <c r="D194" s="28"/>
      <c r="E194" s="29"/>
      <c r="F194" s="29"/>
      <c r="G194" s="29"/>
      <c r="H194" s="28"/>
      <c r="I194" s="29" t="str">
        <f>IF(AND(A194&lt;&gt;"",SUMIF(NESTING!I:I,A194,NESTING!J:J)=G194),"OK","")</f>
        <v/>
      </c>
    </row>
    <row r="195" spans="1:9">
      <c r="A195" s="29"/>
      <c r="B195" s="29"/>
      <c r="C195" s="28"/>
      <c r="D195" s="28"/>
      <c r="E195" s="29"/>
      <c r="F195" s="29"/>
      <c r="G195" s="29"/>
      <c r="H195" s="28"/>
      <c r="I195" s="29" t="str">
        <f>IF(AND(A195&lt;&gt;"",SUMIF(NESTING!I:I,A195,NESTING!J:J)=G195),"OK","")</f>
        <v/>
      </c>
    </row>
    <row r="196" spans="1:9">
      <c r="A196" s="29"/>
      <c r="B196" s="29"/>
      <c r="C196" s="28"/>
      <c r="D196" s="28"/>
      <c r="E196" s="29"/>
      <c r="F196" s="29"/>
      <c r="G196" s="29"/>
      <c r="H196" s="28"/>
      <c r="I196" s="29" t="str">
        <f>IF(AND(A196&lt;&gt;"",SUMIF(NESTING!I:I,A196,NESTING!J:J)=G196),"OK","")</f>
        <v/>
      </c>
    </row>
    <row r="197" spans="1:9">
      <c r="A197" s="29"/>
      <c r="B197" s="29"/>
      <c r="C197" s="28"/>
      <c r="D197" s="28"/>
      <c r="E197" s="29"/>
      <c r="F197" s="29"/>
      <c r="G197" s="29"/>
      <c r="H197" s="28"/>
      <c r="I197" s="29" t="str">
        <f>IF(AND(A197&lt;&gt;"",SUMIF(NESTING!I:I,A197,NESTING!J:J)=G197),"OK","")</f>
        <v/>
      </c>
    </row>
    <row r="198" spans="1:9">
      <c r="A198" s="29"/>
      <c r="B198" s="29"/>
      <c r="C198" s="28"/>
      <c r="D198" s="28"/>
      <c r="E198" s="29"/>
      <c r="F198" s="29"/>
      <c r="G198" s="29"/>
      <c r="H198" s="28"/>
      <c r="I198" s="29" t="str">
        <f>IF(AND(A198&lt;&gt;"",SUMIF(NESTING!I:I,A198,NESTING!J:J)=G198),"OK","")</f>
        <v/>
      </c>
    </row>
    <row r="199" spans="1:9">
      <c r="A199" s="29"/>
      <c r="B199" s="29"/>
      <c r="C199" s="28"/>
      <c r="D199" s="28"/>
      <c r="E199" s="29"/>
      <c r="F199" s="29"/>
      <c r="G199" s="29"/>
      <c r="H199" s="28"/>
      <c r="I199" s="29" t="str">
        <f>IF(AND(A199&lt;&gt;"",SUMIF(NESTING!I:I,A199,NESTING!J:J)=G199),"OK","")</f>
        <v/>
      </c>
    </row>
    <row r="200" spans="1:9">
      <c r="A200" s="29"/>
      <c r="B200" s="29"/>
      <c r="C200" s="28"/>
      <c r="D200" s="28"/>
      <c r="E200" s="29"/>
      <c r="F200" s="29"/>
      <c r="G200" s="29"/>
      <c r="H200" s="28"/>
      <c r="I200" s="29" t="str">
        <f>IF(AND(A200&lt;&gt;"",SUMIF(NESTING!I:I,A200,NESTING!J:J)=G200),"OK","")</f>
        <v/>
      </c>
    </row>
    <row r="201" spans="1:9">
      <c r="A201" s="29"/>
      <c r="B201" s="29"/>
      <c r="C201" s="28"/>
      <c r="D201" s="28"/>
      <c r="E201" s="29"/>
      <c r="F201" s="29"/>
      <c r="G201" s="29"/>
      <c r="H201" s="28"/>
      <c r="I201" s="29" t="str">
        <f>IF(AND(A201&lt;&gt;"",SUMIF(NESTING!I:I,A201,NESTING!J:J)=G201),"OK","")</f>
        <v/>
      </c>
    </row>
    <row r="202" spans="1:9">
      <c r="A202" s="29"/>
      <c r="B202" s="29"/>
      <c r="C202" s="28"/>
      <c r="D202" s="28"/>
      <c r="E202" s="29"/>
      <c r="F202" s="29"/>
      <c r="G202" s="29"/>
      <c r="H202" s="28"/>
      <c r="I202" s="29" t="str">
        <f>IF(AND(A202&lt;&gt;"",SUMIF(NESTING!I:I,A202,NESTING!J:J)=G202),"OK","")</f>
        <v/>
      </c>
    </row>
    <row r="203" spans="1:9">
      <c r="A203" s="29"/>
      <c r="B203" s="29"/>
      <c r="C203" s="28"/>
      <c r="D203" s="28"/>
      <c r="E203" s="29"/>
      <c r="F203" s="29"/>
      <c r="G203" s="29"/>
      <c r="H203" s="28"/>
      <c r="I203" s="29" t="str">
        <f>IF(AND(A203&lt;&gt;"",SUMIF(NESTING!I:I,A203,NESTING!J:J)=G203),"OK","")</f>
        <v/>
      </c>
    </row>
    <row r="204" spans="1:9">
      <c r="A204" s="29"/>
      <c r="B204" s="29"/>
      <c r="C204" s="28"/>
      <c r="D204" s="28"/>
      <c r="E204" s="29"/>
      <c r="F204" s="29"/>
      <c r="G204" s="29"/>
      <c r="H204" s="28"/>
      <c r="I204" s="29" t="str">
        <f>IF(AND(A204&lt;&gt;"",SUMIF(NESTING!I:I,A204,NESTING!J:J)=G204),"OK","")</f>
        <v/>
      </c>
    </row>
    <row r="205" spans="1:9">
      <c r="A205" s="29"/>
      <c r="B205" s="29"/>
      <c r="C205" s="28"/>
      <c r="D205" s="28"/>
      <c r="E205" s="29"/>
      <c r="F205" s="29"/>
      <c r="G205" s="29"/>
      <c r="H205" s="28"/>
      <c r="I205" s="29" t="str">
        <f>IF(AND(A205&lt;&gt;"",SUMIF(NESTING!I:I,A205,NESTING!J:J)=G205),"OK","")</f>
        <v/>
      </c>
    </row>
    <row r="206" spans="1:9">
      <c r="A206" s="29"/>
      <c r="B206" s="29"/>
      <c r="C206" s="28"/>
      <c r="D206" s="28"/>
      <c r="E206" s="29"/>
      <c r="F206" s="29"/>
      <c r="G206" s="29"/>
      <c r="H206" s="28"/>
      <c r="I206" s="29" t="str">
        <f>IF(AND(A206&lt;&gt;"",SUMIF(NESTING!I:I,A206,NESTING!J:J)=G206),"OK","")</f>
        <v/>
      </c>
    </row>
    <row r="207" spans="1:9">
      <c r="A207" s="29"/>
      <c r="B207" s="29"/>
      <c r="C207" s="28"/>
      <c r="D207" s="28"/>
      <c r="E207" s="29"/>
      <c r="F207" s="29"/>
      <c r="G207" s="29"/>
      <c r="H207" s="28"/>
      <c r="I207" s="29" t="str">
        <f>IF(AND(A207&lt;&gt;"",SUMIF(NESTING!I:I,A207,NESTING!J:J)=G207),"OK","")</f>
        <v/>
      </c>
    </row>
    <row r="208" spans="1:9">
      <c r="A208" s="29"/>
      <c r="B208" s="29"/>
      <c r="C208" s="28"/>
      <c r="D208" s="28"/>
      <c r="E208" s="29"/>
      <c r="F208" s="29"/>
      <c r="G208" s="29"/>
      <c r="H208" s="28"/>
      <c r="I208" s="29" t="str">
        <f>IF(AND(A208&lt;&gt;"",SUMIF(NESTING!I:I,A208,NESTING!J:J)=G208),"OK","")</f>
        <v/>
      </c>
    </row>
    <row r="209" spans="1:9">
      <c r="A209" s="29"/>
      <c r="B209" s="29"/>
      <c r="C209" s="28"/>
      <c r="D209" s="28"/>
      <c r="E209" s="29"/>
      <c r="F209" s="29"/>
      <c r="G209" s="29"/>
      <c r="H209" s="28"/>
      <c r="I209" s="29" t="str">
        <f>IF(AND(A209&lt;&gt;"",SUMIF(NESTING!I:I,A209,NESTING!J:J)=G209),"OK","")</f>
        <v/>
      </c>
    </row>
    <row r="210" spans="1:9">
      <c r="A210" s="29"/>
      <c r="B210" s="29"/>
      <c r="C210" s="28"/>
      <c r="D210" s="28"/>
      <c r="E210" s="29"/>
      <c r="F210" s="29"/>
      <c r="G210" s="29"/>
      <c r="H210" s="28"/>
      <c r="I210" s="29" t="str">
        <f>IF(AND(A210&lt;&gt;"",SUMIF(NESTING!I:I,A210,NESTING!J:J)=G210),"OK","")</f>
        <v/>
      </c>
    </row>
    <row r="211" spans="1:9">
      <c r="A211" s="29"/>
      <c r="B211" s="29"/>
      <c r="C211" s="28"/>
      <c r="D211" s="28"/>
      <c r="E211" s="29"/>
      <c r="F211" s="29"/>
      <c r="G211" s="29"/>
      <c r="H211" s="28"/>
      <c r="I211" s="29" t="str">
        <f>IF(AND(A211&lt;&gt;"",SUMIF(NESTING!I:I,A211,NESTING!J:J)=G211),"OK","")</f>
        <v/>
      </c>
    </row>
    <row r="212" spans="1:9">
      <c r="A212" s="29"/>
      <c r="B212" s="29"/>
      <c r="C212" s="28"/>
      <c r="D212" s="28"/>
      <c r="E212" s="29"/>
      <c r="F212" s="29"/>
      <c r="G212" s="29"/>
      <c r="H212" s="28"/>
      <c r="I212" s="29" t="str">
        <f>IF(AND(A212&lt;&gt;"",SUMIF(NESTING!I:I,A212,NESTING!J:J)=G212),"OK","")</f>
        <v/>
      </c>
    </row>
    <row r="213" spans="1:9">
      <c r="A213" s="29"/>
      <c r="B213" s="29"/>
      <c r="C213" s="28"/>
      <c r="D213" s="28"/>
      <c r="E213" s="29"/>
      <c r="F213" s="29"/>
      <c r="G213" s="29"/>
      <c r="H213" s="28"/>
      <c r="I213" s="29" t="str">
        <f>IF(AND(A213&lt;&gt;"",SUMIF(NESTING!I:I,A213,NESTING!J:J)=G213),"OK","")</f>
        <v/>
      </c>
    </row>
    <row r="214" spans="1:9">
      <c r="A214" s="29"/>
      <c r="B214" s="29"/>
      <c r="C214" s="28"/>
      <c r="D214" s="28"/>
      <c r="E214" s="29"/>
      <c r="F214" s="29"/>
      <c r="G214" s="29"/>
      <c r="H214" s="28"/>
      <c r="I214" s="29" t="str">
        <f>IF(AND(A214&lt;&gt;"",SUMIF(NESTING!I:I,A214,NESTING!J:J)=G214),"OK","")</f>
        <v/>
      </c>
    </row>
    <row r="215" spans="1:9">
      <c r="A215" s="29"/>
      <c r="B215" s="29"/>
      <c r="C215" s="28"/>
      <c r="D215" s="28"/>
      <c r="E215" s="29"/>
      <c r="F215" s="29"/>
      <c r="G215" s="29"/>
      <c r="H215" s="28"/>
      <c r="I215" s="29" t="str">
        <f>IF(AND(A215&lt;&gt;"",SUMIF(NESTING!I:I,A215,NESTING!J:J)=G215),"OK","")</f>
        <v/>
      </c>
    </row>
    <row r="216" spans="1:9">
      <c r="A216" s="29"/>
      <c r="B216" s="29"/>
      <c r="C216" s="28"/>
      <c r="D216" s="28"/>
      <c r="E216" s="29"/>
      <c r="F216" s="29"/>
      <c r="G216" s="29"/>
      <c r="H216" s="28"/>
      <c r="I216" s="29" t="str">
        <f>IF(AND(A216&lt;&gt;"",SUMIF(NESTING!I:I,A216,NESTING!J:J)=G216),"OK","")</f>
        <v/>
      </c>
    </row>
    <row r="217" spans="1:9">
      <c r="A217" s="29"/>
      <c r="B217" s="29"/>
      <c r="C217" s="28"/>
      <c r="D217" s="28"/>
      <c r="E217" s="29"/>
      <c r="F217" s="29"/>
      <c r="G217" s="29"/>
      <c r="H217" s="28"/>
      <c r="I217" s="29" t="str">
        <f>IF(AND(A217&lt;&gt;"",SUMIF(NESTING!I:I,A217,NESTING!J:J)=G217),"OK","")</f>
        <v/>
      </c>
    </row>
    <row r="218" spans="1:9">
      <c r="A218" s="29"/>
      <c r="B218" s="29"/>
      <c r="C218" s="28"/>
      <c r="D218" s="28"/>
      <c r="E218" s="29"/>
      <c r="F218" s="29"/>
      <c r="G218" s="29"/>
      <c r="H218" s="28"/>
      <c r="I218" s="29" t="str">
        <f>IF(AND(A218&lt;&gt;"",SUMIF(NESTING!I:I,A218,NESTING!J:J)=G218),"OK","")</f>
        <v/>
      </c>
    </row>
    <row r="219" spans="1:9">
      <c r="A219" s="29"/>
      <c r="B219" s="29"/>
      <c r="C219" s="28"/>
      <c r="D219" s="28"/>
      <c r="E219" s="29"/>
      <c r="F219" s="29"/>
      <c r="G219" s="29"/>
      <c r="H219" s="28"/>
      <c r="I219" s="29" t="str">
        <f>IF(AND(A219&lt;&gt;"",SUMIF(NESTING!I:I,A219,NESTING!J:J)=G219),"OK","")</f>
        <v/>
      </c>
    </row>
    <row r="220" spans="1:9">
      <c r="A220" s="29"/>
      <c r="B220" s="29"/>
      <c r="C220" s="28"/>
      <c r="D220" s="28"/>
      <c r="E220" s="29"/>
      <c r="F220" s="29"/>
      <c r="G220" s="29"/>
      <c r="H220" s="28"/>
      <c r="I220" s="29" t="str">
        <f>IF(AND(A220&lt;&gt;"",SUMIF(NESTING!I:I,A220,NESTING!J:J)=G220),"OK","")</f>
        <v/>
      </c>
    </row>
    <row r="221" spans="1:9">
      <c r="A221" s="29"/>
      <c r="B221" s="29"/>
      <c r="C221" s="28"/>
      <c r="D221" s="28"/>
      <c r="E221" s="29"/>
      <c r="F221" s="29"/>
      <c r="G221" s="29"/>
      <c r="H221" s="28"/>
      <c r="I221" s="29" t="str">
        <f>IF(AND(A221&lt;&gt;"",SUMIF(NESTING!I:I,A221,NESTING!J:J)=G221),"OK","")</f>
        <v/>
      </c>
    </row>
    <row r="222" spans="1:9">
      <c r="A222" s="29"/>
      <c r="B222" s="29"/>
      <c r="C222" s="28"/>
      <c r="D222" s="28"/>
      <c r="E222" s="29"/>
      <c r="F222" s="29"/>
      <c r="G222" s="29"/>
      <c r="H222" s="28"/>
      <c r="I222" s="29" t="str">
        <f>IF(AND(A222&lt;&gt;"",SUMIF(NESTING!I:I,A222,NESTING!J:J)=G222),"OK","")</f>
        <v/>
      </c>
    </row>
    <row r="223" spans="1:9">
      <c r="A223" s="29"/>
      <c r="B223" s="29"/>
      <c r="C223" s="28"/>
      <c r="D223" s="28"/>
      <c r="E223" s="29"/>
      <c r="F223" s="29"/>
      <c r="G223" s="29"/>
      <c r="H223" s="28"/>
      <c r="I223" s="29" t="str">
        <f>IF(AND(A223&lt;&gt;"",SUMIF(NESTING!I:I,A223,NESTING!J:J)=G223),"OK","")</f>
        <v/>
      </c>
    </row>
    <row r="224" spans="1:9">
      <c r="A224" s="29"/>
      <c r="B224" s="29"/>
      <c r="C224" s="28"/>
      <c r="D224" s="28"/>
      <c r="E224" s="29"/>
      <c r="F224" s="29"/>
      <c r="G224" s="29"/>
      <c r="H224" s="28"/>
      <c r="I224" s="29" t="str">
        <f>IF(AND(A224&lt;&gt;"",SUMIF(NESTING!I:I,A224,NESTING!J:J)=G224),"OK","")</f>
        <v/>
      </c>
    </row>
    <row r="225" spans="1:9">
      <c r="A225" s="29"/>
      <c r="B225" s="29"/>
      <c r="C225" s="28"/>
      <c r="D225" s="28"/>
      <c r="E225" s="29"/>
      <c r="F225" s="29"/>
      <c r="G225" s="29"/>
      <c r="H225" s="28"/>
      <c r="I225" s="29" t="str">
        <f>IF(AND(A225&lt;&gt;"",SUMIF(NESTING!I:I,A225,NESTING!J:J)=G225),"OK","")</f>
        <v/>
      </c>
    </row>
    <row r="226" spans="1:9">
      <c r="A226" s="29"/>
      <c r="B226" s="29"/>
      <c r="C226" s="28"/>
      <c r="D226" s="28"/>
      <c r="E226" s="29"/>
      <c r="F226" s="29"/>
      <c r="G226" s="29"/>
      <c r="H226" s="28"/>
      <c r="I226" s="29" t="str">
        <f>IF(AND(A226&lt;&gt;"",SUMIF(NESTING!I:I,A226,NESTING!J:J)=G226),"OK","")</f>
        <v/>
      </c>
    </row>
    <row r="227" spans="1:9">
      <c r="A227" s="29"/>
      <c r="B227" s="29"/>
      <c r="C227" s="28"/>
      <c r="D227" s="28"/>
      <c r="E227" s="29"/>
      <c r="F227" s="29"/>
      <c r="G227" s="29"/>
      <c r="H227" s="28"/>
      <c r="I227" s="29" t="str">
        <f>IF(AND(A227&lt;&gt;"",SUMIF(NESTING!I:I,A227,NESTING!J:J)=G227),"OK","")</f>
        <v/>
      </c>
    </row>
    <row r="228" spans="1:9">
      <c r="A228" s="29"/>
      <c r="B228" s="29"/>
      <c r="C228" s="28"/>
      <c r="D228" s="28" t="s">
        <v>33</v>
      </c>
      <c r="E228" s="29"/>
      <c r="F228" s="29"/>
      <c r="G228" s="29"/>
      <c r="H228" s="28"/>
      <c r="I228" s="29" t="str">
        <f>IF(AND(A228&lt;&gt;"",SUMIF(NESTING!I:I,A228,NESTING!J:J)=G228),"OK","")</f>
        <v/>
      </c>
    </row>
    <row r="229" spans="1:9">
      <c r="A229" s="29"/>
      <c r="B229" s="29"/>
      <c r="C229" s="28"/>
      <c r="D229" s="28" t="s">
        <v>33</v>
      </c>
      <c r="E229" s="29"/>
      <c r="F229" s="29"/>
      <c r="G229" s="29"/>
      <c r="H229" s="28"/>
      <c r="I229" s="29" t="str">
        <f>IF(AND(A229&lt;&gt;"",SUMIF(NESTING!I:I,A229,NESTING!J:J)=G229),"OK","")</f>
        <v/>
      </c>
    </row>
    <row r="230" spans="1:9">
      <c r="A230" s="29"/>
      <c r="B230" s="29"/>
      <c r="C230" s="28"/>
      <c r="D230" s="28" t="s">
        <v>33</v>
      </c>
      <c r="E230" s="29"/>
      <c r="F230" s="29"/>
      <c r="G230" s="29"/>
      <c r="H230" s="28"/>
      <c r="I230" s="29" t="str">
        <f>IF(AND(A230&lt;&gt;"",SUMIF(NESTING!I:I,A230,NESTING!J:J)=G230),"OK","")</f>
        <v/>
      </c>
    </row>
    <row r="231" spans="1:9">
      <c r="A231" s="29"/>
      <c r="B231" s="29"/>
      <c r="C231" s="28"/>
      <c r="D231" s="28" t="s">
        <v>33</v>
      </c>
      <c r="E231" s="29"/>
      <c r="F231" s="29"/>
      <c r="G231" s="29"/>
      <c r="H231" s="28"/>
      <c r="I231" s="29" t="str">
        <f>IF(AND(A231&lt;&gt;"",SUMIF(NESTING!I:I,A231,NESTING!J:J)=G231),"OK","")</f>
        <v/>
      </c>
    </row>
    <row r="232" spans="1:9">
      <c r="A232" s="29"/>
      <c r="B232" s="29"/>
      <c r="C232" s="28"/>
      <c r="D232" s="28" t="s">
        <v>33</v>
      </c>
      <c r="E232" s="29"/>
      <c r="F232" s="29"/>
      <c r="G232" s="29"/>
      <c r="H232" s="28"/>
      <c r="I232" s="29" t="str">
        <f>IF(AND(A232&lt;&gt;"",SUMIF(NESTING!I:I,A232,NESTING!J:J)=G232),"OK","")</f>
        <v/>
      </c>
    </row>
    <row r="233" spans="1:9">
      <c r="A233" s="29"/>
      <c r="B233" s="29"/>
      <c r="C233" s="28"/>
      <c r="D233" s="28" t="s">
        <v>33</v>
      </c>
      <c r="E233" s="29"/>
      <c r="F233" s="29"/>
      <c r="G233" s="29"/>
      <c r="H233" s="28"/>
      <c r="I233" s="29" t="str">
        <f>IF(AND(A233&lt;&gt;"",SUMIF(NESTING!I:I,A233,NESTING!J:J)=G233),"OK","")</f>
        <v/>
      </c>
    </row>
    <row r="234" spans="1:9">
      <c r="A234" s="29"/>
      <c r="B234" s="29"/>
      <c r="C234" s="28"/>
      <c r="D234" s="28" t="s">
        <v>33</v>
      </c>
      <c r="E234" s="29"/>
      <c r="F234" s="29"/>
      <c r="G234" s="29"/>
      <c r="H234" s="28"/>
      <c r="I234" s="29" t="str">
        <f>IF(AND(A234&lt;&gt;"",SUMIF(NESTING!I:I,A234,NESTING!J:J)=G234),"OK","")</f>
        <v/>
      </c>
    </row>
    <row r="235" spans="1:9">
      <c r="A235" s="29"/>
      <c r="B235" s="29"/>
      <c r="C235" s="28"/>
      <c r="D235" s="28" t="s">
        <v>33</v>
      </c>
      <c r="E235" s="29"/>
      <c r="F235" s="29"/>
      <c r="G235" s="29"/>
      <c r="H235" s="28"/>
      <c r="I235" s="29" t="str">
        <f>IF(AND(A235&lt;&gt;"",SUMIF(NESTING!I:I,A235,NESTING!J:J)=G235),"OK","")</f>
        <v/>
      </c>
    </row>
    <row r="236" spans="1:9">
      <c r="A236" s="29"/>
      <c r="B236" s="29"/>
      <c r="C236" s="28"/>
      <c r="D236" s="28" t="s">
        <v>33</v>
      </c>
      <c r="E236" s="29"/>
      <c r="F236" s="29"/>
      <c r="G236" s="29"/>
      <c r="H236" s="28"/>
      <c r="I236" s="29" t="str">
        <f>IF(AND(A236&lt;&gt;"",SUMIF(NESTING!I:I,A236,NESTING!J:J)=G236),"OK","")</f>
        <v/>
      </c>
    </row>
    <row r="237" spans="1:9">
      <c r="A237" s="29"/>
      <c r="B237" s="29"/>
      <c r="C237" s="28"/>
      <c r="D237" s="28" t="s">
        <v>33</v>
      </c>
      <c r="E237" s="29"/>
      <c r="F237" s="29"/>
      <c r="G237" s="29"/>
      <c r="H237" s="28"/>
      <c r="I237" s="29" t="str">
        <f>IF(AND(A237&lt;&gt;"",SUMIF(NESTING!I:I,A237,NESTING!J:J)=G237),"OK","")</f>
        <v/>
      </c>
    </row>
    <row r="238" spans="1:9">
      <c r="A238" s="29"/>
      <c r="B238" s="29"/>
      <c r="C238" s="28"/>
      <c r="D238" s="28" t="s">
        <v>33</v>
      </c>
      <c r="E238" s="29"/>
      <c r="F238" s="29"/>
      <c r="G238" s="29"/>
      <c r="H238" s="28"/>
      <c r="I238" s="29" t="str">
        <f>IF(AND(A238&lt;&gt;"",SUMIF(NESTING!I:I,A238,NESTING!J:J)=G238),"OK","")</f>
        <v/>
      </c>
    </row>
    <row r="239" spans="1:9">
      <c r="A239" s="29"/>
      <c r="B239" s="29"/>
      <c r="C239" s="28"/>
      <c r="D239" s="28" t="s">
        <v>33</v>
      </c>
      <c r="E239" s="29"/>
      <c r="F239" s="29"/>
      <c r="G239" s="29"/>
      <c r="H239" s="28"/>
      <c r="I239" s="29" t="str">
        <f>IF(AND(A239&lt;&gt;"",SUMIF(NESTING!I:I,A239,NESTING!J:J)=G239),"OK","")</f>
        <v/>
      </c>
    </row>
    <row r="240" spans="1:9">
      <c r="A240" s="29"/>
      <c r="B240" s="29"/>
      <c r="C240" s="28"/>
      <c r="D240" s="28" t="s">
        <v>33</v>
      </c>
      <c r="E240" s="29"/>
      <c r="F240" s="29"/>
      <c r="G240" s="29"/>
      <c r="H240" s="28"/>
      <c r="I240" s="29" t="str">
        <f>IF(AND(A240&lt;&gt;"",SUMIF(NESTING!I:I,A240,NESTING!J:J)=G240),"OK","")</f>
        <v/>
      </c>
    </row>
    <row r="241" spans="1:9">
      <c r="A241" s="29"/>
      <c r="B241" s="29"/>
      <c r="C241" s="28"/>
      <c r="D241" s="28" t="s">
        <v>33</v>
      </c>
      <c r="E241" s="29"/>
      <c r="F241" s="29"/>
      <c r="G241" s="29"/>
      <c r="H241" s="28"/>
      <c r="I241" s="29" t="str">
        <f>IF(AND(A241&lt;&gt;"",SUMIF(NESTING!I:I,A241,NESTING!J:J)=G241),"OK","")</f>
        <v/>
      </c>
    </row>
    <row r="242" spans="1:9">
      <c r="A242" s="29"/>
      <c r="B242" s="29"/>
      <c r="C242" s="28"/>
      <c r="D242" s="28" t="s">
        <v>33</v>
      </c>
      <c r="E242" s="29"/>
      <c r="F242" s="29"/>
      <c r="G242" s="29"/>
      <c r="H242" s="28"/>
      <c r="I242" s="29" t="str">
        <f>IF(AND(A242&lt;&gt;"",SUMIF(NESTING!I:I,A242,NESTING!J:J)=G242),"OK","")</f>
        <v/>
      </c>
    </row>
    <row r="243" spans="1:9">
      <c r="A243" s="29"/>
      <c r="B243" s="29"/>
      <c r="C243" s="28"/>
      <c r="D243" s="28" t="s">
        <v>33</v>
      </c>
      <c r="E243" s="29"/>
      <c r="F243" s="29"/>
      <c r="G243" s="29"/>
      <c r="H243" s="28"/>
      <c r="I243" s="29" t="str">
        <f>IF(AND(A243&lt;&gt;"",SUMIF(NESTING!I:I,A243,NESTING!J:J)=G243),"OK","")</f>
        <v/>
      </c>
    </row>
    <row r="244" spans="1:9">
      <c r="A244" s="29"/>
      <c r="B244" s="29"/>
      <c r="C244" s="28"/>
      <c r="D244" s="28" t="s">
        <v>33</v>
      </c>
      <c r="E244" s="29"/>
      <c r="F244" s="29"/>
      <c r="G244" s="29"/>
      <c r="H244" s="28"/>
      <c r="I244" s="29" t="str">
        <f>IF(AND(A244&lt;&gt;"",SUMIF(NESTING!I:I,A244,NESTING!J:J)=G244),"OK","")</f>
        <v/>
      </c>
    </row>
    <row r="245" spans="1:9">
      <c r="A245" s="29"/>
      <c r="B245" s="29"/>
      <c r="C245" s="28"/>
      <c r="D245" s="28" t="s">
        <v>33</v>
      </c>
      <c r="E245" s="29"/>
      <c r="F245" s="29"/>
      <c r="G245" s="29"/>
      <c r="H245" s="28"/>
      <c r="I245" s="29" t="str">
        <f>IF(AND(A245&lt;&gt;"",SUMIF(NESTING!I:I,A245,NESTING!J:J)=G245),"OK","")</f>
        <v/>
      </c>
    </row>
    <row r="246" spans="1:9">
      <c r="A246" s="29"/>
      <c r="B246" s="29"/>
      <c r="C246" s="28"/>
      <c r="D246" s="28" t="s">
        <v>33</v>
      </c>
      <c r="E246" s="29"/>
      <c r="F246" s="29"/>
      <c r="G246" s="29"/>
      <c r="H246" s="28"/>
      <c r="I246" s="29" t="str">
        <f>IF(AND(A246&lt;&gt;"",SUMIF(NESTING!I:I,A246,NESTING!J:J)=G246),"OK","")</f>
        <v/>
      </c>
    </row>
    <row r="247" spans="1:9">
      <c r="A247" s="29"/>
      <c r="B247" s="29"/>
      <c r="C247" s="28"/>
      <c r="D247" s="28" t="s">
        <v>33</v>
      </c>
      <c r="E247" s="29"/>
      <c r="F247" s="29"/>
      <c r="G247" s="29"/>
      <c r="H247" s="28"/>
      <c r="I247" s="29" t="str">
        <f>IF(AND(A247&lt;&gt;"",SUMIF(NESTING!I:I,A247,NESTING!J:J)=G247),"OK","")</f>
        <v/>
      </c>
    </row>
    <row r="248" spans="1:9">
      <c r="A248" s="29"/>
      <c r="B248" s="29"/>
      <c r="C248" s="28"/>
      <c r="D248" s="28" t="s">
        <v>33</v>
      </c>
      <c r="E248" s="29"/>
      <c r="F248" s="29"/>
      <c r="G248" s="29"/>
      <c r="H248" s="28"/>
      <c r="I248" s="29" t="str">
        <f>IF(AND(A248&lt;&gt;"",SUMIF(NESTING!I:I,A248,NESTING!J:J)=G248),"OK","")</f>
        <v/>
      </c>
    </row>
    <row r="249" spans="1:9">
      <c r="A249" s="29"/>
      <c r="B249" s="29"/>
      <c r="C249" s="28"/>
      <c r="D249" s="28" t="s">
        <v>33</v>
      </c>
      <c r="E249" s="29"/>
      <c r="F249" s="29"/>
      <c r="G249" s="29"/>
      <c r="H249" s="28"/>
      <c r="I249" s="29" t="str">
        <f>IF(AND(A249&lt;&gt;"",SUMIF(NESTING!I:I,A249,NESTING!J:J)=G249),"OK","")</f>
        <v/>
      </c>
    </row>
    <row r="250" spans="1:9">
      <c r="A250" s="29"/>
      <c r="B250" s="29"/>
      <c r="C250" s="28"/>
      <c r="D250" s="28" t="s">
        <v>33</v>
      </c>
      <c r="E250" s="29"/>
      <c r="F250" s="29"/>
      <c r="G250" s="29"/>
      <c r="H250" s="28"/>
      <c r="I250" s="29" t="str">
        <f>IF(AND(A250&lt;&gt;"",SUMIF(NESTING!I:I,A250,NESTING!J:J)=G250),"OK","")</f>
        <v/>
      </c>
    </row>
    <row r="251" spans="1:9">
      <c r="A251" s="29"/>
      <c r="B251" s="29"/>
      <c r="C251" s="28"/>
      <c r="D251" s="28" t="s">
        <v>33</v>
      </c>
      <c r="E251" s="29"/>
      <c r="F251" s="29"/>
      <c r="G251" s="29"/>
      <c r="H251" s="28"/>
      <c r="I251" s="29" t="str">
        <f>IF(AND(A251&lt;&gt;"",SUMIF(NESTING!I:I,A251,NESTING!J:J)=G251),"OK","")</f>
        <v/>
      </c>
    </row>
    <row r="252" spans="1:9">
      <c r="A252" s="29"/>
      <c r="B252" s="29"/>
      <c r="C252" s="28"/>
      <c r="D252" s="28" t="s">
        <v>33</v>
      </c>
      <c r="E252" s="29"/>
      <c r="F252" s="29"/>
      <c r="G252" s="29"/>
      <c r="H252" s="28"/>
      <c r="I252" s="29" t="str">
        <f>IF(AND(A252&lt;&gt;"",SUMIF(NESTING!I:I,A252,NESTING!J:J)=G252),"OK","")</f>
        <v/>
      </c>
    </row>
    <row r="253" spans="1:9">
      <c r="A253" s="29"/>
      <c r="B253" s="29"/>
      <c r="C253" s="28"/>
      <c r="D253" s="28" t="s">
        <v>33</v>
      </c>
      <c r="E253" s="29"/>
      <c r="F253" s="29"/>
      <c r="G253" s="29"/>
      <c r="H253" s="28"/>
      <c r="I253" s="29" t="str">
        <f>IF(AND(A253&lt;&gt;"",SUMIF(NESTING!I:I,A253,NESTING!J:J)=G253),"OK","")</f>
        <v/>
      </c>
    </row>
    <row r="254" spans="1:9">
      <c r="A254" s="29"/>
      <c r="B254" s="29"/>
      <c r="C254" s="28"/>
      <c r="D254" s="28" t="s">
        <v>33</v>
      </c>
      <c r="E254" s="29"/>
      <c r="F254" s="29"/>
      <c r="G254" s="29"/>
      <c r="H254" s="28"/>
      <c r="I254" s="29" t="str">
        <f>IF(AND(A254&lt;&gt;"",SUMIF(NESTING!I:I,A254,NESTING!J:J)=G254),"OK","")</f>
        <v/>
      </c>
    </row>
    <row r="255" spans="1:9">
      <c r="A255" s="29"/>
      <c r="B255" s="29"/>
      <c r="C255" s="28"/>
      <c r="D255" s="28" t="s">
        <v>33</v>
      </c>
      <c r="E255" s="29"/>
      <c r="F255" s="29"/>
      <c r="G255" s="29"/>
      <c r="H255" s="28"/>
      <c r="I255" s="29" t="str">
        <f>IF(AND(A255&lt;&gt;"",SUMIF(NESTING!I:I,A255,NESTING!J:J)=G255),"OK","")</f>
        <v/>
      </c>
    </row>
    <row r="256" spans="1:9">
      <c r="A256" s="29"/>
      <c r="B256" s="29"/>
      <c r="C256" s="28"/>
      <c r="D256" s="28" t="s">
        <v>33</v>
      </c>
      <c r="E256" s="29"/>
      <c r="F256" s="29"/>
      <c r="G256" s="29"/>
      <c r="H256" s="28"/>
      <c r="I256" s="29" t="str">
        <f>IF(AND(A256&lt;&gt;"",SUMIF(NESTING!I:I,A256,NESTING!J:J)=G256),"OK","")</f>
        <v/>
      </c>
    </row>
    <row r="257" spans="1:9">
      <c r="A257" s="29"/>
      <c r="B257" s="29"/>
      <c r="C257" s="28"/>
      <c r="D257" s="28" t="s">
        <v>33</v>
      </c>
      <c r="E257" s="29"/>
      <c r="F257" s="29"/>
      <c r="G257" s="29"/>
      <c r="H257" s="28"/>
      <c r="I257" s="29" t="str">
        <f>IF(AND(A257&lt;&gt;"",SUMIF(NESTING!I:I,A257,NESTING!J:J)=G257),"OK","")</f>
        <v/>
      </c>
    </row>
    <row r="258" spans="1:9">
      <c r="A258" s="29"/>
      <c r="B258" s="29"/>
      <c r="C258" s="28"/>
      <c r="D258" s="28" t="s">
        <v>33</v>
      </c>
      <c r="E258" s="29"/>
      <c r="F258" s="29"/>
      <c r="G258" s="29"/>
      <c r="H258" s="28"/>
      <c r="I258" s="29" t="str">
        <f>IF(AND(A258&lt;&gt;"",SUMIF(NESTING!I:I,A258,NESTING!J:J)=G258),"OK","")</f>
        <v/>
      </c>
    </row>
    <row r="259" spans="1:9">
      <c r="A259" s="29"/>
      <c r="B259" s="29"/>
      <c r="C259" s="28"/>
      <c r="D259" s="28" t="s">
        <v>33</v>
      </c>
      <c r="E259" s="29"/>
      <c r="F259" s="29"/>
      <c r="G259" s="29"/>
      <c r="H259" s="28"/>
      <c r="I259" s="29" t="str">
        <f>IF(AND(A259&lt;&gt;"",SUMIF(NESTING!I:I,A259,NESTING!J:J)=G259),"OK","")</f>
        <v/>
      </c>
    </row>
    <row r="260" spans="1:9">
      <c r="A260" s="29"/>
      <c r="B260" s="29"/>
      <c r="C260" s="28"/>
      <c r="D260" s="28" t="s">
        <v>33</v>
      </c>
      <c r="E260" s="29"/>
      <c r="F260" s="29"/>
      <c r="G260" s="29"/>
      <c r="H260" s="28"/>
      <c r="I260" s="29" t="str">
        <f>IF(AND(A260&lt;&gt;"",SUMIF(NESTING!I:I,A260,NESTING!J:J)=G260),"OK","")</f>
        <v/>
      </c>
    </row>
    <row r="261" spans="1:9">
      <c r="A261" s="29"/>
      <c r="B261" s="29"/>
      <c r="C261" s="28"/>
      <c r="D261" s="28" t="s">
        <v>33</v>
      </c>
      <c r="E261" s="29"/>
      <c r="F261" s="29"/>
      <c r="G261" s="29"/>
      <c r="H261" s="28"/>
      <c r="I261" s="29" t="str">
        <f>IF(AND(A261&lt;&gt;"",SUMIF(NESTING!I:I,A261,NESTING!J:J)=G261),"OK","")</f>
        <v/>
      </c>
    </row>
    <row r="262" spans="1:9">
      <c r="A262" s="29"/>
      <c r="B262" s="29"/>
      <c r="C262" s="28"/>
      <c r="D262" s="28" t="s">
        <v>33</v>
      </c>
      <c r="E262" s="29"/>
      <c r="F262" s="29"/>
      <c r="G262" s="29"/>
      <c r="H262" s="28"/>
      <c r="I262" s="29" t="str">
        <f>IF(AND(A262&lt;&gt;"",SUMIF(NESTING!I:I,A262,NESTING!J:J)=G262),"OK","")</f>
        <v/>
      </c>
    </row>
    <row r="263" spans="1:9">
      <c r="A263" s="29"/>
      <c r="B263" s="29"/>
      <c r="C263" s="28"/>
      <c r="D263" s="28" t="s">
        <v>33</v>
      </c>
      <c r="E263" s="29"/>
      <c r="F263" s="29"/>
      <c r="G263" s="29"/>
      <c r="H263" s="28"/>
      <c r="I263" s="29" t="str">
        <f>IF(AND(A263&lt;&gt;"",SUMIF(NESTING!I:I,A263,NESTING!J:J)=G263),"OK","")</f>
        <v/>
      </c>
    </row>
    <row r="264" spans="1:9">
      <c r="A264" s="29"/>
      <c r="B264" s="29"/>
      <c r="C264" s="28"/>
      <c r="D264" s="28" t="s">
        <v>33</v>
      </c>
      <c r="E264" s="29"/>
      <c r="F264" s="29"/>
      <c r="G264" s="29"/>
      <c r="H264" s="28"/>
      <c r="I264" s="29" t="str">
        <f>IF(AND(A264&lt;&gt;"",SUMIF(NESTING!I:I,A264,NESTING!J:J)=G264),"OK","")</f>
        <v/>
      </c>
    </row>
    <row r="265" spans="1:9">
      <c r="A265" s="29"/>
      <c r="B265" s="29"/>
      <c r="C265" s="28"/>
      <c r="D265" s="28" t="s">
        <v>33</v>
      </c>
      <c r="E265" s="29"/>
      <c r="F265" s="29"/>
      <c r="G265" s="29"/>
      <c r="H265" s="28"/>
      <c r="I265" s="29" t="str">
        <f>IF(AND(A265&lt;&gt;"",SUMIF(NESTING!I:I,A265,NESTING!J:J)=G265),"OK","")</f>
        <v/>
      </c>
    </row>
    <row r="266" spans="1:9">
      <c r="A266" s="29"/>
      <c r="B266" s="29"/>
      <c r="C266" s="28"/>
      <c r="D266" s="28" t="s">
        <v>33</v>
      </c>
      <c r="E266" s="29"/>
      <c r="F266" s="29"/>
      <c r="G266" s="29"/>
      <c r="H266" s="28"/>
      <c r="I266" s="29" t="str">
        <f>IF(AND(A266&lt;&gt;"",SUMIF(NESTING!I:I,A266,NESTING!J:J)=G266),"OK","")</f>
        <v/>
      </c>
    </row>
    <row r="267" spans="1:9">
      <c r="A267" s="29"/>
      <c r="B267" s="29"/>
      <c r="C267" s="28"/>
      <c r="D267" s="28" t="s">
        <v>33</v>
      </c>
      <c r="E267" s="29"/>
      <c r="F267" s="29"/>
      <c r="G267" s="29"/>
      <c r="H267" s="28"/>
      <c r="I267" s="29" t="str">
        <f>IF(AND(A267&lt;&gt;"",SUMIF(NESTING!I:I,A267,NESTING!J:J)=G267),"OK","")</f>
        <v/>
      </c>
    </row>
    <row r="268" spans="1:9">
      <c r="A268" s="29"/>
      <c r="B268" s="29"/>
      <c r="C268" s="28"/>
      <c r="D268" s="28" t="s">
        <v>33</v>
      </c>
      <c r="E268" s="29"/>
      <c r="F268" s="29"/>
      <c r="G268" s="29"/>
      <c r="H268" s="28"/>
      <c r="I268" s="29" t="str">
        <f>IF(AND(A268&lt;&gt;"",SUMIF(NESTING!I:I,A268,NESTING!J:J)=G268),"OK","")</f>
        <v/>
      </c>
    </row>
    <row r="269" spans="1:9">
      <c r="A269" s="29"/>
      <c r="B269" s="29"/>
      <c r="C269" s="28"/>
      <c r="D269" s="28" t="s">
        <v>33</v>
      </c>
      <c r="E269" s="29"/>
      <c r="F269" s="29"/>
      <c r="G269" s="29"/>
      <c r="H269" s="28"/>
      <c r="I269" s="29" t="str">
        <f>IF(AND(A269&lt;&gt;"",SUMIF(NESTING!I:I,A269,NESTING!J:J)=G269),"OK","")</f>
        <v/>
      </c>
    </row>
    <row r="270" spans="1:9">
      <c r="A270" s="29"/>
      <c r="B270" s="29"/>
      <c r="C270" s="28"/>
      <c r="D270" s="28" t="s">
        <v>33</v>
      </c>
      <c r="E270" s="29"/>
      <c r="F270" s="29"/>
      <c r="G270" s="29"/>
      <c r="H270" s="28"/>
      <c r="I270" s="29" t="str">
        <f>IF(AND(A270&lt;&gt;"",SUMIF(NESTING!I:I,A270,NESTING!J:J)=G270),"OK","")</f>
        <v/>
      </c>
    </row>
    <row r="271" spans="1:9">
      <c r="A271" s="29"/>
      <c r="B271" s="29"/>
      <c r="C271" s="28"/>
      <c r="D271" s="28" t="s">
        <v>33</v>
      </c>
      <c r="E271" s="29"/>
      <c r="F271" s="29"/>
      <c r="G271" s="29"/>
      <c r="H271" s="28"/>
      <c r="I271" s="29" t="str">
        <f>IF(AND(A271&lt;&gt;"",SUMIF(NESTING!I:I,A271,NESTING!J:J)=G271),"OK","")</f>
        <v/>
      </c>
    </row>
    <row r="272" spans="1:9">
      <c r="A272" s="29"/>
      <c r="B272" s="29"/>
      <c r="C272" s="28"/>
      <c r="D272" s="28" t="s">
        <v>33</v>
      </c>
      <c r="E272" s="29"/>
      <c r="F272" s="29"/>
      <c r="G272" s="29"/>
      <c r="H272" s="28"/>
      <c r="I272" s="29" t="str">
        <f>IF(AND(A272&lt;&gt;"",SUMIF(NESTING!I:I,A272,NESTING!J:J)=G272),"OK","")</f>
        <v/>
      </c>
    </row>
    <row r="273" spans="1:9">
      <c r="A273" s="29"/>
      <c r="B273" s="29"/>
      <c r="C273" s="28"/>
      <c r="D273" s="28" t="s">
        <v>33</v>
      </c>
      <c r="E273" s="29"/>
      <c r="F273" s="29"/>
      <c r="G273" s="29"/>
      <c r="H273" s="28"/>
      <c r="I273" s="29" t="str">
        <f>IF(AND(A273&lt;&gt;"",SUMIF(NESTING!I:I,A273,NESTING!J:J)=G273),"OK","")</f>
        <v/>
      </c>
    </row>
    <row r="274" spans="1:9">
      <c r="A274" s="29"/>
      <c r="B274" s="29"/>
      <c r="C274" s="28"/>
      <c r="D274" s="28" t="s">
        <v>33</v>
      </c>
      <c r="E274" s="29"/>
      <c r="F274" s="29"/>
      <c r="G274" s="29"/>
      <c r="H274" s="28"/>
      <c r="I274" s="29" t="str">
        <f>IF(AND(A274&lt;&gt;"",SUMIF(NESTING!I:I,A274,NESTING!J:J)=G274),"OK","")</f>
        <v/>
      </c>
    </row>
    <row r="275" spans="1:9">
      <c r="A275" s="29"/>
      <c r="B275" s="29"/>
      <c r="C275" s="28"/>
      <c r="D275" s="28" t="s">
        <v>33</v>
      </c>
      <c r="E275" s="29"/>
      <c r="F275" s="29"/>
      <c r="G275" s="29"/>
      <c r="H275" s="28"/>
      <c r="I275" s="29" t="str">
        <f>IF(AND(A275&lt;&gt;"",SUMIF(NESTING!I:I,A275,NESTING!J:J)=G275),"OK","")</f>
        <v/>
      </c>
    </row>
    <row r="276" spans="1:9">
      <c r="A276" s="29"/>
      <c r="B276" s="29"/>
      <c r="C276" s="28"/>
      <c r="D276" s="28" t="s">
        <v>33</v>
      </c>
      <c r="E276" s="29"/>
      <c r="F276" s="29"/>
      <c r="G276" s="29"/>
      <c r="H276" s="28"/>
      <c r="I276" s="29" t="str">
        <f>IF(AND(A276&lt;&gt;"",SUMIF(NESTING!I:I,A276,NESTING!J:J)=G276),"OK","")</f>
        <v/>
      </c>
    </row>
    <row r="277" spans="1:9">
      <c r="A277" s="29"/>
      <c r="B277" s="29"/>
      <c r="C277" s="28"/>
      <c r="D277" s="28" t="s">
        <v>33</v>
      </c>
      <c r="E277" s="29"/>
      <c r="F277" s="29"/>
      <c r="G277" s="29"/>
      <c r="H277" s="28"/>
      <c r="I277" s="29" t="str">
        <f>IF(AND(A277&lt;&gt;"",SUMIF(NESTING!I:I,A277,NESTING!J:J)=G277),"OK","")</f>
        <v/>
      </c>
    </row>
    <row r="278" spans="1:9">
      <c r="A278" s="29"/>
      <c r="B278" s="29"/>
      <c r="C278" s="28"/>
      <c r="D278" s="28" t="s">
        <v>33</v>
      </c>
      <c r="E278" s="29"/>
      <c r="F278" s="29"/>
      <c r="G278" s="29"/>
      <c r="H278" s="28"/>
      <c r="I278" s="29" t="str">
        <f>IF(AND(A278&lt;&gt;"",SUMIF(NESTING!I:I,A278,NESTING!J:J)=G278),"OK","")</f>
        <v/>
      </c>
    </row>
    <row r="279" spans="1:9">
      <c r="A279" s="29"/>
      <c r="B279" s="29"/>
      <c r="C279" s="28"/>
      <c r="D279" s="28" t="s">
        <v>33</v>
      </c>
      <c r="E279" s="29"/>
      <c r="F279" s="29"/>
      <c r="G279" s="29"/>
      <c r="H279" s="28"/>
      <c r="I279" s="29" t="str">
        <f>IF(AND(A279&lt;&gt;"",SUMIF(NESTING!I:I,A279,NESTING!J:J)=G279),"OK","")</f>
        <v/>
      </c>
    </row>
    <row r="280" spans="1:9">
      <c r="A280" s="29"/>
      <c r="B280" s="29"/>
      <c r="C280" s="28"/>
      <c r="D280" s="28" t="s">
        <v>33</v>
      </c>
      <c r="E280" s="29"/>
      <c r="F280" s="29"/>
      <c r="G280" s="29"/>
      <c r="H280" s="28"/>
      <c r="I280" s="29" t="str">
        <f>IF(AND(A280&lt;&gt;"",SUMIF(NESTING!I:I,A280,NESTING!J:J)=G280),"OK","")</f>
        <v/>
      </c>
    </row>
    <row r="281" spans="1:9">
      <c r="A281" s="29"/>
      <c r="B281" s="29"/>
      <c r="C281" s="28"/>
      <c r="D281" s="28" t="s">
        <v>33</v>
      </c>
      <c r="E281" s="29"/>
      <c r="F281" s="29"/>
      <c r="G281" s="29"/>
      <c r="H281" s="28"/>
      <c r="I281" s="29" t="str">
        <f>IF(AND(A281&lt;&gt;"",SUMIF(NESTING!I:I,A281,NESTING!J:J)=G281),"OK","")</f>
        <v/>
      </c>
    </row>
    <row r="282" spans="1:9">
      <c r="A282" s="29"/>
      <c r="B282" s="29"/>
      <c r="C282" s="28"/>
      <c r="D282" s="28" t="s">
        <v>33</v>
      </c>
      <c r="E282" s="29"/>
      <c r="F282" s="29"/>
      <c r="G282" s="29"/>
      <c r="H282" s="28"/>
      <c r="I282" s="29" t="str">
        <f>IF(AND(A282&lt;&gt;"",SUMIF(NESTING!I:I,A282,NESTING!J:J)=G282),"OK","")</f>
        <v/>
      </c>
    </row>
    <row r="283" spans="1:9">
      <c r="A283" s="29"/>
      <c r="B283" s="29"/>
      <c r="C283" s="28"/>
      <c r="D283" s="28" t="s">
        <v>33</v>
      </c>
      <c r="E283" s="29"/>
      <c r="F283" s="29"/>
      <c r="G283" s="29"/>
      <c r="H283" s="28"/>
      <c r="I283" s="29" t="str">
        <f>IF(AND(A283&lt;&gt;"",SUMIF(NESTING!I:I,A283,NESTING!J:J)=G283),"OK","")</f>
        <v/>
      </c>
    </row>
    <row r="284" spans="1:9">
      <c r="A284" s="29"/>
      <c r="B284" s="29"/>
      <c r="C284" s="28"/>
      <c r="D284" s="28" t="s">
        <v>33</v>
      </c>
      <c r="E284" s="29"/>
      <c r="F284" s="29"/>
      <c r="G284" s="29"/>
      <c r="H284" s="28"/>
      <c r="I284" s="29" t="str">
        <f>IF(AND(A284&lt;&gt;"",SUMIF(NESTING!I:I,A284,NESTING!J:J)=G284),"OK","")</f>
        <v/>
      </c>
    </row>
    <row r="285" spans="1:9">
      <c r="A285" s="29"/>
      <c r="B285" s="29"/>
      <c r="C285" s="28"/>
      <c r="D285" s="28" t="s">
        <v>33</v>
      </c>
      <c r="E285" s="29"/>
      <c r="F285" s="29"/>
      <c r="G285" s="29"/>
      <c r="H285" s="28"/>
      <c r="I285" s="29" t="str">
        <f>IF(AND(A285&lt;&gt;"",SUMIF(NESTING!I:I,A285,NESTING!J:J)=G285),"OK","")</f>
        <v/>
      </c>
    </row>
    <row r="286" spans="1:9">
      <c r="A286" s="29"/>
      <c r="B286" s="29"/>
      <c r="C286" s="28"/>
      <c r="D286" s="28" t="s">
        <v>33</v>
      </c>
      <c r="E286" s="29"/>
      <c r="F286" s="29"/>
      <c r="G286" s="29"/>
      <c r="H286" s="28"/>
      <c r="I286" s="29" t="str">
        <f>IF(AND(A286&lt;&gt;"",SUMIF(NESTING!I:I,A286,NESTING!J:J)=G286),"OK","")</f>
        <v/>
      </c>
    </row>
    <row r="287" spans="1:9">
      <c r="A287" s="29"/>
      <c r="B287" s="29"/>
      <c r="C287" s="28"/>
      <c r="D287" s="28" t="s">
        <v>33</v>
      </c>
      <c r="E287" s="29"/>
      <c r="F287" s="29"/>
      <c r="G287" s="29"/>
      <c r="H287" s="28"/>
      <c r="I287" s="29" t="str">
        <f>IF(AND(A287&lt;&gt;"",SUMIF(NESTING!I:I,A287,NESTING!J:J)=G287),"OK","")</f>
        <v/>
      </c>
    </row>
    <row r="288" spans="1:9">
      <c r="A288" s="29"/>
      <c r="B288" s="29"/>
      <c r="C288" s="28"/>
      <c r="D288" s="28" t="s">
        <v>33</v>
      </c>
      <c r="E288" s="29"/>
      <c r="F288" s="29"/>
      <c r="G288" s="29"/>
      <c r="H288" s="28"/>
      <c r="I288" s="29" t="str">
        <f>IF(AND(A288&lt;&gt;"",SUMIF(NESTING!I:I,A288,NESTING!J:J)=G288),"OK","")</f>
        <v/>
      </c>
    </row>
    <row r="289" spans="1:9">
      <c r="A289" s="29"/>
      <c r="B289" s="29"/>
      <c r="C289" s="28"/>
      <c r="D289" s="28"/>
      <c r="E289" s="29"/>
      <c r="F289" s="29"/>
      <c r="G289" s="29"/>
      <c r="H289" s="28"/>
      <c r="I289" s="29" t="str">
        <f>IF(AND(A289&lt;&gt;"",SUMIF(NESTING!I:I,A289,NESTING!J:J)=G289),"OK","")</f>
        <v/>
      </c>
    </row>
    <row r="290" spans="1:9">
      <c r="A290" s="29"/>
      <c r="B290" s="29"/>
      <c r="C290" s="28"/>
      <c r="D290" s="28"/>
      <c r="E290" s="29"/>
      <c r="F290" s="29"/>
      <c r="G290" s="29"/>
      <c r="H290" s="28"/>
      <c r="I290" s="29" t="str">
        <f>IF(AND(A290&lt;&gt;"",SUMIF(NESTING!I:I,A290,NESTING!J:J)=G290),"OK","")</f>
        <v/>
      </c>
    </row>
    <row r="291" spans="1:9">
      <c r="A291" s="29"/>
      <c r="B291" s="29"/>
      <c r="C291" s="28"/>
      <c r="D291" s="28"/>
      <c r="E291" s="29"/>
      <c r="F291" s="29"/>
      <c r="G291" s="29"/>
      <c r="H291" s="28"/>
      <c r="I291" s="29" t="str">
        <f>IF(AND(A291&lt;&gt;"",SUMIF(NESTING!I:I,A291,NESTING!J:J)=G291),"OK","")</f>
        <v/>
      </c>
    </row>
    <row r="292" spans="1:9">
      <c r="A292" s="29"/>
      <c r="B292" s="29"/>
      <c r="C292" s="28"/>
      <c r="D292" s="28"/>
      <c r="E292" s="29"/>
      <c r="F292" s="29"/>
      <c r="G292" s="29"/>
      <c r="H292" s="28"/>
      <c r="I292" s="29" t="str">
        <f>IF(AND(A292&lt;&gt;"",SUMIF(NESTING!I:I,A292,NESTING!J:J)=G292),"OK","")</f>
        <v/>
      </c>
    </row>
    <row r="293" spans="1:9">
      <c r="A293" s="29"/>
      <c r="B293" s="29"/>
      <c r="C293" s="28"/>
      <c r="D293" s="28"/>
      <c r="E293" s="29"/>
      <c r="F293" s="29"/>
      <c r="G293" s="29"/>
      <c r="H293" s="28"/>
      <c r="I293" s="29" t="str">
        <f>IF(AND(A293&lt;&gt;"",SUMIF(NESTING!I:I,A293,NESTING!J:J)=G293),"OK","")</f>
        <v/>
      </c>
    </row>
    <row r="294" spans="1:9">
      <c r="A294" s="29"/>
      <c r="B294" s="29"/>
      <c r="C294" s="28"/>
      <c r="D294" s="28"/>
      <c r="E294" s="29"/>
      <c r="F294" s="29"/>
      <c r="G294" s="29"/>
      <c r="H294" s="28"/>
      <c r="I294" s="29" t="str">
        <f>IF(AND(A294&lt;&gt;"",SUMIF(NESTING!I:I,A294,NESTING!J:J)=G294),"OK","")</f>
        <v/>
      </c>
    </row>
    <row r="295" spans="1:9">
      <c r="A295" s="29"/>
      <c r="B295" s="29"/>
      <c r="C295" s="28"/>
      <c r="D295" s="28"/>
      <c r="E295" s="29"/>
      <c r="F295" s="29"/>
      <c r="G295" s="29"/>
      <c r="H295" s="28"/>
      <c r="I295" s="29" t="str">
        <f>IF(AND(A295&lt;&gt;"",SUMIF(NESTING!I:I,A295,NESTING!J:J)=G295),"OK","")</f>
        <v/>
      </c>
    </row>
    <row r="296" spans="1:9">
      <c r="A296" s="29"/>
      <c r="B296" s="29"/>
      <c r="C296" s="28"/>
      <c r="D296" s="28"/>
      <c r="E296" s="29"/>
      <c r="F296" s="29"/>
      <c r="G296" s="29"/>
      <c r="H296" s="28"/>
      <c r="I296" s="29" t="str">
        <f>IF(AND(A296&lt;&gt;"",SUMIF(NESTING!I:I,A296,NESTING!J:J)=G296),"OK","")</f>
        <v/>
      </c>
    </row>
    <row r="297" spans="1:9">
      <c r="A297" s="29"/>
      <c r="B297" s="29"/>
      <c r="C297" s="28"/>
      <c r="D297" s="28"/>
      <c r="E297" s="29"/>
      <c r="F297" s="29"/>
      <c r="G297" s="29"/>
      <c r="H297" s="28"/>
      <c r="I297" s="29" t="str">
        <f>IF(AND(A297&lt;&gt;"",SUMIF(NESTING!I:I,A297,NESTING!J:J)=G297),"OK","")</f>
        <v/>
      </c>
    </row>
    <row r="298" spans="1:9">
      <c r="A298" s="29"/>
      <c r="B298" s="29"/>
      <c r="C298" s="28"/>
      <c r="D298" s="28"/>
      <c r="E298" s="29"/>
      <c r="F298" s="29"/>
      <c r="G298" s="29"/>
      <c r="H298" s="28"/>
      <c r="I298" s="29" t="str">
        <f>IF(AND(A298&lt;&gt;"",SUMIF(NESTING!I:I,A298,NESTING!J:J)=G298),"OK","")</f>
        <v/>
      </c>
    </row>
    <row r="299" spans="1:9">
      <c r="A299" s="29"/>
      <c r="B299" s="29"/>
      <c r="C299" s="28"/>
      <c r="D299" s="28"/>
      <c r="E299" s="29"/>
      <c r="F299" s="29"/>
      <c r="G299" s="29"/>
      <c r="H299" s="28"/>
      <c r="I299" s="29" t="str">
        <f>IF(AND(A299&lt;&gt;"",SUMIF(NESTING!I:I,A299,NESTING!J:J)=G299),"OK","")</f>
        <v/>
      </c>
    </row>
    <row r="300" spans="1:9">
      <c r="A300" s="29"/>
      <c r="B300" s="29"/>
      <c r="C300" s="28"/>
      <c r="D300" s="28"/>
      <c r="E300" s="29"/>
      <c r="F300" s="29"/>
      <c r="G300" s="29"/>
      <c r="H300" s="28"/>
      <c r="I300" s="29" t="str">
        <f>IF(AND(A300&lt;&gt;"",SUMIF(NESTING!I:I,A300,NESTING!J:J)=G300),"OK","")</f>
        <v/>
      </c>
    </row>
    <row r="301" spans="1:9">
      <c r="A301" s="29"/>
      <c r="B301" s="29"/>
      <c r="C301" s="28"/>
      <c r="D301" s="28"/>
      <c r="E301" s="29"/>
      <c r="F301" s="29"/>
      <c r="G301" s="29"/>
      <c r="H301" s="28"/>
      <c r="I301" s="29" t="str">
        <f>IF(AND(A301&lt;&gt;"",SUMIF(NESTING!I:I,A301,NESTING!J:J)=G301),"OK","")</f>
        <v/>
      </c>
    </row>
    <row r="302" spans="1:9">
      <c r="A302" s="29"/>
      <c r="B302" s="29"/>
      <c r="C302" s="28"/>
      <c r="D302" s="28"/>
      <c r="E302" s="29"/>
      <c r="F302" s="29"/>
      <c r="G302" s="29"/>
      <c r="H302" s="28"/>
      <c r="I302" s="29" t="str">
        <f>IF(AND(A302&lt;&gt;"",SUMIF(NESTING!I:I,A302,NESTING!J:J)=G302),"OK","")</f>
        <v/>
      </c>
    </row>
    <row r="303" spans="1:9">
      <c r="A303" s="29"/>
      <c r="B303" s="29"/>
      <c r="C303" s="28"/>
      <c r="D303" s="28"/>
      <c r="E303" s="29"/>
      <c r="F303" s="29"/>
      <c r="G303" s="29"/>
      <c r="H303" s="28"/>
      <c r="I303" s="29" t="str">
        <f>IF(AND(A303&lt;&gt;"",SUMIF(NESTING!I:I,A303,NESTING!J:J)=G303),"OK","")</f>
        <v/>
      </c>
    </row>
    <row r="304" spans="1:9">
      <c r="A304" s="29"/>
      <c r="B304" s="29"/>
      <c r="C304" s="28"/>
      <c r="D304" s="28"/>
      <c r="E304" s="29"/>
      <c r="F304" s="29"/>
      <c r="G304" s="29"/>
      <c r="H304" s="28"/>
      <c r="I304" s="29" t="str">
        <f>IF(AND(A304&lt;&gt;"",SUMIF(NESTING!I:I,A304,NESTING!J:J)=G304),"OK","")</f>
        <v/>
      </c>
    </row>
    <row r="305" spans="1:9">
      <c r="A305" s="29"/>
      <c r="B305" s="29"/>
      <c r="C305" s="28"/>
      <c r="D305" s="28"/>
      <c r="E305" s="29"/>
      <c r="F305" s="29"/>
      <c r="G305" s="29"/>
      <c r="H305" s="28"/>
      <c r="I305" s="29" t="str">
        <f>IF(AND(A305&lt;&gt;"",SUMIF(NESTING!I:I,A305,NESTING!J:J)=G305),"OK","")</f>
        <v/>
      </c>
    </row>
    <row r="306" spans="1:9">
      <c r="A306" s="29"/>
      <c r="B306" s="29"/>
      <c r="C306" s="28"/>
      <c r="D306" s="28"/>
      <c r="E306" s="29"/>
      <c r="F306" s="29"/>
      <c r="G306" s="29"/>
      <c r="H306" s="28"/>
      <c r="I306" s="29" t="str">
        <f>IF(AND(A306&lt;&gt;"",SUMIF(NESTING!I:I,A306,NESTING!J:J)=G306),"OK","")</f>
        <v/>
      </c>
    </row>
    <row r="307" spans="1:9">
      <c r="A307" s="29"/>
      <c r="B307" s="29"/>
      <c r="C307" s="28"/>
      <c r="D307" s="28"/>
      <c r="E307" s="29"/>
      <c r="F307" s="29"/>
      <c r="G307" s="29"/>
      <c r="H307" s="28"/>
      <c r="I307" s="29" t="str">
        <f>IF(AND(A307&lt;&gt;"",SUMIF(NESTING!I:I,A307,NESTING!J:J)=G307),"OK","")</f>
        <v/>
      </c>
    </row>
    <row r="308" spans="1:9">
      <c r="A308" s="29"/>
      <c r="B308" s="29"/>
      <c r="C308" s="28"/>
      <c r="D308" s="28"/>
      <c r="E308" s="29"/>
      <c r="F308" s="29"/>
      <c r="G308" s="29"/>
      <c r="H308" s="28"/>
      <c r="I308" s="29" t="str">
        <f>IF(AND(A308&lt;&gt;"",SUMIF(NESTING!I:I,A308,NESTING!J:J)=G308),"OK","")</f>
        <v/>
      </c>
    </row>
    <row r="309" spans="1:9">
      <c r="A309" s="29"/>
      <c r="B309" s="29"/>
      <c r="C309" s="28"/>
      <c r="D309" s="28"/>
      <c r="E309" s="29"/>
      <c r="F309" s="29"/>
      <c r="G309" s="29"/>
      <c r="H309" s="28"/>
      <c r="I309" s="29" t="str">
        <f>IF(AND(A309&lt;&gt;"",SUMIF(NESTING!I:I,A309,NESTING!J:J)=G309),"OK","")</f>
        <v/>
      </c>
    </row>
    <row r="310" spans="1:9">
      <c r="A310" s="29"/>
      <c r="B310" s="29"/>
      <c r="C310" s="28"/>
      <c r="D310" s="28"/>
      <c r="E310" s="29"/>
      <c r="F310" s="29"/>
      <c r="G310" s="29"/>
      <c r="H310" s="28"/>
      <c r="I310" s="29" t="str">
        <f>IF(AND(A310&lt;&gt;"",SUMIF(NESTING!I:I,A310,NESTING!J:J)=G310),"OK","")</f>
        <v/>
      </c>
    </row>
    <row r="311" spans="1:9">
      <c r="A311" s="29"/>
      <c r="B311" s="29"/>
      <c r="C311" s="28"/>
      <c r="D311" s="28"/>
      <c r="E311" s="29"/>
      <c r="F311" s="29"/>
      <c r="G311" s="29"/>
      <c r="H311" s="28"/>
      <c r="I311" s="29" t="str">
        <f>IF(AND(A311&lt;&gt;"",SUMIF(NESTING!I:I,A311,NESTING!J:J)=G311),"OK","")</f>
        <v/>
      </c>
    </row>
    <row r="312" spans="1:9">
      <c r="A312" s="29"/>
      <c r="B312" s="29"/>
      <c r="C312" s="28"/>
      <c r="D312" s="28"/>
      <c r="E312" s="29"/>
      <c r="F312" s="29"/>
      <c r="G312" s="29"/>
      <c r="H312" s="28"/>
      <c r="I312" s="29" t="str">
        <f>IF(AND(A312&lt;&gt;"",SUMIF(NESTING!I:I,A312,NESTING!J:J)=G312),"OK","")</f>
        <v/>
      </c>
    </row>
    <row r="313" spans="1:9">
      <c r="A313" s="29"/>
      <c r="B313" s="29"/>
      <c r="C313" s="28"/>
      <c r="D313" s="28"/>
      <c r="E313" s="29"/>
      <c r="F313" s="29"/>
      <c r="G313" s="29"/>
      <c r="H313" s="28"/>
      <c r="I313" s="29" t="str">
        <f>IF(AND(A313&lt;&gt;"",SUMIF(NESTING!I:I,A313,NESTING!J:J)=G313),"OK","")</f>
        <v/>
      </c>
    </row>
    <row r="314" spans="1:9">
      <c r="A314" s="29"/>
      <c r="B314" s="29"/>
      <c r="C314" s="28"/>
      <c r="D314" s="28"/>
      <c r="E314" s="29"/>
      <c r="F314" s="29"/>
      <c r="G314" s="29"/>
      <c r="H314" s="28"/>
      <c r="I314" s="29" t="str">
        <f>IF(AND(A314&lt;&gt;"",SUMIF(NESTING!I:I,A314,NESTING!J:J)=G314),"OK","")</f>
        <v/>
      </c>
    </row>
    <row r="315" spans="1:9">
      <c r="A315" s="29"/>
      <c r="B315" s="29"/>
      <c r="C315" s="28"/>
      <c r="D315" s="28"/>
      <c r="E315" s="29"/>
      <c r="F315" s="29"/>
      <c r="G315" s="29"/>
      <c r="H315" s="28"/>
      <c r="I315" s="29" t="str">
        <f>IF(AND(A315&lt;&gt;"",SUMIF(NESTING!I:I,A315,NESTING!J:J)=G315),"OK","")</f>
        <v/>
      </c>
    </row>
    <row r="316" spans="1:9">
      <c r="A316" s="29"/>
      <c r="B316" s="29"/>
      <c r="C316" s="28"/>
      <c r="D316" s="28"/>
      <c r="E316" s="29"/>
      <c r="F316" s="29"/>
      <c r="G316" s="29"/>
      <c r="H316" s="28"/>
      <c r="I316" s="29" t="str">
        <f>IF(AND(A316&lt;&gt;"",SUMIF(NESTING!I:I,A316,NESTING!J:J)=G316),"OK","")</f>
        <v/>
      </c>
    </row>
    <row r="317" spans="1:9">
      <c r="A317" s="29"/>
      <c r="B317" s="29"/>
      <c r="C317" s="28"/>
      <c r="D317" s="28"/>
      <c r="E317" s="29"/>
      <c r="F317" s="29"/>
      <c r="G317" s="29"/>
      <c r="H317" s="28"/>
      <c r="I317" s="29" t="str">
        <f>IF(AND(A317&lt;&gt;"",SUMIF(NESTING!I:I,A317,NESTING!J:J)=G317),"OK","")</f>
        <v/>
      </c>
    </row>
    <row r="318" spans="1:9">
      <c r="A318" s="29"/>
      <c r="B318" s="29"/>
      <c r="C318" s="28"/>
      <c r="D318" s="28"/>
      <c r="E318" s="29"/>
      <c r="F318" s="29"/>
      <c r="G318" s="29"/>
      <c r="H318" s="28"/>
      <c r="I318" s="29" t="str">
        <f>IF(AND(A318&lt;&gt;"",SUMIF(NESTING!I:I,A318,NESTING!J:J)=G318),"OK","")</f>
        <v/>
      </c>
    </row>
    <row r="319" spans="1:9">
      <c r="A319" s="29"/>
      <c r="B319" s="29"/>
      <c r="C319" s="28"/>
      <c r="D319" s="28"/>
      <c r="E319" s="29"/>
      <c r="F319" s="29"/>
      <c r="G319" s="29"/>
      <c r="H319" s="28"/>
      <c r="I319" s="29" t="str">
        <f>IF(AND(A319&lt;&gt;"",SUMIF(NESTING!I:I,A319,NESTING!J:J)=G319),"OK","")</f>
        <v/>
      </c>
    </row>
    <row r="320" spans="1:9">
      <c r="A320" s="29"/>
      <c r="B320" s="29"/>
      <c r="C320" s="28"/>
      <c r="D320" s="28"/>
      <c r="E320" s="29"/>
      <c r="F320" s="29"/>
      <c r="G320" s="29"/>
      <c r="H320" s="28"/>
      <c r="I320" s="29" t="str">
        <f>IF(AND(A320&lt;&gt;"",SUMIF(NESTING!I:I,A320,NESTING!J:J)=G320),"OK","")</f>
        <v/>
      </c>
    </row>
    <row r="321" spans="1:9">
      <c r="A321" s="29"/>
      <c r="B321" s="29"/>
      <c r="C321" s="28"/>
      <c r="D321" s="28"/>
      <c r="E321" s="29"/>
      <c r="F321" s="29"/>
      <c r="G321" s="29"/>
      <c r="H321" s="28"/>
      <c r="I321" s="29" t="str">
        <f>IF(AND(A321&lt;&gt;"",SUMIF(NESTING!I:I,A321,NESTING!J:J)=G321),"OK","")</f>
        <v/>
      </c>
    </row>
    <row r="322" spans="1:9">
      <c r="A322" s="29"/>
      <c r="B322" s="29"/>
      <c r="C322" s="28"/>
      <c r="D322" s="28"/>
      <c r="E322" s="29"/>
      <c r="F322" s="29"/>
      <c r="G322" s="29"/>
      <c r="H322" s="28"/>
      <c r="I322" s="29" t="str">
        <f>IF(AND(A322&lt;&gt;"",SUMIF(NESTING!I:I,A322,NESTING!J:J)=G322),"OK","")</f>
        <v/>
      </c>
    </row>
    <row r="323" spans="1:9">
      <c r="A323" s="29"/>
      <c r="B323" s="29"/>
      <c r="C323" s="28"/>
      <c r="D323" s="28"/>
      <c r="E323" s="29"/>
      <c r="F323" s="29"/>
      <c r="G323" s="29"/>
      <c r="H323" s="28"/>
      <c r="I323" s="29" t="str">
        <f>IF(AND(A323&lt;&gt;"",SUMIF(NESTING!I:I,A323,NESTING!J:J)=G323),"OK","")</f>
        <v/>
      </c>
    </row>
    <row r="324" spans="1:9">
      <c r="A324" s="29"/>
      <c r="B324" s="29"/>
      <c r="C324" s="28"/>
      <c r="D324" s="28"/>
      <c r="E324" s="29"/>
      <c r="F324" s="29"/>
      <c r="G324" s="29"/>
      <c r="H324" s="28"/>
      <c r="I324" s="29" t="str">
        <f>IF(AND(A324&lt;&gt;"",SUMIF(NESTING!I:I,A324,NESTING!J:J)=G324),"OK","")</f>
        <v/>
      </c>
    </row>
    <row r="325" spans="1:9">
      <c r="A325" s="29"/>
      <c r="B325" s="29"/>
      <c r="C325" s="28"/>
      <c r="D325" s="28"/>
      <c r="E325" s="29"/>
      <c r="F325" s="29"/>
      <c r="G325" s="29"/>
      <c r="H325" s="28"/>
      <c r="I325" s="29" t="str">
        <f>IF(AND(A325&lt;&gt;"",SUMIF(NESTING!I:I,A325,NESTING!J:J)=G325),"OK","")</f>
        <v/>
      </c>
    </row>
    <row r="326" spans="1:9">
      <c r="A326" s="29"/>
      <c r="B326" s="29"/>
      <c r="C326" s="28"/>
      <c r="D326" s="28"/>
      <c r="E326" s="29"/>
      <c r="F326" s="29"/>
      <c r="G326" s="29"/>
      <c r="H326" s="28"/>
      <c r="I326" s="29" t="str">
        <f>IF(AND(A326&lt;&gt;"",SUMIF(NESTING!I:I,A326,NESTING!J:J)=G326),"OK","")</f>
        <v/>
      </c>
    </row>
    <row r="327" spans="1:9">
      <c r="A327" s="29"/>
      <c r="B327" s="29"/>
      <c r="C327" s="28"/>
      <c r="D327" s="28"/>
      <c r="E327" s="29"/>
      <c r="F327" s="29"/>
      <c r="G327" s="29"/>
      <c r="H327" s="28"/>
      <c r="I327" s="29" t="str">
        <f>IF(AND(A327&lt;&gt;"",SUMIF(NESTING!I:I,A327,NESTING!J:J)=G327),"OK","")</f>
        <v/>
      </c>
    </row>
    <row r="328" spans="1:9">
      <c r="A328" s="29"/>
      <c r="B328" s="29"/>
      <c r="C328" s="28"/>
      <c r="D328" s="28"/>
      <c r="E328" s="29"/>
      <c r="F328" s="29"/>
      <c r="G328" s="29"/>
      <c r="H328" s="28"/>
      <c r="I328" s="29" t="str">
        <f>IF(AND(A328&lt;&gt;"",SUMIF(NESTING!I:I,A328,NESTING!J:J)=G328),"OK","")</f>
        <v/>
      </c>
    </row>
    <row r="329" spans="1:9">
      <c r="A329" s="29"/>
      <c r="B329" s="29"/>
      <c r="C329" s="28"/>
      <c r="D329" s="28"/>
      <c r="E329" s="29"/>
      <c r="F329" s="29"/>
      <c r="G329" s="29"/>
      <c r="H329" s="28"/>
      <c r="I329" s="29" t="str">
        <f>IF(AND(A329&lt;&gt;"",SUMIF(NESTING!I:I,A329,NESTING!J:J)=G329),"OK","")</f>
        <v/>
      </c>
    </row>
    <row r="330" spans="1:9">
      <c r="A330" s="29"/>
      <c r="B330" s="29"/>
      <c r="C330" s="28"/>
      <c r="D330" s="28"/>
      <c r="E330" s="29"/>
      <c r="F330" s="29"/>
      <c r="G330" s="29"/>
      <c r="H330" s="28"/>
      <c r="I330" s="29" t="str">
        <f>IF(AND(A330&lt;&gt;"",SUMIF(NESTING!I:I,A330,NESTING!J:J)=G330),"OK","")</f>
        <v/>
      </c>
    </row>
    <row r="331" spans="1:9">
      <c r="A331" s="29"/>
      <c r="B331" s="29"/>
      <c r="C331" s="28"/>
      <c r="D331" s="28"/>
      <c r="E331" s="29"/>
      <c r="F331" s="29"/>
      <c r="G331" s="29"/>
      <c r="H331" s="28"/>
      <c r="I331" s="29" t="str">
        <f>IF(AND(A331&lt;&gt;"",SUMIF(NESTING!I:I,A331,NESTING!J:J)=G331),"OK","")</f>
        <v/>
      </c>
    </row>
    <row r="332" spans="1:9">
      <c r="A332" s="29"/>
      <c r="B332" s="29"/>
      <c r="C332" s="28"/>
      <c r="D332" s="28"/>
      <c r="E332" s="29"/>
      <c r="F332" s="29"/>
      <c r="G332" s="29"/>
      <c r="H332" s="28"/>
      <c r="I332" s="29" t="str">
        <f>IF(AND(A332&lt;&gt;"",SUMIF(NESTING!I:I,A332,NESTING!J:J)=G332),"OK","")</f>
        <v/>
      </c>
    </row>
    <row r="333" spans="1:9">
      <c r="A333" s="29"/>
      <c r="B333" s="29"/>
      <c r="C333" s="28"/>
      <c r="D333" s="28"/>
      <c r="E333" s="29"/>
      <c r="F333" s="29"/>
      <c r="G333" s="29"/>
      <c r="H333" s="28"/>
      <c r="I333" s="29" t="str">
        <f>IF(AND(A333&lt;&gt;"",SUMIF(NESTING!I:I,A333,NESTING!J:J)=G333),"OK","")</f>
        <v/>
      </c>
    </row>
    <row r="334" spans="1:9">
      <c r="A334" s="29"/>
      <c r="B334" s="29"/>
      <c r="C334" s="28"/>
      <c r="D334" s="28"/>
      <c r="E334" s="29"/>
      <c r="F334" s="29"/>
      <c r="G334" s="29"/>
      <c r="H334" s="28"/>
      <c r="I334" s="29" t="str">
        <f>IF(AND(A334&lt;&gt;"",SUMIF(NESTING!I:I,A334,NESTING!J:J)=G334),"OK","")</f>
        <v/>
      </c>
    </row>
    <row r="335" spans="1:9">
      <c r="A335" s="29"/>
      <c r="B335" s="29"/>
      <c r="C335" s="28"/>
      <c r="D335" s="28"/>
      <c r="E335" s="29"/>
      <c r="F335" s="29"/>
      <c r="G335" s="29"/>
      <c r="H335" s="28"/>
      <c r="I335" s="29" t="str">
        <f>IF(AND(A335&lt;&gt;"",SUMIF(NESTING!I:I,A335,NESTING!J:J)=G335),"OK","")</f>
        <v/>
      </c>
    </row>
    <row r="336" spans="1:9">
      <c r="A336" s="29"/>
      <c r="B336" s="29"/>
      <c r="C336" s="28"/>
      <c r="D336" s="28"/>
      <c r="E336" s="29"/>
      <c r="F336" s="29"/>
      <c r="G336" s="29"/>
      <c r="H336" s="28"/>
      <c r="I336" s="29" t="str">
        <f>IF(AND(A336&lt;&gt;"",SUMIF(NESTING!I:I,A336,NESTING!J:J)=G336),"OK","")</f>
        <v/>
      </c>
    </row>
    <row r="337" spans="1:9">
      <c r="A337" s="29"/>
      <c r="B337" s="29"/>
      <c r="C337" s="28"/>
      <c r="D337" s="28"/>
      <c r="E337" s="29"/>
      <c r="F337" s="29"/>
      <c r="G337" s="29"/>
      <c r="H337" s="28"/>
      <c r="I337" s="29" t="str">
        <f>IF(AND(A337&lt;&gt;"",SUMIF(NESTING!I:I,A337,NESTING!J:J)=G337),"OK","")</f>
        <v/>
      </c>
    </row>
    <row r="338" spans="1:9">
      <c r="A338" s="29"/>
      <c r="B338" s="29"/>
      <c r="C338" s="28"/>
      <c r="D338" s="28"/>
      <c r="E338" s="29"/>
      <c r="F338" s="29"/>
      <c r="G338" s="29"/>
      <c r="H338" s="28"/>
      <c r="I338" s="29" t="str">
        <f>IF(AND(A338&lt;&gt;"",SUMIF(NESTING!I:I,A338,NESTING!J:J)=G338),"OK","")</f>
        <v/>
      </c>
    </row>
    <row r="339" spans="1:9">
      <c r="A339" s="29"/>
      <c r="B339" s="29"/>
      <c r="C339" s="28"/>
      <c r="D339" s="28"/>
      <c r="E339" s="29"/>
      <c r="F339" s="29"/>
      <c r="G339" s="29"/>
      <c r="H339" s="28"/>
      <c r="I339" s="29" t="str">
        <f>IF(AND(A339&lt;&gt;"",SUMIF(NESTING!I:I,A339,NESTING!J:J)=G339),"OK","")</f>
        <v/>
      </c>
    </row>
    <row r="340" spans="1:9">
      <c r="A340" s="29"/>
      <c r="B340" s="29"/>
      <c r="C340" s="28"/>
      <c r="D340" s="28"/>
      <c r="E340" s="29"/>
      <c r="F340" s="29"/>
      <c r="G340" s="29"/>
      <c r="H340" s="28"/>
      <c r="I340" s="29" t="str">
        <f>IF(AND(A340&lt;&gt;"",SUMIF(NESTING!I:I,A340,NESTING!J:J)=G340),"OK","")</f>
        <v/>
      </c>
    </row>
    <row r="341" spans="1:9">
      <c r="A341" s="29"/>
      <c r="B341" s="29"/>
      <c r="C341" s="28"/>
      <c r="D341" s="28"/>
      <c r="E341" s="29"/>
      <c r="F341" s="29"/>
      <c r="G341" s="29"/>
      <c r="H341" s="28"/>
      <c r="I341" s="29" t="str">
        <f>IF(AND(A341&lt;&gt;"",SUMIF(NESTING!I:I,A341,NESTING!J:J)=G341),"OK","")</f>
        <v/>
      </c>
    </row>
    <row r="342" spans="1:9">
      <c r="A342" s="29"/>
      <c r="B342" s="29"/>
      <c r="C342" s="28"/>
      <c r="D342" s="28"/>
      <c r="E342" s="29"/>
      <c r="F342" s="29"/>
      <c r="G342" s="29"/>
      <c r="H342" s="28"/>
      <c r="I342" s="29" t="str">
        <f>IF(AND(A342&lt;&gt;"",SUMIF(NESTING!I:I,A342,NESTING!J:J)=G342),"OK","")</f>
        <v/>
      </c>
    </row>
    <row r="343" spans="1:9">
      <c r="A343" s="29"/>
      <c r="B343" s="29"/>
      <c r="C343" s="28"/>
      <c r="D343" s="28"/>
      <c r="E343" s="29"/>
      <c r="F343" s="29"/>
      <c r="G343" s="29"/>
      <c r="H343" s="28"/>
      <c r="I343" s="29" t="str">
        <f>IF(AND(A343&lt;&gt;"",SUMIF(NESTING!I:I,A343,NESTING!J:J)=G343),"OK","")</f>
        <v/>
      </c>
    </row>
    <row r="344" spans="1:9">
      <c r="A344" s="29"/>
      <c r="B344" s="29"/>
      <c r="C344" s="28"/>
      <c r="D344" s="28"/>
      <c r="E344" s="29"/>
      <c r="F344" s="29"/>
      <c r="G344" s="29"/>
      <c r="H344" s="28"/>
      <c r="I344" s="29" t="str">
        <f>IF(AND(A344&lt;&gt;"",SUMIF(NESTING!I:I,A344,NESTING!J:J)=G344),"OK","")</f>
        <v/>
      </c>
    </row>
    <row r="345" spans="1:9">
      <c r="A345" s="29"/>
      <c r="B345" s="29"/>
      <c r="C345" s="28"/>
      <c r="D345" s="28"/>
      <c r="E345" s="29"/>
      <c r="F345" s="29"/>
      <c r="G345" s="29"/>
      <c r="H345" s="28"/>
      <c r="I345" s="29" t="str">
        <f>IF(AND(A345&lt;&gt;"",SUMIF(NESTING!I:I,A345,NESTING!J:J)=G345),"OK","")</f>
        <v/>
      </c>
    </row>
    <row r="346" spans="1:9">
      <c r="A346" s="29"/>
      <c r="B346" s="29"/>
      <c r="C346" s="28"/>
      <c r="D346" s="28"/>
      <c r="E346" s="29"/>
      <c r="F346" s="29"/>
      <c r="G346" s="29"/>
      <c r="H346" s="28"/>
      <c r="I346" s="29" t="str">
        <f>IF(AND(A346&lt;&gt;"",SUMIF(NESTING!I:I,A346,NESTING!J:J)=G346),"OK","")</f>
        <v/>
      </c>
    </row>
    <row r="347" spans="1:9">
      <c r="A347" s="29"/>
      <c r="B347" s="29"/>
      <c r="C347" s="28"/>
      <c r="D347" s="28"/>
      <c r="E347" s="29"/>
      <c r="F347" s="29"/>
      <c r="G347" s="29"/>
      <c r="H347" s="28"/>
      <c r="I347" s="29" t="str">
        <f>IF(AND(A347&lt;&gt;"",SUMIF(NESTING!I:I,A347,NESTING!J:J)=G347),"OK","")</f>
        <v/>
      </c>
    </row>
    <row r="348" spans="1:9">
      <c r="A348" s="29"/>
      <c r="B348" s="29"/>
      <c r="C348" s="28"/>
      <c r="D348" s="28"/>
      <c r="E348" s="29"/>
      <c r="F348" s="29"/>
      <c r="G348" s="29"/>
      <c r="H348" s="28"/>
      <c r="I348" s="29" t="str">
        <f>IF(AND(A348&lt;&gt;"",SUMIF(NESTING!I:I,A348,NESTING!J:J)=G348),"OK","")</f>
        <v/>
      </c>
    </row>
    <row r="349" spans="1:9">
      <c r="A349" s="29"/>
      <c r="B349" s="29"/>
      <c r="C349" s="28"/>
      <c r="D349" s="28"/>
      <c r="E349" s="29"/>
      <c r="F349" s="29"/>
      <c r="G349" s="29"/>
      <c r="H349" s="28"/>
      <c r="I349" s="29" t="str">
        <f>IF(AND(A349&lt;&gt;"",SUMIF(NESTING!I:I,A349,NESTING!J:J)=G349),"OK","")</f>
        <v/>
      </c>
    </row>
    <row r="350" spans="1:9">
      <c r="A350" s="29"/>
      <c r="B350" s="29"/>
      <c r="C350" s="28"/>
      <c r="D350" s="28"/>
      <c r="E350" s="29"/>
      <c r="F350" s="29"/>
      <c r="G350" s="29"/>
      <c r="H350" s="28"/>
      <c r="I350" s="29" t="str">
        <f>IF(AND(A350&lt;&gt;"",SUMIF(NESTING!I:I,A350,NESTING!J:J)=G350),"OK","")</f>
        <v/>
      </c>
    </row>
    <row r="351" spans="1:9">
      <c r="A351" s="29"/>
      <c r="B351" s="29"/>
      <c r="C351" s="28"/>
      <c r="D351" s="28"/>
      <c r="E351" s="29"/>
      <c r="F351" s="29"/>
      <c r="G351" s="29"/>
      <c r="H351" s="28"/>
      <c r="I351" s="29" t="str">
        <f>IF(AND(A351&lt;&gt;"",SUMIF(NESTING!I:I,A351,NESTING!J:J)=G351),"OK","")</f>
        <v/>
      </c>
    </row>
    <row r="352" spans="1:9">
      <c r="A352" s="29"/>
      <c r="B352" s="29"/>
      <c r="C352" s="28"/>
      <c r="D352" s="28"/>
      <c r="E352" s="29"/>
      <c r="F352" s="29"/>
      <c r="G352" s="29"/>
      <c r="H352" s="28"/>
      <c r="I352" s="29" t="str">
        <f>IF(AND(A352&lt;&gt;"",SUMIF(NESTING!I:I,A352,NESTING!J:J)=G352),"OK","")</f>
        <v/>
      </c>
    </row>
    <row r="353" spans="1:9">
      <c r="A353" s="29"/>
      <c r="B353" s="29"/>
      <c r="C353" s="28"/>
      <c r="D353" s="28"/>
      <c r="E353" s="29"/>
      <c r="F353" s="29"/>
      <c r="G353" s="29"/>
      <c r="H353" s="28"/>
      <c r="I353" s="29" t="str">
        <f>IF(AND(A353&lt;&gt;"",SUMIF(NESTING!I:I,A353,NESTING!J:J)=G353),"OK","")</f>
        <v/>
      </c>
    </row>
    <row r="354" spans="1:9">
      <c r="A354" s="29"/>
      <c r="B354" s="29"/>
      <c r="C354" s="28"/>
      <c r="D354" s="28"/>
      <c r="E354" s="29"/>
      <c r="F354" s="29"/>
      <c r="G354" s="29"/>
      <c r="H354" s="28"/>
      <c r="I354" s="29" t="str">
        <f>IF(AND(A354&lt;&gt;"",SUMIF(NESTING!I:I,A354,NESTING!J:J)=G354),"OK","")</f>
        <v/>
      </c>
    </row>
    <row r="355" spans="1:9">
      <c r="A355" s="29"/>
      <c r="B355" s="29"/>
      <c r="C355" s="28"/>
      <c r="D355" s="28"/>
      <c r="E355" s="29"/>
      <c r="F355" s="29"/>
      <c r="G355" s="29"/>
      <c r="H355" s="28"/>
      <c r="I355" s="29" t="str">
        <f>IF(AND(A355&lt;&gt;"",SUMIF(NESTING!I:I,A355,NESTING!J:J)=G355),"OK","")</f>
        <v/>
      </c>
    </row>
    <row r="356" spans="1:9">
      <c r="A356" s="29"/>
      <c r="B356" s="29"/>
      <c r="C356" s="28"/>
      <c r="D356" s="28"/>
      <c r="E356" s="29"/>
      <c r="F356" s="29"/>
      <c r="G356" s="29"/>
      <c r="H356" s="28"/>
      <c r="I356" s="29" t="str">
        <f>IF(AND(A356&lt;&gt;"",SUMIF(NESTING!I:I,A356,NESTING!J:J)=G356),"OK","")</f>
        <v/>
      </c>
    </row>
    <row r="357" spans="1:9">
      <c r="A357" s="29"/>
      <c r="B357" s="29"/>
      <c r="C357" s="28"/>
      <c r="D357" s="28"/>
      <c r="E357" s="29"/>
      <c r="F357" s="29"/>
      <c r="G357" s="29"/>
      <c r="H357" s="28"/>
      <c r="I357" s="29" t="str">
        <f>IF(AND(A357&lt;&gt;"",SUMIF(NESTING!I:I,A357,NESTING!J:J)=G357),"OK","")</f>
        <v/>
      </c>
    </row>
    <row r="358" spans="1:9">
      <c r="A358" s="29"/>
      <c r="B358" s="29"/>
      <c r="C358" s="28"/>
      <c r="D358" s="28"/>
      <c r="E358" s="29"/>
      <c r="F358" s="29"/>
      <c r="G358" s="29"/>
      <c r="H358" s="28"/>
      <c r="I358" s="29" t="str">
        <f>IF(AND(A358&lt;&gt;"",SUMIF(NESTING!I:I,A358,NESTING!J:J)=G358),"OK","")</f>
        <v/>
      </c>
    </row>
    <row r="359" spans="1:9">
      <c r="A359" s="29"/>
      <c r="B359" s="29"/>
      <c r="C359" s="28"/>
      <c r="D359" s="28"/>
      <c r="E359" s="29"/>
      <c r="F359" s="29"/>
      <c r="G359" s="29"/>
      <c r="H359" s="28"/>
      <c r="I359" s="29" t="str">
        <f>IF(AND(A359&lt;&gt;"",SUMIF(NESTING!I:I,A359,NESTING!J:J)=G359),"OK","")</f>
        <v/>
      </c>
    </row>
    <row r="360" spans="1:9">
      <c r="A360" s="29"/>
      <c r="B360" s="29"/>
      <c r="C360" s="28"/>
      <c r="D360" s="28"/>
      <c r="E360" s="29"/>
      <c r="F360" s="29"/>
      <c r="G360" s="29"/>
      <c r="H360" s="28"/>
      <c r="I360" s="29" t="str">
        <f>IF(AND(A360&lt;&gt;"",SUMIF(NESTING!I:I,A360,NESTING!J:J)=G360),"OK","")</f>
        <v/>
      </c>
    </row>
    <row r="361" spans="1:9">
      <c r="A361" s="29"/>
      <c r="B361" s="29"/>
      <c r="C361" s="28"/>
      <c r="D361" s="28"/>
      <c r="E361" s="29"/>
      <c r="F361" s="29"/>
      <c r="G361" s="29"/>
      <c r="H361" s="28"/>
      <c r="I361" s="29" t="str">
        <f>IF(AND(A361&lt;&gt;"",SUMIF(NESTING!I:I,A361,NESTING!J:J)=G361),"OK","")</f>
        <v/>
      </c>
    </row>
    <row r="362" spans="1:9">
      <c r="A362" s="29"/>
      <c r="B362" s="29"/>
      <c r="C362" s="28"/>
      <c r="D362" s="28"/>
      <c r="E362" s="29"/>
      <c r="F362" s="29"/>
      <c r="G362" s="29"/>
      <c r="H362" s="28"/>
      <c r="I362" s="29" t="str">
        <f>IF(AND(A362&lt;&gt;"",SUMIF(NESTING!I:I,A362,NESTING!J:J)=G362),"OK","")</f>
        <v/>
      </c>
    </row>
    <row r="363" spans="1:9">
      <c r="A363" s="29"/>
      <c r="B363" s="29"/>
      <c r="C363" s="28"/>
      <c r="D363" s="28"/>
      <c r="E363" s="29"/>
      <c r="F363" s="29"/>
      <c r="G363" s="29"/>
      <c r="H363" s="28"/>
      <c r="I363" s="29" t="str">
        <f>IF(AND(A363&lt;&gt;"",SUMIF(NESTING!I:I,A363,NESTING!J:J)=G363),"OK","")</f>
        <v/>
      </c>
    </row>
    <row r="364" spans="1:9">
      <c r="A364" s="29"/>
      <c r="B364" s="29"/>
      <c r="C364" s="28"/>
      <c r="D364" s="28"/>
      <c r="E364" s="29"/>
      <c r="F364" s="29"/>
      <c r="G364" s="29"/>
      <c r="H364" s="28"/>
      <c r="I364" s="29" t="str">
        <f>IF(AND(A364&lt;&gt;"",SUMIF(NESTING!I:I,A364,NESTING!J:J)=G364),"OK","")</f>
        <v/>
      </c>
    </row>
    <row r="365" spans="1:9">
      <c r="A365" s="29"/>
      <c r="B365" s="29"/>
      <c r="C365" s="28"/>
      <c r="D365" s="28"/>
      <c r="E365" s="29"/>
      <c r="F365" s="29"/>
      <c r="G365" s="29"/>
      <c r="H365" s="28"/>
      <c r="I365" s="29" t="str">
        <f>IF(AND(A365&lt;&gt;"",SUMIF(NESTING!I:I,A365,NESTING!J:J)=G365),"OK","")</f>
        <v/>
      </c>
    </row>
    <row r="366" spans="1:9">
      <c r="A366" s="29"/>
      <c r="B366" s="29"/>
      <c r="C366" s="28"/>
      <c r="D366" s="28"/>
      <c r="E366" s="29"/>
      <c r="F366" s="29"/>
      <c r="G366" s="29"/>
      <c r="H366" s="28"/>
      <c r="I366" s="29" t="str">
        <f>IF(AND(A366&lt;&gt;"",SUMIF(NESTING!I:I,A366,NESTING!J:J)=G366),"OK","")</f>
        <v/>
      </c>
    </row>
    <row r="367" spans="1:9">
      <c r="A367" s="29"/>
      <c r="B367" s="29"/>
      <c r="C367" s="28"/>
      <c r="D367" s="28"/>
      <c r="E367" s="29"/>
      <c r="F367" s="29"/>
      <c r="G367" s="29"/>
      <c r="H367" s="28"/>
      <c r="I367" s="29" t="str">
        <f>IF(AND(A367&lt;&gt;"",SUMIF(NESTING!I:I,A367,NESTING!J:J)=G367),"OK","")</f>
        <v/>
      </c>
    </row>
    <row r="368" spans="1:9">
      <c r="A368" s="29"/>
      <c r="B368" s="29"/>
      <c r="C368" s="28"/>
      <c r="D368" s="28"/>
      <c r="E368" s="29"/>
      <c r="F368" s="29"/>
      <c r="G368" s="29"/>
      <c r="H368" s="28"/>
      <c r="I368" s="29" t="str">
        <f>IF(AND(A368&lt;&gt;"",SUMIF(NESTING!I:I,A368,NESTING!J:J)=G368),"OK","")</f>
        <v/>
      </c>
    </row>
    <row r="369" spans="1:9">
      <c r="A369" s="29"/>
      <c r="B369" s="29"/>
      <c r="C369" s="28"/>
      <c r="D369" s="28"/>
      <c r="E369" s="29"/>
      <c r="F369" s="29"/>
      <c r="G369" s="29"/>
      <c r="H369" s="28"/>
      <c r="I369" s="29" t="str">
        <f>IF(AND(A369&lt;&gt;"",SUMIF(NESTING!I:I,A369,NESTING!J:J)=G369),"OK","")</f>
        <v/>
      </c>
    </row>
    <row r="370" spans="1:9">
      <c r="A370" s="29"/>
      <c r="B370" s="29"/>
      <c r="C370" s="28"/>
      <c r="D370" s="28"/>
      <c r="E370" s="29"/>
      <c r="F370" s="29"/>
      <c r="G370" s="29"/>
      <c r="H370" s="28"/>
      <c r="I370" s="29" t="str">
        <f>IF(AND(A370&lt;&gt;"",SUMIF(NESTING!I:I,A370,NESTING!J:J)=G370),"OK","")</f>
        <v/>
      </c>
    </row>
    <row r="371" spans="1:9">
      <c r="A371" s="29"/>
      <c r="B371" s="29"/>
      <c r="C371" s="28"/>
      <c r="D371" s="28"/>
      <c r="E371" s="29"/>
      <c r="F371" s="29"/>
      <c r="G371" s="29"/>
      <c r="H371" s="28"/>
      <c r="I371" s="29" t="str">
        <f>IF(AND(A371&lt;&gt;"",SUMIF(NESTING!I:I,A371,NESTING!J:J)=G371),"OK","")</f>
        <v/>
      </c>
    </row>
    <row r="372" spans="1:9">
      <c r="A372" s="29"/>
      <c r="B372" s="29"/>
      <c r="C372" s="28"/>
      <c r="D372" s="28"/>
      <c r="E372" s="29"/>
      <c r="F372" s="29"/>
      <c r="G372" s="29"/>
      <c r="H372" s="28"/>
      <c r="I372" s="29" t="str">
        <f>IF(AND(A372&lt;&gt;"",SUMIF(NESTING!I:I,A372,NESTING!J:J)=G372),"OK","")</f>
        <v/>
      </c>
    </row>
    <row r="373" spans="1:9">
      <c r="A373" s="29"/>
      <c r="B373" s="29"/>
      <c r="C373" s="28"/>
      <c r="D373" s="28"/>
      <c r="E373" s="29"/>
      <c r="F373" s="29"/>
      <c r="G373" s="29"/>
      <c r="H373" s="28"/>
      <c r="I373" s="29" t="str">
        <f>IF(AND(A373&lt;&gt;"",SUMIF(NESTING!I:I,A373,NESTING!J:J)=G373),"OK","")</f>
        <v/>
      </c>
    </row>
    <row r="374" spans="1:9">
      <c r="A374" s="29"/>
      <c r="B374" s="29"/>
      <c r="C374" s="28"/>
      <c r="D374" s="28"/>
      <c r="E374" s="29"/>
      <c r="F374" s="29"/>
      <c r="G374" s="29"/>
      <c r="H374" s="28"/>
      <c r="I374" s="29" t="str">
        <f>IF(AND(A374&lt;&gt;"",SUMIF(NESTING!I:I,A374,NESTING!J:J)=G374),"OK","")</f>
        <v/>
      </c>
    </row>
    <row r="375" spans="1:9">
      <c r="A375" s="29"/>
      <c r="B375" s="29"/>
      <c r="C375" s="28"/>
      <c r="D375" s="28"/>
      <c r="E375" s="29"/>
      <c r="F375" s="29"/>
      <c r="G375" s="29"/>
      <c r="H375" s="28"/>
      <c r="I375" s="29" t="str">
        <f>IF(AND(A375&lt;&gt;"",SUMIF(NESTING!I:I,A375,NESTING!J:J)=G375),"OK","")</f>
        <v/>
      </c>
    </row>
    <row r="376" spans="1:9">
      <c r="A376" s="29"/>
      <c r="B376" s="29"/>
      <c r="C376" s="28"/>
      <c r="D376" s="28"/>
      <c r="E376" s="29"/>
      <c r="F376" s="29"/>
      <c r="G376" s="29"/>
      <c r="H376" s="28"/>
      <c r="I376" s="29" t="str">
        <f>IF(AND(A376&lt;&gt;"",SUMIF(NESTING!I:I,A376,NESTING!J:J)=G376),"OK","")</f>
        <v/>
      </c>
    </row>
    <row r="377" spans="1:9">
      <c r="A377" s="29"/>
      <c r="B377" s="29"/>
      <c r="C377" s="28"/>
      <c r="D377" s="28"/>
      <c r="E377" s="29"/>
      <c r="F377" s="29"/>
      <c r="G377" s="29"/>
      <c r="H377" s="28"/>
      <c r="I377" s="29" t="str">
        <f>IF(AND(A377&lt;&gt;"",SUMIF(NESTING!I:I,A377,NESTING!J:J)=G377),"OK","")</f>
        <v/>
      </c>
    </row>
    <row r="378" spans="1:9">
      <c r="A378" s="29"/>
      <c r="B378" s="29"/>
      <c r="C378" s="28"/>
      <c r="D378" s="28"/>
      <c r="E378" s="29"/>
      <c r="F378" s="29"/>
      <c r="G378" s="29"/>
      <c r="H378" s="28"/>
      <c r="I378" s="29" t="str">
        <f>IF(AND(A378&lt;&gt;"",SUMIF(NESTING!I:I,A378,NESTING!J:J)=G378),"OK","")</f>
        <v/>
      </c>
    </row>
    <row r="379" spans="1:9">
      <c r="A379" s="29"/>
      <c r="B379" s="29"/>
      <c r="C379" s="28"/>
      <c r="D379" s="28"/>
      <c r="E379" s="29"/>
      <c r="F379" s="29"/>
      <c r="G379" s="29"/>
      <c r="H379" s="28"/>
      <c r="I379" s="29" t="str">
        <f>IF(AND(A379&lt;&gt;"",SUMIF(NESTING!I:I,A379,NESTING!J:J)=G379),"OK","")</f>
        <v/>
      </c>
    </row>
    <row r="380" spans="1:9">
      <c r="A380" s="29"/>
      <c r="B380" s="29"/>
      <c r="C380" s="28"/>
      <c r="D380" s="28"/>
      <c r="E380" s="29"/>
      <c r="F380" s="29"/>
      <c r="G380" s="29"/>
      <c r="H380" s="28"/>
      <c r="I380" s="29" t="str">
        <f>IF(AND(A380&lt;&gt;"",SUMIF(NESTING!I:I,A380,NESTING!J:J)=G380),"OK","")</f>
        <v/>
      </c>
    </row>
    <row r="381" spans="1:9">
      <c r="A381" s="29"/>
      <c r="B381" s="29"/>
      <c r="C381" s="28"/>
      <c r="D381" s="28"/>
      <c r="E381" s="29"/>
      <c r="F381" s="29"/>
      <c r="G381" s="29"/>
      <c r="H381" s="28"/>
      <c r="I381" s="29" t="str">
        <f>IF(AND(A381&lt;&gt;"",SUMIF(NESTING!I:I,A381,NESTING!J:J)=G381),"OK","")</f>
        <v/>
      </c>
    </row>
    <row r="382" spans="1:9">
      <c r="A382" s="29"/>
      <c r="B382" s="29"/>
      <c r="C382" s="28"/>
      <c r="D382" s="28"/>
      <c r="E382" s="29"/>
      <c r="F382" s="29"/>
      <c r="G382" s="29"/>
      <c r="H382" s="28"/>
      <c r="I382" s="29" t="str">
        <f>IF(AND(A382&lt;&gt;"",SUMIF(NESTING!I:I,A382,NESTING!J:J)=G382),"OK","")</f>
        <v/>
      </c>
    </row>
    <row r="383" spans="1:9">
      <c r="A383" s="29"/>
      <c r="B383" s="29"/>
      <c r="C383" s="28"/>
      <c r="D383" s="28"/>
      <c r="E383" s="29"/>
      <c r="F383" s="29"/>
      <c r="G383" s="29"/>
      <c r="H383" s="28"/>
      <c r="I383" s="29" t="str">
        <f>IF(AND(A383&lt;&gt;"",SUMIF(NESTING!I:I,A383,NESTING!J:J)=G383),"OK","")</f>
        <v/>
      </c>
    </row>
    <row r="384" spans="1:9">
      <c r="A384" s="29"/>
      <c r="B384" s="29"/>
      <c r="C384" s="28"/>
      <c r="D384" s="28"/>
      <c r="E384" s="29"/>
      <c r="F384" s="29"/>
      <c r="G384" s="29"/>
      <c r="H384" s="28"/>
      <c r="I384" s="29" t="str">
        <f>IF(AND(A384&lt;&gt;"",SUMIF(NESTING!I:I,A384,NESTING!J:J)=G384),"OK","")</f>
        <v/>
      </c>
    </row>
    <row r="385" spans="1:9">
      <c r="A385" s="29"/>
      <c r="B385" s="29"/>
      <c r="C385" s="28"/>
      <c r="D385" s="28"/>
      <c r="E385" s="29"/>
      <c r="F385" s="29"/>
      <c r="G385" s="29"/>
      <c r="H385" s="28"/>
      <c r="I385" s="29" t="str">
        <f>IF(AND(A385&lt;&gt;"",SUMIF(NESTING!I:I,A385,NESTING!J:J)=G385),"OK","")</f>
        <v/>
      </c>
    </row>
    <row r="386" spans="1:9">
      <c r="A386" s="29"/>
      <c r="B386" s="29"/>
      <c r="C386" s="28"/>
      <c r="D386" s="28"/>
      <c r="E386" s="29"/>
      <c r="F386" s="29"/>
      <c r="G386" s="29"/>
      <c r="H386" s="28"/>
      <c r="I386" s="29" t="str">
        <f>IF(AND(A386&lt;&gt;"",SUMIF(NESTING!I:I,A386,NESTING!J:J)=G386),"OK","")</f>
        <v/>
      </c>
    </row>
    <row r="387" spans="1:9">
      <c r="A387" s="29"/>
      <c r="B387" s="29"/>
      <c r="C387" s="28"/>
      <c r="D387" s="28"/>
      <c r="E387" s="29"/>
      <c r="F387" s="29"/>
      <c r="G387" s="29"/>
      <c r="H387" s="28"/>
      <c r="I387" s="29" t="str">
        <f>IF(AND(A387&lt;&gt;"",SUMIF(NESTING!I:I,A387,NESTING!J:J)=G387),"OK","")</f>
        <v/>
      </c>
    </row>
    <row r="388" spans="1:9">
      <c r="A388" s="29"/>
      <c r="B388" s="29"/>
      <c r="C388" s="28"/>
      <c r="D388" s="28"/>
      <c r="E388" s="29"/>
      <c r="F388" s="29"/>
      <c r="G388" s="29"/>
      <c r="H388" s="28"/>
      <c r="I388" s="29" t="str">
        <f>IF(AND(A388&lt;&gt;"",SUMIF(NESTING!I:I,A388,NESTING!J:J)=G388),"OK","")</f>
        <v/>
      </c>
    </row>
    <row r="389" spans="1:9">
      <c r="A389" s="29"/>
      <c r="B389" s="29"/>
      <c r="C389" s="28"/>
      <c r="D389" s="28"/>
      <c r="E389" s="29"/>
      <c r="F389" s="29"/>
      <c r="G389" s="29"/>
      <c r="H389" s="28"/>
      <c r="I389" s="29" t="str">
        <f>IF(AND(A389&lt;&gt;"",SUMIF(NESTING!I:I,A389,NESTING!J:J)=G389),"OK","")</f>
        <v/>
      </c>
    </row>
    <row r="390" spans="1:9">
      <c r="A390" s="29"/>
      <c r="B390" s="29"/>
      <c r="C390" s="28"/>
      <c r="D390" s="28"/>
      <c r="E390" s="29"/>
      <c r="F390" s="29"/>
      <c r="G390" s="29"/>
      <c r="H390" s="28"/>
      <c r="I390" s="29" t="str">
        <f>IF(AND(A390&lt;&gt;"",SUMIF(NESTING!I:I,A390,NESTING!J:J)=G390),"OK","")</f>
        <v/>
      </c>
    </row>
    <row r="391" spans="1:9">
      <c r="A391" s="29"/>
      <c r="B391" s="29"/>
      <c r="C391" s="28"/>
      <c r="D391" s="28"/>
      <c r="E391" s="29"/>
      <c r="F391" s="29"/>
      <c r="G391" s="29"/>
      <c r="H391" s="28"/>
      <c r="I391" s="29" t="str">
        <f>IF(AND(A391&lt;&gt;"",SUMIF(NESTING!I:I,A391,NESTING!J:J)=G391),"OK","")</f>
        <v/>
      </c>
    </row>
    <row r="392" spans="1:9">
      <c r="A392" s="29"/>
      <c r="B392" s="29"/>
      <c r="C392" s="28"/>
      <c r="D392" s="28"/>
      <c r="E392" s="29"/>
      <c r="F392" s="29"/>
      <c r="G392" s="29"/>
      <c r="H392" s="28"/>
      <c r="I392" s="29" t="str">
        <f>IF(AND(A392&lt;&gt;"",SUMIF(NESTING!I:I,A392,NESTING!J:J)=G392),"OK","")</f>
        <v/>
      </c>
    </row>
    <row r="393" spans="1:9">
      <c r="A393" s="29"/>
      <c r="B393" s="29"/>
      <c r="C393" s="28"/>
      <c r="D393" s="28"/>
      <c r="E393" s="29"/>
      <c r="F393" s="29"/>
      <c r="G393" s="29"/>
      <c r="H393" s="28"/>
      <c r="I393" s="29" t="str">
        <f>IF(AND(A393&lt;&gt;"",SUMIF(NESTING!I:I,A393,NESTING!J:J)=G393),"OK","")</f>
        <v/>
      </c>
    </row>
    <row r="394" spans="1:9">
      <c r="A394" s="29"/>
      <c r="B394" s="29"/>
      <c r="C394" s="28"/>
      <c r="D394" s="28"/>
      <c r="E394" s="29"/>
      <c r="F394" s="29"/>
      <c r="G394" s="29"/>
      <c r="H394" s="28"/>
      <c r="I394" s="29" t="str">
        <f>IF(AND(A394&lt;&gt;"",SUMIF(NESTING!I:I,A394,NESTING!J:J)=G394),"OK","")</f>
        <v/>
      </c>
    </row>
    <row r="395" spans="1:9">
      <c r="A395" s="29"/>
      <c r="B395" s="29"/>
      <c r="C395" s="28"/>
      <c r="D395" s="28"/>
      <c r="E395" s="29"/>
      <c r="F395" s="29"/>
      <c r="G395" s="29"/>
      <c r="H395" s="28"/>
      <c r="I395" s="29" t="str">
        <f>IF(AND(A395&lt;&gt;"",SUMIF(NESTING!I:I,A395,NESTING!J:J)=G395),"OK","")</f>
        <v/>
      </c>
    </row>
    <row r="396" spans="1:9">
      <c r="A396" s="29"/>
      <c r="B396" s="29"/>
      <c r="C396" s="28"/>
      <c r="D396" s="28"/>
      <c r="E396" s="29"/>
      <c r="F396" s="29"/>
      <c r="G396" s="29"/>
      <c r="H396" s="28"/>
      <c r="I396" s="29" t="str">
        <f>IF(AND(A396&lt;&gt;"",SUMIF(NESTING!I:I,A396,NESTING!J:J)=G396),"OK","")</f>
        <v/>
      </c>
    </row>
    <row r="397" spans="1:9">
      <c r="A397" s="29"/>
      <c r="B397" s="29"/>
      <c r="C397" s="28"/>
      <c r="D397" s="28"/>
      <c r="E397" s="29"/>
      <c r="F397" s="29"/>
      <c r="G397" s="29"/>
      <c r="H397" s="28"/>
      <c r="I397" s="29" t="str">
        <f>IF(AND(A397&lt;&gt;"",SUMIF(NESTING!I:I,A397,NESTING!J:J)=G397),"OK","")</f>
        <v/>
      </c>
    </row>
    <row r="398" spans="1:9">
      <c r="A398" s="29"/>
      <c r="B398" s="29"/>
      <c r="C398" s="28"/>
      <c r="D398" s="28"/>
      <c r="E398" s="29"/>
      <c r="F398" s="29"/>
      <c r="G398" s="29"/>
      <c r="H398" s="28"/>
      <c r="I398" s="29" t="str">
        <f>IF(AND(A398&lt;&gt;"",SUMIF(NESTING!I:I,A398,NESTING!J:J)=G398),"OK","")</f>
        <v/>
      </c>
    </row>
    <row r="399" spans="1:9">
      <c r="A399" s="29"/>
      <c r="B399" s="29"/>
      <c r="C399" s="28"/>
      <c r="D399" s="28"/>
      <c r="E399" s="29"/>
      <c r="F399" s="29"/>
      <c r="G399" s="29"/>
      <c r="H399" s="28"/>
      <c r="I399" s="29" t="str">
        <f>IF(AND(A399&lt;&gt;"",SUMIF(NESTING!I:I,A399,NESTING!J:J)=G399),"OK","")</f>
        <v/>
      </c>
    </row>
    <row r="400" spans="1:9">
      <c r="A400" s="29"/>
      <c r="B400" s="29"/>
      <c r="C400" s="28"/>
      <c r="D400" s="28"/>
      <c r="E400" s="29"/>
      <c r="F400" s="29"/>
      <c r="G400" s="29"/>
      <c r="H400" s="28"/>
      <c r="I400" s="29" t="str">
        <f>IF(AND(A400&lt;&gt;"",SUMIF(NESTING!I:I,A400,NESTING!J:J)=G400),"OK","")</f>
        <v/>
      </c>
    </row>
    <row r="401" spans="1:9">
      <c r="A401" s="29"/>
      <c r="B401" s="29"/>
      <c r="C401" s="28"/>
      <c r="D401" s="28"/>
      <c r="E401" s="29"/>
      <c r="F401" s="29"/>
      <c r="G401" s="29"/>
      <c r="H401" s="28"/>
      <c r="I401" s="29" t="str">
        <f>IF(AND(A401&lt;&gt;"",SUMIF(NESTING!I:I,A401,NESTING!J:J)=G401),"OK","")</f>
        <v/>
      </c>
    </row>
    <row r="402" spans="1:9">
      <c r="A402" s="29"/>
      <c r="B402" s="29"/>
      <c r="C402" s="28"/>
      <c r="D402" s="28"/>
      <c r="E402" s="29"/>
      <c r="F402" s="29"/>
      <c r="G402" s="29"/>
      <c r="H402" s="28"/>
      <c r="I402" s="29" t="str">
        <f>IF(AND(A402&lt;&gt;"",SUMIF(NESTING!I:I,A402,NESTING!J:J)=G402),"OK","")</f>
        <v/>
      </c>
    </row>
    <row r="403" spans="1:9">
      <c r="A403" s="29"/>
      <c r="B403" s="29"/>
      <c r="C403" s="28"/>
      <c r="D403" s="28"/>
      <c r="E403" s="29"/>
      <c r="F403" s="29"/>
      <c r="G403" s="29"/>
      <c r="H403" s="28"/>
      <c r="I403" s="29" t="str">
        <f>IF(AND(A403&lt;&gt;"",SUMIF(NESTING!I:I,A403,NESTING!J:J)=G403),"OK","")</f>
        <v/>
      </c>
    </row>
    <row r="404" spans="1:9">
      <c r="A404" s="29"/>
      <c r="B404" s="29"/>
      <c r="C404" s="28"/>
      <c r="D404" s="28"/>
      <c r="E404" s="29"/>
      <c r="F404" s="29"/>
      <c r="G404" s="29"/>
      <c r="H404" s="28"/>
      <c r="I404" s="29" t="str">
        <f>IF(AND(A404&lt;&gt;"",SUMIF(NESTING!I:I,A404,NESTING!J:J)=G404),"OK","")</f>
        <v/>
      </c>
    </row>
    <row r="405" spans="1:9">
      <c r="A405" s="29"/>
      <c r="B405" s="29"/>
      <c r="C405" s="28"/>
      <c r="D405" s="28"/>
      <c r="E405" s="29"/>
      <c r="F405" s="29"/>
      <c r="G405" s="29"/>
      <c r="H405" s="28"/>
      <c r="I405" s="29" t="str">
        <f>IF(AND(A405&lt;&gt;"",SUMIF(NESTING!I:I,A405,NESTING!J:J)=G405),"OK","")</f>
        <v/>
      </c>
    </row>
    <row r="406" spans="1:9">
      <c r="A406" s="29"/>
      <c r="B406" s="29"/>
      <c r="C406" s="28"/>
      <c r="D406" s="28"/>
      <c r="E406" s="29"/>
      <c r="F406" s="29"/>
      <c r="G406" s="29"/>
      <c r="H406" s="28"/>
      <c r="I406" s="29" t="str">
        <f>IF(AND(A406&lt;&gt;"",SUMIF(NESTING!I:I,A406,NESTING!J:J)=G406),"OK","")</f>
        <v/>
      </c>
    </row>
    <row r="407" spans="1:9">
      <c r="A407" s="29"/>
      <c r="B407" s="29"/>
      <c r="C407" s="28"/>
      <c r="D407" s="28"/>
      <c r="E407" s="29"/>
      <c r="F407" s="29"/>
      <c r="G407" s="29"/>
      <c r="H407" s="28"/>
      <c r="I407" s="29" t="str">
        <f>IF(AND(A407&lt;&gt;"",SUMIF(NESTING!I:I,A407,NESTING!J:J)=G407),"OK","")</f>
        <v/>
      </c>
    </row>
    <row r="408" spans="1:9">
      <c r="A408" s="29"/>
      <c r="B408" s="29"/>
      <c r="C408" s="28"/>
      <c r="D408" s="28"/>
      <c r="E408" s="29"/>
      <c r="F408" s="29"/>
      <c r="G408" s="29"/>
      <c r="H408" s="28"/>
      <c r="I408" s="29" t="str">
        <f>IF(AND(A408&lt;&gt;"",SUMIF(NESTING!I:I,A408,NESTING!J:J)=G408),"OK","")</f>
        <v/>
      </c>
    </row>
    <row r="409" spans="1:9">
      <c r="A409" s="29"/>
      <c r="B409" s="29"/>
      <c r="C409" s="28"/>
      <c r="D409" s="28"/>
      <c r="E409" s="29"/>
      <c r="F409" s="29"/>
      <c r="G409" s="29"/>
      <c r="H409" s="28"/>
      <c r="I409" s="29" t="str">
        <f>IF(AND(A409&lt;&gt;"",SUMIF(NESTING!I:I,A409,NESTING!J:J)=G409),"OK","")</f>
        <v/>
      </c>
    </row>
    <row r="410" spans="1:9">
      <c r="A410" s="29"/>
      <c r="B410" s="29"/>
      <c r="C410" s="28"/>
      <c r="D410" s="28"/>
      <c r="E410" s="29"/>
      <c r="F410" s="29"/>
      <c r="G410" s="29"/>
      <c r="H410" s="28"/>
      <c r="I410" s="29" t="str">
        <f>IF(AND(A410&lt;&gt;"",SUMIF(NESTING!I:I,A410,NESTING!J:J)=G410),"OK","")</f>
        <v/>
      </c>
    </row>
    <row r="411" spans="1:9">
      <c r="A411" s="29"/>
      <c r="B411" s="29"/>
      <c r="C411" s="28"/>
      <c r="D411" s="28"/>
      <c r="E411" s="29"/>
      <c r="F411" s="29"/>
      <c r="G411" s="29"/>
      <c r="H411" s="28"/>
      <c r="I411" s="29" t="str">
        <f>IF(AND(A411&lt;&gt;"",SUMIF(NESTING!I:I,A411,NESTING!J:J)=G411),"OK","")</f>
        <v/>
      </c>
    </row>
    <row r="412" spans="1:9">
      <c r="A412" s="29"/>
      <c r="B412" s="29"/>
      <c r="C412" s="28"/>
      <c r="D412" s="28"/>
      <c r="E412" s="29"/>
      <c r="F412" s="29"/>
      <c r="G412" s="29"/>
      <c r="H412" s="28"/>
      <c r="I412" s="29" t="str">
        <f>IF(AND(A412&lt;&gt;"",SUMIF(NESTING!I:I,A412,NESTING!J:J)=G412),"OK","")</f>
        <v/>
      </c>
    </row>
    <row r="413" spans="1:9">
      <c r="A413" s="29"/>
      <c r="B413" s="29"/>
      <c r="C413" s="28"/>
      <c r="D413" s="28"/>
      <c r="E413" s="29"/>
      <c r="F413" s="29"/>
      <c r="G413" s="29"/>
      <c r="H413" s="28"/>
      <c r="I413" s="29" t="str">
        <f>IF(AND(A413&lt;&gt;"",SUMIF(NESTING!I:I,A413,NESTING!J:J)=G413),"OK","")</f>
        <v/>
      </c>
    </row>
    <row r="414" spans="1:9">
      <c r="A414" s="29"/>
      <c r="B414" s="29"/>
      <c r="C414" s="28"/>
      <c r="D414" s="28"/>
      <c r="E414" s="29"/>
      <c r="F414" s="29"/>
      <c r="G414" s="29"/>
      <c r="H414" s="28"/>
      <c r="I414" s="29" t="str">
        <f>IF(AND(A414&lt;&gt;"",SUMIF(NESTING!I:I,A414,NESTING!J:J)=G414),"OK","")</f>
        <v/>
      </c>
    </row>
    <row r="415" spans="1:9">
      <c r="A415" s="29"/>
      <c r="B415" s="29"/>
      <c r="C415" s="28"/>
      <c r="D415" s="28"/>
      <c r="E415" s="29"/>
      <c r="F415" s="29"/>
      <c r="G415" s="29"/>
      <c r="H415" s="28"/>
      <c r="I415" s="29" t="str">
        <f>IF(AND(A415&lt;&gt;"",SUMIF(NESTING!I:I,A415,NESTING!J:J)=G415),"OK","")</f>
        <v/>
      </c>
    </row>
    <row r="416" spans="1:9">
      <c r="A416" s="29"/>
      <c r="B416" s="29"/>
      <c r="C416" s="28"/>
      <c r="D416" s="28"/>
      <c r="E416" s="29"/>
      <c r="F416" s="29"/>
      <c r="G416" s="29"/>
      <c r="H416" s="28"/>
      <c r="I416" s="29" t="str">
        <f>IF(AND(A416&lt;&gt;"",SUMIF(NESTING!I:I,A416,NESTING!J:J)=G416),"OK","")</f>
        <v/>
      </c>
    </row>
    <row r="417" spans="1:9">
      <c r="A417" s="29"/>
      <c r="B417" s="29"/>
      <c r="C417" s="28"/>
      <c r="D417" s="28"/>
      <c r="E417" s="29"/>
      <c r="F417" s="29"/>
      <c r="G417" s="29"/>
      <c r="H417" s="28"/>
      <c r="I417" s="29" t="str">
        <f>IF(AND(A417&lt;&gt;"",SUMIF(NESTING!I:I,A417,NESTING!J:J)=G417),"OK","")</f>
        <v/>
      </c>
    </row>
    <row r="418" spans="1:9">
      <c r="A418" s="29"/>
      <c r="B418" s="29"/>
      <c r="C418" s="28"/>
      <c r="D418" s="28"/>
      <c r="E418" s="29"/>
      <c r="F418" s="29"/>
      <c r="G418" s="29"/>
      <c r="H418" s="28"/>
      <c r="I418" s="29" t="str">
        <f>IF(AND(A418&lt;&gt;"",SUMIF(NESTING!I:I,A418,NESTING!J:J)=G418),"OK","")</f>
        <v/>
      </c>
    </row>
    <row r="419" spans="1:9">
      <c r="A419" s="29"/>
      <c r="B419" s="29"/>
      <c r="C419" s="28"/>
      <c r="D419" s="28"/>
      <c r="E419" s="29"/>
      <c r="F419" s="29"/>
      <c r="G419" s="29"/>
      <c r="H419" s="28"/>
      <c r="I419" s="29" t="str">
        <f>IF(AND(A419&lt;&gt;"",SUMIF(NESTING!I:I,A419,NESTING!J:J)=G419),"OK","")</f>
        <v/>
      </c>
    </row>
    <row r="420" spans="1:9">
      <c r="A420" s="29"/>
      <c r="B420" s="29"/>
      <c r="C420" s="28"/>
      <c r="D420" s="28"/>
      <c r="E420" s="29"/>
      <c r="F420" s="29"/>
      <c r="G420" s="29"/>
      <c r="H420" s="28"/>
      <c r="I420" s="29" t="str">
        <f>IF(AND(A420&lt;&gt;"",SUMIF(NESTING!I:I,A420,NESTING!J:J)=G420),"OK","")</f>
        <v/>
      </c>
    </row>
    <row r="421" spans="1:9">
      <c r="A421" s="29"/>
      <c r="B421" s="29"/>
      <c r="C421" s="28"/>
      <c r="D421" s="28"/>
      <c r="E421" s="29"/>
      <c r="F421" s="29"/>
      <c r="G421" s="29"/>
      <c r="H421" s="28"/>
      <c r="I421" s="29" t="str">
        <f>IF(AND(A421&lt;&gt;"",SUMIF(NESTING!I:I,A421,NESTING!J:J)=G421),"OK","")</f>
        <v/>
      </c>
    </row>
    <row r="422" spans="1:9">
      <c r="A422" s="29"/>
      <c r="B422" s="29"/>
      <c r="C422" s="28"/>
      <c r="D422" s="28"/>
      <c r="E422" s="29"/>
      <c r="F422" s="29"/>
      <c r="G422" s="29"/>
      <c r="H422" s="28"/>
      <c r="I422" s="29" t="str">
        <f>IF(AND(A422&lt;&gt;"",SUMIF(NESTING!I:I,A422,NESTING!J:J)=G422),"OK","")</f>
        <v/>
      </c>
    </row>
    <row r="423" spans="1:9">
      <c r="A423" s="29"/>
      <c r="B423" s="29"/>
      <c r="C423" s="28"/>
      <c r="D423" s="28"/>
      <c r="E423" s="29"/>
      <c r="F423" s="29"/>
      <c r="G423" s="29"/>
      <c r="H423" s="28"/>
      <c r="I423" s="29" t="str">
        <f>IF(AND(A423&lt;&gt;"",SUMIF(NESTING!I:I,A423,NESTING!J:J)=G423),"OK","")</f>
        <v/>
      </c>
    </row>
    <row r="424" spans="1:9">
      <c r="A424" s="29"/>
      <c r="B424" s="29"/>
      <c r="C424" s="28"/>
      <c r="D424" s="28"/>
      <c r="E424" s="29"/>
      <c r="F424" s="29"/>
      <c r="G424" s="29"/>
      <c r="H424" s="28"/>
      <c r="I424" s="29" t="str">
        <f>IF(AND(A424&lt;&gt;"",SUMIF(NESTING!I:I,A424,NESTING!J:J)=G424),"OK","")</f>
        <v/>
      </c>
    </row>
    <row r="425" spans="1:9">
      <c r="A425" s="29"/>
      <c r="B425" s="29"/>
      <c r="C425" s="28"/>
      <c r="D425" s="28"/>
      <c r="E425" s="29"/>
      <c r="F425" s="29"/>
      <c r="G425" s="29"/>
      <c r="H425" s="28"/>
      <c r="I425" s="29" t="str">
        <f>IF(AND(A425&lt;&gt;"",SUMIF(NESTING!I:I,A425,NESTING!J:J)=G425),"OK","")</f>
        <v/>
      </c>
    </row>
    <row r="426" spans="1:9">
      <c r="A426" s="29"/>
      <c r="B426" s="29"/>
      <c r="C426" s="28"/>
      <c r="D426" s="28"/>
      <c r="E426" s="29"/>
      <c r="F426" s="29"/>
      <c r="G426" s="29"/>
      <c r="H426" s="28"/>
      <c r="I426" s="29" t="str">
        <f>IF(AND(A426&lt;&gt;"",SUMIF(NESTING!I:I,A426,NESTING!J:J)=G426),"OK","")</f>
        <v/>
      </c>
    </row>
    <row r="427" spans="1:9">
      <c r="A427" s="29"/>
      <c r="B427" s="29"/>
      <c r="C427" s="28"/>
      <c r="D427" s="28"/>
      <c r="E427" s="29"/>
      <c r="F427" s="29"/>
      <c r="G427" s="29"/>
      <c r="H427" s="28"/>
      <c r="I427" s="29" t="str">
        <f>IF(AND(A427&lt;&gt;"",SUMIF(NESTING!I:I,A427,NESTING!J:J)=G427),"OK","")</f>
        <v/>
      </c>
    </row>
    <row r="428" spans="1:9">
      <c r="A428" s="29"/>
      <c r="B428" s="29"/>
      <c r="C428" s="28"/>
      <c r="D428" s="28"/>
      <c r="E428" s="29"/>
      <c r="F428" s="29"/>
      <c r="G428" s="29"/>
      <c r="H428" s="28"/>
      <c r="I428" s="29" t="str">
        <f>IF(AND(A428&lt;&gt;"",SUMIF(NESTING!I:I,A428,NESTING!J:J)=G428),"OK","")</f>
        <v/>
      </c>
    </row>
    <row r="429" spans="1:9">
      <c r="A429" s="29"/>
      <c r="B429" s="29"/>
      <c r="C429" s="28"/>
      <c r="D429" s="28"/>
      <c r="E429" s="29"/>
      <c r="F429" s="29"/>
      <c r="G429" s="29"/>
      <c r="H429" s="28"/>
      <c r="I429" s="29" t="str">
        <f>IF(AND(A429&lt;&gt;"",SUMIF(NESTING!I:I,A429,NESTING!J:J)=G429),"OK","")</f>
        <v/>
      </c>
    </row>
    <row r="430" spans="1:9">
      <c r="A430" s="29"/>
      <c r="B430" s="29"/>
      <c r="C430" s="28"/>
      <c r="D430" s="28"/>
      <c r="E430" s="29"/>
      <c r="F430" s="29"/>
      <c r="G430" s="29"/>
      <c r="H430" s="28"/>
      <c r="I430" s="29" t="str">
        <f>IF(AND(A430&lt;&gt;"",SUMIF(NESTING!I:I,A430,NESTING!J:J)=G430),"OK","")</f>
        <v/>
      </c>
    </row>
    <row r="431" spans="1:9">
      <c r="A431" s="29"/>
      <c r="B431" s="29"/>
      <c r="C431" s="28"/>
      <c r="D431" s="28"/>
      <c r="E431" s="29"/>
      <c r="F431" s="29"/>
      <c r="G431" s="29"/>
      <c r="H431" s="28"/>
      <c r="I431" s="29" t="str">
        <f>IF(AND(A431&lt;&gt;"",SUMIF(NESTING!I:I,A431,NESTING!J:J)=G431),"OK","")</f>
        <v/>
      </c>
    </row>
    <row r="432" spans="1:9">
      <c r="A432" s="29"/>
      <c r="B432" s="29"/>
      <c r="C432" s="28"/>
      <c r="D432" s="28"/>
      <c r="E432" s="29"/>
      <c r="F432" s="29"/>
      <c r="G432" s="29"/>
      <c r="H432" s="28"/>
      <c r="I432" s="29" t="str">
        <f>IF(AND(A432&lt;&gt;"",SUMIF(NESTING!I:I,A432,NESTING!J:J)=G432),"OK","")</f>
        <v/>
      </c>
    </row>
    <row r="433" spans="1:9">
      <c r="A433" s="29"/>
      <c r="B433" s="29"/>
      <c r="C433" s="28"/>
      <c r="D433" s="28"/>
      <c r="E433" s="29"/>
      <c r="F433" s="29"/>
      <c r="G433" s="29"/>
      <c r="H433" s="28"/>
      <c r="I433" s="29" t="str">
        <f>IF(AND(A433&lt;&gt;"",SUMIF(NESTING!I:I,A433,NESTING!J:J)=G433),"OK","")</f>
        <v/>
      </c>
    </row>
    <row r="434" spans="1:9">
      <c r="A434" s="29"/>
      <c r="B434" s="29"/>
      <c r="C434" s="28"/>
      <c r="D434" s="28"/>
      <c r="E434" s="29"/>
      <c r="F434" s="29"/>
      <c r="G434" s="29"/>
      <c r="H434" s="28"/>
      <c r="I434" s="29" t="str">
        <f>IF(AND(A434&lt;&gt;"",SUMIF(NESTING!I:I,A434,NESTING!J:J)=G434),"OK","")</f>
        <v/>
      </c>
    </row>
    <row r="435" spans="1:9">
      <c r="A435" s="29"/>
      <c r="B435" s="29"/>
      <c r="C435" s="28"/>
      <c r="D435" s="28"/>
      <c r="E435" s="29"/>
      <c r="F435" s="29"/>
      <c r="G435" s="29"/>
      <c r="H435" s="28"/>
      <c r="I435" s="29" t="str">
        <f>IF(AND(A435&lt;&gt;"",SUMIF(NESTING!I:I,A435,NESTING!J:J)=G435),"OK","")</f>
        <v/>
      </c>
    </row>
    <row r="436" spans="1:9">
      <c r="A436" s="29"/>
      <c r="B436" s="29"/>
      <c r="C436" s="28"/>
      <c r="D436" s="28"/>
      <c r="E436" s="29"/>
      <c r="F436" s="29"/>
      <c r="G436" s="29"/>
      <c r="H436" s="28"/>
      <c r="I436" s="29" t="str">
        <f>IF(AND(A436&lt;&gt;"",SUMIF(NESTING!I:I,A436,NESTING!J:J)=G436),"OK","")</f>
        <v/>
      </c>
    </row>
    <row r="437" spans="1:9">
      <c r="A437" s="29"/>
      <c r="B437" s="29"/>
      <c r="C437" s="28"/>
      <c r="D437" s="28"/>
      <c r="E437" s="29"/>
      <c r="F437" s="29"/>
      <c r="G437" s="29"/>
      <c r="H437" s="28"/>
      <c r="I437" s="29" t="str">
        <f>IF(AND(A437&lt;&gt;"",SUMIF(NESTING!I:I,A437,NESTING!J:J)=G437),"OK","")</f>
        <v/>
      </c>
    </row>
    <row r="438" spans="1:9">
      <c r="A438" s="29"/>
      <c r="B438" s="29"/>
      <c r="C438" s="28"/>
      <c r="D438" s="28"/>
      <c r="E438" s="29"/>
      <c r="F438" s="29"/>
      <c r="G438" s="29"/>
      <c r="H438" s="28"/>
      <c r="I438" s="29" t="str">
        <f>IF(AND(A438&lt;&gt;"",SUMIF(NESTING!I:I,A438,NESTING!J:J)=G438),"OK","")</f>
        <v/>
      </c>
    </row>
    <row r="439" spans="1:9">
      <c r="A439" s="29"/>
      <c r="B439" s="29"/>
      <c r="C439" s="28"/>
      <c r="D439" s="28"/>
      <c r="E439" s="29"/>
      <c r="F439" s="29"/>
      <c r="G439" s="29"/>
      <c r="H439" s="28"/>
      <c r="I439" s="29" t="str">
        <f>IF(AND(A439&lt;&gt;"",SUMIF(NESTING!I:I,A439,NESTING!J:J)=G439),"OK","")</f>
        <v/>
      </c>
    </row>
    <row r="440" spans="1:9">
      <c r="A440" s="29"/>
      <c r="B440" s="29"/>
      <c r="C440" s="28"/>
      <c r="D440" s="28"/>
      <c r="E440" s="29"/>
      <c r="F440" s="29"/>
      <c r="G440" s="29"/>
      <c r="H440" s="28"/>
      <c r="I440" s="29" t="str">
        <f>IF(AND(A440&lt;&gt;"",SUMIF(NESTING!I:I,A440,NESTING!J:J)=G440),"OK","")</f>
        <v/>
      </c>
    </row>
    <row r="441" spans="1:9">
      <c r="A441" s="29"/>
      <c r="B441" s="29"/>
      <c r="C441" s="28"/>
      <c r="D441" s="28"/>
      <c r="E441" s="29"/>
      <c r="F441" s="29"/>
      <c r="G441" s="29"/>
      <c r="H441" s="28"/>
      <c r="I441" s="29" t="str">
        <f>IF(AND(A441&lt;&gt;"",SUMIF(NESTING!I:I,A441,NESTING!J:J)=G441),"OK","")</f>
        <v/>
      </c>
    </row>
    <row r="442" spans="1:9">
      <c r="A442" s="29"/>
      <c r="B442" s="29"/>
      <c r="C442" s="28"/>
      <c r="D442" s="28"/>
      <c r="E442" s="29"/>
      <c r="F442" s="29"/>
      <c r="G442" s="29"/>
      <c r="H442" s="28"/>
      <c r="I442" s="29" t="str">
        <f>IF(AND(A442&lt;&gt;"",SUMIF(NESTING!I:I,A442,NESTING!J:J)=G442),"OK","")</f>
        <v/>
      </c>
    </row>
    <row r="443" spans="1:9">
      <c r="A443" s="29"/>
      <c r="B443" s="29"/>
      <c r="C443" s="28"/>
      <c r="D443" s="28"/>
      <c r="E443" s="29"/>
      <c r="F443" s="29"/>
      <c r="G443" s="29"/>
      <c r="H443" s="28"/>
      <c r="I443" s="29" t="str">
        <f>IF(AND(A443&lt;&gt;"",SUMIF(NESTING!I:I,A443,NESTING!J:J)=G443),"OK","")</f>
        <v/>
      </c>
    </row>
    <row r="444" spans="1:9">
      <c r="A444" s="29"/>
      <c r="B444" s="29"/>
      <c r="C444" s="28"/>
      <c r="D444" s="28"/>
      <c r="E444" s="29"/>
      <c r="F444" s="29"/>
      <c r="G444" s="29"/>
      <c r="H444" s="28"/>
      <c r="I444" s="29" t="str">
        <f>IF(AND(A444&lt;&gt;"",SUMIF(NESTING!I:I,A444,NESTING!J:J)=G444),"OK","")</f>
        <v/>
      </c>
    </row>
    <row r="445" spans="1:9">
      <c r="A445" s="29"/>
      <c r="B445" s="29"/>
      <c r="C445" s="28"/>
      <c r="D445" s="28"/>
      <c r="E445" s="29"/>
      <c r="F445" s="29"/>
      <c r="G445" s="29"/>
      <c r="H445" s="28"/>
      <c r="I445" s="29" t="str">
        <f>IF(AND(A445&lt;&gt;"",SUMIF(NESTING!I:I,A445,NESTING!J:J)=G445),"OK","")</f>
        <v/>
      </c>
    </row>
    <row r="446" spans="1:9">
      <c r="A446" s="29"/>
      <c r="B446" s="29"/>
      <c r="C446" s="28"/>
      <c r="D446" s="28"/>
      <c r="E446" s="29"/>
      <c r="F446" s="29"/>
      <c r="G446" s="29"/>
      <c r="H446" s="28"/>
      <c r="I446" s="29" t="str">
        <f>IF(AND(A446&lt;&gt;"",SUMIF(NESTING!I:I,A446,NESTING!J:J)=G446),"OK","")</f>
        <v/>
      </c>
    </row>
    <row r="447" spans="1:9">
      <c r="A447" s="29"/>
      <c r="B447" s="29"/>
      <c r="C447" s="28"/>
      <c r="D447" s="28"/>
      <c r="E447" s="29"/>
      <c r="F447" s="29"/>
      <c r="G447" s="29"/>
      <c r="H447" s="28"/>
      <c r="I447" s="29" t="str">
        <f>IF(AND(A447&lt;&gt;"",SUMIF(NESTING!I:I,A447,NESTING!J:J)=G447),"OK","")</f>
        <v/>
      </c>
    </row>
    <row r="448" spans="1:9">
      <c r="A448" s="29"/>
      <c r="B448" s="29"/>
      <c r="C448" s="28"/>
      <c r="D448" s="28"/>
      <c r="E448" s="29"/>
      <c r="F448" s="29"/>
      <c r="G448" s="29"/>
      <c r="H448" s="28"/>
      <c r="I448" s="29" t="str">
        <f>IF(AND(A448&lt;&gt;"",SUMIF(NESTING!I:I,A448,NESTING!J:J)=G448),"OK","")</f>
        <v/>
      </c>
    </row>
    <row r="449" spans="1:9">
      <c r="A449" s="29"/>
      <c r="B449" s="29"/>
      <c r="C449" s="28"/>
      <c r="D449" s="28"/>
      <c r="E449" s="29"/>
      <c r="F449" s="29"/>
      <c r="G449" s="29"/>
      <c r="H449" s="28"/>
      <c r="I449" s="29" t="str">
        <f>IF(AND(A449&lt;&gt;"",SUMIF(NESTING!I:I,A449,NESTING!J:J)=G449),"OK","")</f>
        <v/>
      </c>
    </row>
    <row r="450" spans="1:9">
      <c r="A450" s="29"/>
      <c r="B450" s="29"/>
      <c r="C450" s="28"/>
      <c r="D450" s="28"/>
      <c r="E450" s="29"/>
      <c r="F450" s="29"/>
      <c r="G450" s="29"/>
      <c r="H450" s="28"/>
      <c r="I450" s="29" t="str">
        <f>IF(AND(A450&lt;&gt;"",SUMIF(NESTING!I:I,A450,NESTING!J:J)=G450),"OK","")</f>
        <v/>
      </c>
    </row>
    <row r="451" spans="1:9">
      <c r="A451" s="29"/>
      <c r="B451" s="29"/>
      <c r="C451" s="28"/>
      <c r="D451" s="28"/>
      <c r="E451" s="29"/>
      <c r="F451" s="29"/>
      <c r="G451" s="29"/>
      <c r="H451" s="28"/>
      <c r="I451" s="29" t="str">
        <f>IF(AND(A451&lt;&gt;"",SUMIF(NESTING!I:I,A451,NESTING!J:J)=G451),"OK","")</f>
        <v/>
      </c>
    </row>
    <row r="452" spans="1:9">
      <c r="A452" s="29"/>
      <c r="B452" s="29"/>
      <c r="C452" s="28"/>
      <c r="D452" s="28"/>
      <c r="E452" s="29"/>
      <c r="F452" s="29"/>
      <c r="G452" s="29"/>
      <c r="H452" s="28"/>
      <c r="I452" s="29" t="str">
        <f>IF(AND(A452&lt;&gt;"",SUMIF(NESTING!I:I,A452,NESTING!J:J)=G452),"OK","")</f>
        <v/>
      </c>
    </row>
    <row r="453" spans="1:9">
      <c r="A453" s="29"/>
      <c r="B453" s="29"/>
      <c r="C453" s="28"/>
      <c r="D453" s="28"/>
      <c r="E453" s="29"/>
      <c r="F453" s="29"/>
      <c r="G453" s="29"/>
      <c r="H453" s="28"/>
      <c r="I453" s="29" t="str">
        <f>IF(AND(A453&lt;&gt;"",SUMIF(NESTING!I:I,A453,NESTING!J:J)=G453),"OK","")</f>
        <v/>
      </c>
    </row>
    <row r="454" spans="1:9">
      <c r="A454" s="29"/>
      <c r="B454" s="29"/>
      <c r="C454" s="28"/>
      <c r="D454" s="28"/>
      <c r="E454" s="29"/>
      <c r="F454" s="29"/>
      <c r="G454" s="29"/>
      <c r="H454" s="28"/>
      <c r="I454" s="29" t="str">
        <f>IF(AND(A454&lt;&gt;"",SUMIF(NESTING!I:I,A454,NESTING!J:J)=G454),"OK","")</f>
        <v/>
      </c>
    </row>
    <row r="455" spans="1:9">
      <c r="A455" s="29"/>
      <c r="B455" s="29"/>
      <c r="C455" s="28"/>
      <c r="D455" s="28"/>
      <c r="E455" s="29"/>
      <c r="F455" s="29"/>
      <c r="G455" s="29"/>
      <c r="H455" s="28"/>
      <c r="I455" s="29" t="str">
        <f>IF(AND(A455&lt;&gt;"",SUMIF(NESTING!I:I,A455,NESTING!J:J)=G455),"OK","")</f>
        <v/>
      </c>
    </row>
    <row r="456" spans="1:9">
      <c r="A456" s="29"/>
      <c r="B456" s="29"/>
      <c r="C456" s="28"/>
      <c r="D456" s="28"/>
      <c r="E456" s="29"/>
      <c r="F456" s="29"/>
      <c r="G456" s="29"/>
      <c r="H456" s="28"/>
      <c r="I456" s="29" t="str">
        <f>IF(AND(A456&lt;&gt;"",SUMIF(NESTING!I:I,A456,NESTING!J:J)=G456),"OK","")</f>
        <v/>
      </c>
    </row>
    <row r="457" spans="1:9">
      <c r="A457" s="29"/>
      <c r="B457" s="29"/>
      <c r="C457" s="28"/>
      <c r="D457" s="28"/>
      <c r="E457" s="29"/>
      <c r="F457" s="29"/>
      <c r="G457" s="29"/>
      <c r="H457" s="28"/>
      <c r="I457" s="29" t="str">
        <f>IF(AND(A457&lt;&gt;"",SUMIF(NESTING!I:I,A457,NESTING!J:J)=G457),"OK","")</f>
        <v/>
      </c>
    </row>
    <row r="458" spans="1:9">
      <c r="A458" s="29"/>
      <c r="B458" s="29"/>
      <c r="C458" s="28"/>
      <c r="D458" s="28"/>
      <c r="E458" s="29"/>
      <c r="F458" s="29"/>
      <c r="G458" s="29"/>
      <c r="H458" s="28"/>
      <c r="I458" s="29" t="str">
        <f>IF(AND(A458&lt;&gt;"",SUMIF(NESTING!I:I,A458,NESTING!J:J)=G458),"OK","")</f>
        <v/>
      </c>
    </row>
    <row r="459" spans="1:9">
      <c r="A459" s="29"/>
      <c r="B459" s="29"/>
      <c r="C459" s="28"/>
      <c r="D459" s="28"/>
      <c r="E459" s="29"/>
      <c r="F459" s="29"/>
      <c r="G459" s="29"/>
      <c r="H459" s="28"/>
      <c r="I459" s="29" t="str">
        <f>IF(AND(A459&lt;&gt;"",SUMIF(NESTING!I:I,A459,NESTING!J:J)=G459),"OK","")</f>
        <v/>
      </c>
    </row>
    <row r="460" spans="1:9">
      <c r="A460" s="29"/>
      <c r="B460" s="29"/>
      <c r="C460" s="28"/>
      <c r="D460" s="28"/>
      <c r="E460" s="29"/>
      <c r="F460" s="29"/>
      <c r="G460" s="29"/>
      <c r="H460" s="28"/>
      <c r="I460" s="29" t="str">
        <f>IF(AND(A460&lt;&gt;"",SUMIF(NESTING!I:I,A460,NESTING!J:J)=G460),"OK","")</f>
        <v/>
      </c>
    </row>
    <row r="461" spans="1:9">
      <c r="A461" s="29"/>
      <c r="B461" s="29"/>
      <c r="C461" s="28"/>
      <c r="D461" s="28"/>
      <c r="E461" s="29"/>
      <c r="F461" s="29"/>
      <c r="G461" s="29"/>
      <c r="H461" s="28"/>
      <c r="I461" s="29" t="str">
        <f>IF(AND(A461&lt;&gt;"",SUMIF(NESTING!I:I,A461,NESTING!J:J)=G461),"OK","")</f>
        <v/>
      </c>
    </row>
    <row r="462" spans="1:9">
      <c r="A462" s="29"/>
      <c r="B462" s="29"/>
      <c r="C462" s="28"/>
      <c r="D462" s="28"/>
      <c r="E462" s="29"/>
      <c r="F462" s="29"/>
      <c r="G462" s="29"/>
      <c r="H462" s="28"/>
      <c r="I462" s="29" t="str">
        <f>IF(AND(A462&lt;&gt;"",SUMIF(NESTING!I:I,A462,NESTING!J:J)=G462),"OK","")</f>
        <v/>
      </c>
    </row>
    <row r="463" spans="1:9">
      <c r="A463" s="29"/>
      <c r="B463" s="29"/>
      <c r="C463" s="28"/>
      <c r="D463" s="28"/>
      <c r="E463" s="29"/>
      <c r="F463" s="29"/>
      <c r="G463" s="29"/>
      <c r="H463" s="28"/>
      <c r="I463" s="29" t="str">
        <f>IF(AND(A463&lt;&gt;"",SUMIF(NESTING!I:I,A463,NESTING!J:J)=G463),"OK","")</f>
        <v/>
      </c>
    </row>
    <row r="464" spans="1:9">
      <c r="A464" s="29"/>
      <c r="B464" s="29"/>
      <c r="C464" s="28"/>
      <c r="D464" s="28"/>
      <c r="E464" s="29"/>
      <c r="F464" s="29"/>
      <c r="G464" s="29"/>
      <c r="H464" s="28"/>
      <c r="I464" s="29" t="str">
        <f>IF(AND(A464&lt;&gt;"",SUMIF(NESTING!I:I,A464,NESTING!J:J)=G464),"OK","")</f>
        <v/>
      </c>
    </row>
    <row r="465" spans="1:9">
      <c r="A465" s="29"/>
      <c r="B465" s="29"/>
      <c r="C465" s="28"/>
      <c r="D465" s="28"/>
      <c r="E465" s="29"/>
      <c r="F465" s="29"/>
      <c r="G465" s="29"/>
      <c r="H465" s="28"/>
      <c r="I465" s="29" t="str">
        <f>IF(AND(A465&lt;&gt;"",SUMIF(NESTING!I:I,A465,NESTING!J:J)=G465),"OK","")</f>
        <v/>
      </c>
    </row>
    <row r="466" spans="1:9">
      <c r="A466" s="29"/>
      <c r="B466" s="29"/>
      <c r="C466" s="28"/>
      <c r="D466" s="28"/>
      <c r="E466" s="29"/>
      <c r="F466" s="29"/>
      <c r="G466" s="29"/>
      <c r="H466" s="28"/>
      <c r="I466" s="29" t="str">
        <f>IF(AND(A466&lt;&gt;"",SUMIF(NESTING!I:I,A466,NESTING!J:J)=G466),"OK","")</f>
        <v/>
      </c>
    </row>
    <row r="467" spans="1:9">
      <c r="A467" s="29"/>
      <c r="B467" s="29"/>
      <c r="C467" s="28"/>
      <c r="D467" s="28"/>
      <c r="E467" s="29"/>
      <c r="F467" s="29"/>
      <c r="G467" s="29"/>
      <c r="H467" s="28"/>
      <c r="I467" s="29" t="str">
        <f>IF(AND(A467&lt;&gt;"",SUMIF(NESTING!I:I,A467,NESTING!J:J)=G467),"OK","")</f>
        <v/>
      </c>
    </row>
    <row r="468" spans="1:9">
      <c r="A468" s="29"/>
      <c r="B468" s="29"/>
      <c r="C468" s="28"/>
      <c r="D468" s="28"/>
      <c r="E468" s="29"/>
      <c r="F468" s="29"/>
      <c r="G468" s="29"/>
      <c r="H468" s="28"/>
      <c r="I468" s="29" t="str">
        <f>IF(AND(A468&lt;&gt;"",SUMIF(NESTING!I:I,A468,NESTING!J:J)=G468),"OK","")</f>
        <v/>
      </c>
    </row>
    <row r="469" spans="1:9">
      <c r="A469" s="29"/>
      <c r="B469" s="29"/>
      <c r="C469" s="28"/>
      <c r="D469" s="28"/>
      <c r="E469" s="29"/>
      <c r="F469" s="29"/>
      <c r="G469" s="29"/>
      <c r="H469" s="28"/>
      <c r="I469" s="29" t="str">
        <f>IF(AND(A469&lt;&gt;"",SUMIF(NESTING!I:I,A469,NESTING!J:J)=G469),"OK","")</f>
        <v/>
      </c>
    </row>
    <row r="470" spans="1:9">
      <c r="A470" s="29"/>
      <c r="B470" s="29"/>
      <c r="C470" s="28"/>
      <c r="D470" s="28"/>
      <c r="E470" s="29"/>
      <c r="F470" s="29"/>
      <c r="G470" s="29"/>
      <c r="H470" s="28"/>
      <c r="I470" s="29" t="str">
        <f>IF(AND(A470&lt;&gt;"",SUMIF(NESTING!I:I,A470,NESTING!J:J)=G470),"OK","")</f>
        <v/>
      </c>
    </row>
    <row r="471" spans="1:9">
      <c r="A471" s="29"/>
      <c r="B471" s="29"/>
      <c r="C471" s="28"/>
      <c r="D471" s="28"/>
      <c r="E471" s="29"/>
      <c r="F471" s="29"/>
      <c r="G471" s="29"/>
      <c r="H471" s="28"/>
      <c r="I471" s="29" t="str">
        <f>IF(AND(A471&lt;&gt;"",SUMIF(NESTING!I:I,A471,NESTING!J:J)=G471),"OK","")</f>
        <v/>
      </c>
    </row>
    <row r="472" spans="1:9">
      <c r="A472" s="29"/>
      <c r="B472" s="29"/>
      <c r="C472" s="28"/>
      <c r="D472" s="28"/>
      <c r="E472" s="29"/>
      <c r="F472" s="29"/>
      <c r="G472" s="29"/>
      <c r="H472" s="28"/>
      <c r="I472" s="29" t="str">
        <f>IF(AND(A472&lt;&gt;"",SUMIF(NESTING!I:I,A472,NESTING!J:J)=G472),"OK","")</f>
        <v/>
      </c>
    </row>
    <row r="473" spans="1:9">
      <c r="A473" s="29"/>
      <c r="B473" s="29"/>
      <c r="C473" s="28"/>
      <c r="D473" s="28"/>
      <c r="E473" s="29"/>
      <c r="F473" s="29"/>
      <c r="G473" s="29"/>
      <c r="H473" s="28"/>
      <c r="I473" s="29" t="str">
        <f>IF(AND(A473&lt;&gt;"",SUMIF(NESTING!I:I,A473,NESTING!J:J)=G473),"OK","")</f>
        <v/>
      </c>
    </row>
    <row r="474" spans="1:9">
      <c r="A474" s="29"/>
      <c r="B474" s="29"/>
      <c r="C474" s="28"/>
      <c r="D474" s="28"/>
      <c r="E474" s="29"/>
      <c r="F474" s="29"/>
      <c r="G474" s="29"/>
      <c r="H474" s="28"/>
      <c r="I474" s="29" t="str">
        <f>IF(AND(A474&lt;&gt;"",SUMIF(NESTING!I:I,A474,NESTING!J:J)=G474),"OK","")</f>
        <v/>
      </c>
    </row>
    <row r="475" spans="1:9">
      <c r="A475" s="29"/>
      <c r="B475" s="29"/>
      <c r="C475" s="28"/>
      <c r="D475" s="28"/>
      <c r="E475" s="29"/>
      <c r="F475" s="29"/>
      <c r="G475" s="29"/>
      <c r="H475" s="28"/>
      <c r="I475" s="29" t="str">
        <f>IF(AND(A475&lt;&gt;"",SUMIF(NESTING!I:I,A475,NESTING!J:J)=G475),"OK","")</f>
        <v/>
      </c>
    </row>
    <row r="476" spans="1:9">
      <c r="A476" s="29"/>
      <c r="B476" s="29"/>
      <c r="C476" s="28"/>
      <c r="D476" s="28"/>
      <c r="E476" s="29"/>
      <c r="F476" s="29"/>
      <c r="G476" s="29"/>
      <c r="H476" s="28"/>
      <c r="I476" s="29" t="str">
        <f>IF(AND(A476&lt;&gt;"",SUMIF(NESTING!I:I,A476,NESTING!J:J)=G476),"OK","")</f>
        <v/>
      </c>
    </row>
    <row r="477" spans="1:9">
      <c r="A477" s="29"/>
      <c r="B477" s="29"/>
      <c r="C477" s="28"/>
      <c r="D477" s="28"/>
      <c r="E477" s="29"/>
      <c r="F477" s="29"/>
      <c r="G477" s="29"/>
      <c r="H477" s="28"/>
      <c r="I477" s="29" t="str">
        <f>IF(AND(A477&lt;&gt;"",SUMIF(NESTING!I:I,A477,NESTING!J:J)=G477),"OK","")</f>
        <v/>
      </c>
    </row>
    <row r="478" spans="1:9">
      <c r="A478" s="29"/>
      <c r="B478" s="29"/>
      <c r="C478" s="28"/>
      <c r="D478" s="28"/>
      <c r="E478" s="29"/>
      <c r="F478" s="29"/>
      <c r="G478" s="29"/>
      <c r="H478" s="28"/>
      <c r="I478" s="29" t="str">
        <f>IF(AND(A478&lt;&gt;"",SUMIF(NESTING!I:I,A478,NESTING!J:J)=G478),"OK","")</f>
        <v/>
      </c>
    </row>
    <row r="479" spans="1:9">
      <c r="A479" s="29"/>
      <c r="B479" s="29"/>
      <c r="C479" s="28"/>
      <c r="D479" s="28"/>
      <c r="E479" s="29"/>
      <c r="F479" s="29"/>
      <c r="G479" s="29"/>
      <c r="H479" s="28"/>
      <c r="I479" s="29" t="str">
        <f>IF(AND(A479&lt;&gt;"",SUMIF(NESTING!I:I,A479,NESTING!J:J)=G479),"OK","")</f>
        <v/>
      </c>
    </row>
    <row r="480" spans="1:9">
      <c r="A480" s="29"/>
      <c r="B480" s="29"/>
      <c r="C480" s="28"/>
      <c r="D480" s="28"/>
      <c r="E480" s="29"/>
      <c r="F480" s="29"/>
      <c r="G480" s="29"/>
      <c r="H480" s="28"/>
      <c r="I480" s="29" t="str">
        <f>IF(AND(A480&lt;&gt;"",SUMIF(NESTING!I:I,A480,NESTING!J:J)=G480),"OK","")</f>
        <v/>
      </c>
    </row>
    <row r="481" spans="1:9">
      <c r="A481" s="29"/>
      <c r="B481" s="29"/>
      <c r="C481" s="28"/>
      <c r="D481" s="28"/>
      <c r="E481" s="29"/>
      <c r="F481" s="29"/>
      <c r="G481" s="29"/>
      <c r="H481" s="28"/>
      <c r="I481" s="29" t="str">
        <f>IF(AND(A481&lt;&gt;"",SUMIF(NESTING!I:I,A481,NESTING!J:J)=G481),"OK","")</f>
        <v/>
      </c>
    </row>
    <row r="482" spans="1:9">
      <c r="A482" s="29"/>
      <c r="B482" s="29"/>
      <c r="C482" s="28"/>
      <c r="D482" s="28"/>
      <c r="E482" s="29"/>
      <c r="F482" s="29"/>
      <c r="G482" s="29"/>
      <c r="H482" s="28"/>
      <c r="I482" s="29" t="str">
        <f>IF(AND(A482&lt;&gt;"",SUMIF(NESTING!I:I,A482,NESTING!J:J)=G482),"OK","")</f>
        <v/>
      </c>
    </row>
    <row r="483" spans="1:9">
      <c r="A483" s="29"/>
      <c r="B483" s="29"/>
      <c r="C483" s="28"/>
      <c r="D483" s="28"/>
      <c r="E483" s="29"/>
      <c r="F483" s="29"/>
      <c r="G483" s="29"/>
      <c r="H483" s="28"/>
      <c r="I483" s="29" t="str">
        <f>IF(AND(A483&lt;&gt;"",SUMIF(NESTING!I:I,A483,NESTING!J:J)=G483),"OK","")</f>
        <v/>
      </c>
    </row>
    <row r="484" spans="1:9">
      <c r="A484" s="29"/>
      <c r="B484" s="29"/>
      <c r="C484" s="28"/>
      <c r="D484" s="28"/>
      <c r="E484" s="29"/>
      <c r="F484" s="29"/>
      <c r="G484" s="29"/>
      <c r="H484" s="28"/>
      <c r="I484" s="29" t="str">
        <f>IF(AND(A484&lt;&gt;"",SUMIF(NESTING!I:I,A484,NESTING!J:J)=G484),"OK","")</f>
        <v/>
      </c>
    </row>
    <row r="485" spans="1:9">
      <c r="A485" s="29"/>
      <c r="B485" s="29"/>
      <c r="C485" s="28"/>
      <c r="D485" s="28"/>
      <c r="E485" s="29"/>
      <c r="F485" s="29"/>
      <c r="G485" s="29"/>
      <c r="H485" s="28"/>
      <c r="I485" s="29" t="str">
        <f>IF(AND(A485&lt;&gt;"",SUMIF(NESTING!I:I,A485,NESTING!J:J)=G485),"OK","")</f>
        <v/>
      </c>
    </row>
    <row r="486" spans="1:9">
      <c r="A486" s="29"/>
      <c r="B486" s="29"/>
      <c r="C486" s="28"/>
      <c r="D486" s="28"/>
      <c r="E486" s="29"/>
      <c r="F486" s="29"/>
      <c r="G486" s="29"/>
      <c r="H486" s="28"/>
      <c r="I486" s="29" t="str">
        <f>IF(AND(A486&lt;&gt;"",SUMIF(NESTING!I:I,A486,NESTING!J:J)=G486),"OK","")</f>
        <v/>
      </c>
    </row>
    <row r="487" spans="1:9">
      <c r="A487" s="29"/>
      <c r="B487" s="29"/>
      <c r="C487" s="28"/>
      <c r="D487" s="28"/>
      <c r="E487" s="29"/>
      <c r="F487" s="29"/>
      <c r="G487" s="29"/>
      <c r="H487" s="28"/>
      <c r="I487" s="29" t="str">
        <f>IF(AND(A487&lt;&gt;"",SUMIF(NESTING!I:I,A487,NESTING!J:J)=G487),"OK","")</f>
        <v/>
      </c>
    </row>
    <row r="488" spans="1:9">
      <c r="A488" s="29"/>
      <c r="B488" s="29"/>
      <c r="C488" s="28"/>
      <c r="D488" s="28"/>
      <c r="E488" s="29"/>
      <c r="F488" s="29"/>
      <c r="G488" s="29"/>
      <c r="H488" s="28"/>
      <c r="I488" s="29" t="str">
        <f>IF(AND(A488&lt;&gt;"",SUMIF(NESTING!I:I,A488,NESTING!J:J)=G488),"OK","")</f>
        <v/>
      </c>
    </row>
    <row r="489" spans="1:9">
      <c r="A489" s="29"/>
      <c r="B489" s="29"/>
      <c r="C489" s="28"/>
      <c r="D489" s="28"/>
      <c r="E489" s="29"/>
      <c r="F489" s="29"/>
      <c r="G489" s="29"/>
      <c r="H489" s="28"/>
      <c r="I489" s="29" t="str">
        <f>IF(AND(A489&lt;&gt;"",SUMIF(NESTING!I:I,A489,NESTING!J:J)=G489),"OK","")</f>
        <v/>
      </c>
    </row>
    <row r="490" spans="1:9">
      <c r="A490" s="29"/>
      <c r="B490" s="29"/>
      <c r="C490" s="28"/>
      <c r="D490" s="28"/>
      <c r="E490" s="29"/>
      <c r="F490" s="29"/>
      <c r="G490" s="29"/>
      <c r="H490" s="28"/>
      <c r="I490" s="29" t="str">
        <f>IF(AND(A490&lt;&gt;"",SUMIF(NESTING!I:I,A490,NESTING!J:J)=G490),"OK","")</f>
        <v/>
      </c>
    </row>
    <row r="491" spans="1:9">
      <c r="A491" s="29"/>
      <c r="B491" s="29"/>
      <c r="C491" s="28"/>
      <c r="D491" s="28"/>
      <c r="E491" s="29"/>
      <c r="F491" s="29"/>
      <c r="G491" s="29"/>
      <c r="H491" s="28"/>
      <c r="I491" s="29" t="str">
        <f>IF(AND(A491&lt;&gt;"",SUMIF(NESTING!I:I,A491,NESTING!J:J)=G491),"OK","")</f>
        <v/>
      </c>
    </row>
    <row r="492" spans="1:9">
      <c r="A492" s="29"/>
      <c r="B492" s="29"/>
      <c r="C492" s="28"/>
      <c r="D492" s="28"/>
      <c r="E492" s="29"/>
      <c r="F492" s="29"/>
      <c r="G492" s="29"/>
      <c r="H492" s="28"/>
      <c r="I492" s="29" t="str">
        <f>IF(AND(A492&lt;&gt;"",SUMIF(NESTING!I:I,A492,NESTING!J:J)=G492),"OK","")</f>
        <v/>
      </c>
    </row>
    <row r="493" spans="1:9">
      <c r="A493" s="29"/>
      <c r="B493" s="29"/>
      <c r="C493" s="28"/>
      <c r="D493" s="28"/>
      <c r="E493" s="29"/>
      <c r="F493" s="29"/>
      <c r="G493" s="29"/>
      <c r="H493" s="28"/>
      <c r="I493" s="29" t="str">
        <f>IF(AND(A493&lt;&gt;"",SUMIF(NESTING!I:I,A493,NESTING!J:J)=G493),"OK","")</f>
        <v/>
      </c>
    </row>
    <row r="494" spans="1:9">
      <c r="A494" s="29"/>
      <c r="B494" s="29"/>
      <c r="C494" s="28"/>
      <c r="D494" s="28"/>
      <c r="E494" s="29"/>
      <c r="F494" s="29"/>
      <c r="G494" s="29"/>
      <c r="H494" s="28"/>
      <c r="I494" s="29" t="str">
        <f>IF(AND(A494&lt;&gt;"",SUMIF(NESTING!I:I,A494,NESTING!J:J)=G494),"OK","")</f>
        <v/>
      </c>
    </row>
    <row r="495" spans="1:9">
      <c r="A495" s="29"/>
      <c r="B495" s="29"/>
      <c r="C495" s="28"/>
      <c r="D495" s="28"/>
      <c r="E495" s="29"/>
      <c r="F495" s="29"/>
      <c r="G495" s="29"/>
      <c r="H495" s="28"/>
      <c r="I495" s="29" t="str">
        <f>IF(AND(A495&lt;&gt;"",SUMIF(NESTING!I:I,A495,NESTING!J:J)=G495),"OK","")</f>
        <v/>
      </c>
    </row>
    <row r="496" spans="1:9">
      <c r="A496" s="29"/>
      <c r="B496" s="29"/>
      <c r="C496" s="28"/>
      <c r="D496" s="28"/>
      <c r="E496" s="29"/>
      <c r="F496" s="29"/>
      <c r="G496" s="29"/>
      <c r="H496" s="28"/>
      <c r="I496" s="29" t="str">
        <f>IF(AND(A496&lt;&gt;"",SUMIF(NESTING!I:I,A496,NESTING!J:J)=G496),"OK","")</f>
        <v/>
      </c>
    </row>
    <row r="497" spans="1:9">
      <c r="A497" s="29"/>
      <c r="B497" s="29"/>
      <c r="C497" s="28"/>
      <c r="D497" s="28"/>
      <c r="E497" s="29"/>
      <c r="F497" s="29"/>
      <c r="G497" s="29"/>
      <c r="H497" s="28"/>
      <c r="I497" s="29" t="str">
        <f>IF(AND(A497&lt;&gt;"",SUMIF(NESTING!I:I,A497,NESTING!J:J)=G497),"OK","")</f>
        <v/>
      </c>
    </row>
    <row r="498" spans="1:9">
      <c r="A498" s="29"/>
      <c r="B498" s="29"/>
      <c r="C498" s="28"/>
      <c r="D498" s="28"/>
      <c r="E498" s="29"/>
      <c r="F498" s="29"/>
      <c r="G498" s="29"/>
      <c r="H498" s="28"/>
      <c r="I498" s="29" t="str">
        <f>IF(AND(A498&lt;&gt;"",SUMIF(NESTING!I:I,A498,NESTING!J:J)=G498),"OK","")</f>
        <v/>
      </c>
    </row>
    <row r="499" spans="1:9">
      <c r="A499" s="29"/>
      <c r="B499" s="29"/>
      <c r="C499" s="28"/>
      <c r="D499" s="28"/>
      <c r="E499" s="29"/>
      <c r="F499" s="29"/>
      <c r="G499" s="29"/>
      <c r="H499" s="28"/>
      <c r="I499" s="29" t="str">
        <f>IF(AND(A499&lt;&gt;"",SUMIF(NESTING!I:I,A499,NESTING!J:J)=G499),"OK","")</f>
        <v/>
      </c>
    </row>
    <row r="500" spans="1:9">
      <c r="A500" s="29"/>
      <c r="B500" s="29"/>
      <c r="C500" s="28"/>
      <c r="D500" s="28"/>
      <c r="E500" s="29"/>
      <c r="F500" s="29"/>
      <c r="G500" s="29"/>
      <c r="H500" s="28"/>
      <c r="I500" s="29" t="str">
        <f>IF(AND(A500&lt;&gt;"",SUMIF(NESTING!I:I,A500,NESTING!J:J)=G500),"OK","")</f>
        <v/>
      </c>
    </row>
    <row r="501" spans="1:9">
      <c r="A501" s="29"/>
      <c r="B501" s="29"/>
      <c r="C501" s="28"/>
      <c r="D501" s="28"/>
      <c r="E501" s="29"/>
      <c r="F501" s="29"/>
      <c r="G501" s="29"/>
      <c r="H501" s="28"/>
      <c r="I501" s="29" t="str">
        <f>IF(AND(A501&lt;&gt;"",SUMIF(NESTING!I:I,A501,NESTING!J:J)=G501),"OK","")</f>
        <v/>
      </c>
    </row>
    <row r="502" spans="1:9">
      <c r="A502" s="29"/>
      <c r="B502" s="29"/>
      <c r="C502" s="28"/>
      <c r="D502" s="28"/>
      <c r="E502" s="29"/>
      <c r="F502" s="29"/>
      <c r="G502" s="29"/>
      <c r="H502" s="28"/>
      <c r="I502" s="29" t="str">
        <f>IF(AND(A502&lt;&gt;"",SUMIF(NESTING!I:I,A502,NESTING!J:J)=G502),"OK","")</f>
        <v/>
      </c>
    </row>
    <row r="503" spans="1:9">
      <c r="A503" s="29"/>
      <c r="B503" s="29"/>
      <c r="C503" s="28"/>
      <c r="D503" s="28"/>
      <c r="E503" s="29"/>
      <c r="F503" s="29"/>
      <c r="G503" s="29"/>
      <c r="H503" s="28"/>
      <c r="I503" s="29" t="str">
        <f>IF(AND(A503&lt;&gt;"",SUMIF(NESTING!I:I,A503,NESTING!J:J)=G503),"OK","")</f>
        <v/>
      </c>
    </row>
    <row r="504" spans="1:9">
      <c r="A504" s="29"/>
      <c r="B504" s="29"/>
      <c r="C504" s="28"/>
      <c r="D504" s="28"/>
      <c r="E504" s="29"/>
      <c r="F504" s="29"/>
      <c r="G504" s="29"/>
      <c r="H504" s="28"/>
      <c r="I504" s="29" t="str">
        <f>IF(AND(A504&lt;&gt;"",SUMIF(NESTING!I:I,A504,NESTING!J:J)=G504),"OK","")</f>
        <v/>
      </c>
    </row>
    <row r="505" spans="1:9">
      <c r="A505" s="29"/>
      <c r="B505" s="29"/>
      <c r="C505" s="28"/>
      <c r="D505" s="28"/>
      <c r="E505" s="29"/>
      <c r="F505" s="29"/>
      <c r="G505" s="29"/>
      <c r="H505" s="28"/>
      <c r="I505" s="29" t="str">
        <f>IF(AND(A505&lt;&gt;"",SUMIF(NESTING!I:I,A505,NESTING!J:J)=G505),"OK","")</f>
        <v/>
      </c>
    </row>
    <row r="506" spans="1:9">
      <c r="A506" s="29"/>
      <c r="B506" s="29"/>
      <c r="C506" s="28"/>
      <c r="D506" s="28"/>
      <c r="E506" s="29"/>
      <c r="F506" s="29"/>
      <c r="G506" s="29"/>
      <c r="H506" s="28"/>
      <c r="I506" s="29" t="str">
        <f>IF(AND(A506&lt;&gt;"",SUMIF(NESTING!I:I,A506,NESTING!J:J)=G506),"OK","")</f>
        <v/>
      </c>
    </row>
    <row r="507" spans="1:9">
      <c r="A507" s="29"/>
      <c r="B507" s="29"/>
      <c r="C507" s="28"/>
      <c r="D507" s="28"/>
      <c r="E507" s="29"/>
      <c r="F507" s="29"/>
      <c r="G507" s="29"/>
      <c r="H507" s="28"/>
      <c r="I507" s="29" t="str">
        <f>IF(AND(A507&lt;&gt;"",SUMIF(NESTING!I:I,A507,NESTING!J:J)=G507),"OK","")</f>
        <v/>
      </c>
    </row>
    <row r="508" spans="1:9">
      <c r="A508" s="29"/>
      <c r="B508" s="29"/>
      <c r="C508" s="28"/>
      <c r="D508" s="28"/>
      <c r="E508" s="29"/>
      <c r="F508" s="29"/>
      <c r="G508" s="29"/>
      <c r="H508" s="28"/>
      <c r="I508" s="29" t="str">
        <f>IF(AND(A508&lt;&gt;"",SUMIF(NESTING!I:I,A508,NESTING!J:J)=G508),"OK","")</f>
        <v/>
      </c>
    </row>
    <row r="509" spans="1:9">
      <c r="A509" s="29"/>
      <c r="B509" s="29"/>
      <c r="C509" s="28"/>
      <c r="D509" s="28"/>
      <c r="E509" s="29"/>
      <c r="F509" s="29"/>
      <c r="G509" s="29"/>
      <c r="H509" s="28"/>
      <c r="I509" s="29" t="str">
        <f>IF(AND(A509&lt;&gt;"",SUMIF(NESTING!I:I,A509,NESTING!J:J)=G509),"OK","")</f>
        <v/>
      </c>
    </row>
    <row r="510" spans="1:9">
      <c r="A510" s="29"/>
      <c r="B510" s="29"/>
      <c r="C510" s="28"/>
      <c r="D510" s="28"/>
      <c r="E510" s="29"/>
      <c r="F510" s="29"/>
      <c r="G510" s="29"/>
      <c r="H510" s="28"/>
      <c r="I510" s="29" t="str">
        <f>IF(AND(A510&lt;&gt;"",SUMIF(NESTING!I:I,A510,NESTING!J:J)=G510),"OK","")</f>
        <v/>
      </c>
    </row>
    <row r="511" spans="1:9">
      <c r="A511" s="29"/>
      <c r="B511" s="29"/>
      <c r="C511" s="28"/>
      <c r="D511" s="28"/>
      <c r="E511" s="29"/>
      <c r="F511" s="29"/>
      <c r="G511" s="29"/>
      <c r="H511" s="28"/>
      <c r="I511" s="29" t="str">
        <f>IF(AND(A511&lt;&gt;"",SUMIF(NESTING!I:I,A511,NESTING!J:J)=G511),"OK","")</f>
        <v/>
      </c>
    </row>
    <row r="512" spans="1:9">
      <c r="A512" s="29"/>
      <c r="B512" s="29"/>
      <c r="C512" s="28"/>
      <c r="D512" s="28"/>
      <c r="E512" s="29"/>
      <c r="F512" s="29"/>
      <c r="G512" s="29"/>
      <c r="H512" s="28"/>
      <c r="I512" s="29" t="str">
        <f>IF(AND(A512&lt;&gt;"",SUMIF(NESTING!I:I,A512,NESTING!J:J)=G512),"OK","")</f>
        <v/>
      </c>
    </row>
    <row r="513" spans="1:9">
      <c r="A513" s="29"/>
      <c r="B513" s="29"/>
      <c r="C513" s="28"/>
      <c r="D513" s="28"/>
      <c r="E513" s="29"/>
      <c r="F513" s="29"/>
      <c r="G513" s="29"/>
      <c r="H513" s="28"/>
      <c r="I513" s="29" t="str">
        <f>IF(AND(A513&lt;&gt;"",SUMIF(NESTING!I:I,A513,NESTING!J:J)=G513),"OK","")</f>
        <v/>
      </c>
    </row>
    <row r="514" spans="1:9">
      <c r="A514" s="29"/>
      <c r="B514" s="29"/>
      <c r="C514" s="28"/>
      <c r="D514" s="28"/>
      <c r="E514" s="29"/>
      <c r="F514" s="29"/>
      <c r="G514" s="29"/>
      <c r="H514" s="28"/>
      <c r="I514" s="29" t="str">
        <f>IF(AND(A514&lt;&gt;"",SUMIF(NESTING!I:I,A514,NESTING!J:J)=G514),"OK","")</f>
        <v/>
      </c>
    </row>
    <row r="515" spans="1:9">
      <c r="A515" s="29"/>
      <c r="B515" s="29"/>
      <c r="C515" s="28"/>
      <c r="D515" s="28"/>
      <c r="E515" s="29"/>
      <c r="F515" s="29"/>
      <c r="G515" s="29"/>
      <c r="H515" s="28"/>
      <c r="I515" s="29" t="str">
        <f>IF(AND(A515&lt;&gt;"",SUMIF(NESTING!I:I,A515,NESTING!J:J)=G515),"OK","")</f>
        <v/>
      </c>
    </row>
    <row r="516" spans="1:9">
      <c r="A516" s="29"/>
      <c r="B516" s="29"/>
      <c r="C516" s="28"/>
      <c r="D516" s="28"/>
      <c r="E516" s="29"/>
      <c r="F516" s="29"/>
      <c r="G516" s="29"/>
      <c r="H516" s="28"/>
      <c r="I516" s="29" t="str">
        <f>IF(AND(A516&lt;&gt;"",SUMIF(NESTING!I:I,A516,NESTING!J:J)=G516),"OK","")</f>
        <v/>
      </c>
    </row>
    <row r="517" spans="1:9">
      <c r="A517" s="29"/>
      <c r="B517" s="29"/>
      <c r="C517" s="28"/>
      <c r="D517" s="28"/>
      <c r="E517" s="29"/>
      <c r="F517" s="29"/>
      <c r="G517" s="29"/>
      <c r="H517" s="28"/>
      <c r="I517" s="29" t="str">
        <f>IF(AND(A517&lt;&gt;"",SUMIF(NESTING!I:I,A517,NESTING!J:J)=G517),"OK","")</f>
        <v/>
      </c>
    </row>
    <row r="518" spans="1:9">
      <c r="A518" s="29"/>
      <c r="B518" s="29"/>
      <c r="C518" s="28"/>
      <c r="D518" s="28"/>
      <c r="E518" s="29"/>
      <c r="F518" s="29"/>
      <c r="G518" s="29"/>
      <c r="H518" s="28"/>
      <c r="I518" s="29" t="str">
        <f>IF(AND(A518&lt;&gt;"",SUMIF(NESTING!I:I,A518,NESTING!J:J)=G518),"OK","")</f>
        <v/>
      </c>
    </row>
    <row r="519" spans="1:9">
      <c r="A519" s="29"/>
      <c r="B519" s="29"/>
      <c r="C519" s="28"/>
      <c r="D519" s="28"/>
      <c r="E519" s="29"/>
      <c r="F519" s="29"/>
      <c r="G519" s="29"/>
      <c r="H519" s="28"/>
      <c r="I519" s="29" t="str">
        <f>IF(AND(A519&lt;&gt;"",SUMIF(NESTING!I:I,A519,NESTING!J:J)=G519),"OK","")</f>
        <v/>
      </c>
    </row>
    <row r="520" spans="1:9">
      <c r="A520" s="29"/>
      <c r="B520" s="29"/>
      <c r="C520" s="28"/>
      <c r="D520" s="28"/>
      <c r="E520" s="29"/>
      <c r="F520" s="29"/>
      <c r="G520" s="29"/>
      <c r="H520" s="28"/>
      <c r="I520" s="29" t="str">
        <f>IF(AND(A520&lt;&gt;"",SUMIF(NESTING!I:I,A520,NESTING!J:J)=G520),"OK","")</f>
        <v/>
      </c>
    </row>
    <row r="521" spans="1:9">
      <c r="A521" s="29"/>
      <c r="B521" s="29"/>
      <c r="C521" s="28"/>
      <c r="D521" s="28"/>
      <c r="E521" s="29"/>
      <c r="F521" s="29"/>
      <c r="G521" s="29"/>
      <c r="H521" s="28"/>
      <c r="I521" s="29" t="str">
        <f>IF(AND(A521&lt;&gt;"",SUMIF(NESTING!I:I,A521,NESTING!J:J)=G521),"OK","")</f>
        <v/>
      </c>
    </row>
    <row r="522" spans="1:9">
      <c r="A522" s="29"/>
      <c r="B522" s="29"/>
      <c r="C522" s="28"/>
      <c r="D522" s="28"/>
      <c r="E522" s="29"/>
      <c r="F522" s="29"/>
      <c r="G522" s="29"/>
      <c r="H522" s="28"/>
      <c r="I522" s="29" t="str">
        <f>IF(AND(A522&lt;&gt;"",SUMIF(NESTING!I:I,A522,NESTING!J:J)=G522),"OK","")</f>
        <v/>
      </c>
    </row>
    <row r="523" spans="1:9">
      <c r="A523" s="29"/>
      <c r="B523" s="29"/>
      <c r="C523" s="28"/>
      <c r="D523" s="28"/>
      <c r="E523" s="29"/>
      <c r="F523" s="29"/>
      <c r="G523" s="29"/>
      <c r="H523" s="28"/>
      <c r="I523" s="29" t="str">
        <f>IF(AND(A523&lt;&gt;"",SUMIF(NESTING!I:I,A523,NESTING!J:J)=G523),"OK","")</f>
        <v/>
      </c>
    </row>
    <row r="524" spans="1:9">
      <c r="A524" s="29"/>
      <c r="B524" s="29"/>
      <c r="C524" s="28"/>
      <c r="D524" s="28"/>
      <c r="E524" s="29"/>
      <c r="F524" s="29"/>
      <c r="G524" s="29"/>
      <c r="H524" s="28"/>
      <c r="I524" s="29" t="str">
        <f>IF(AND(A524&lt;&gt;"",SUMIF(NESTING!I:I,A524,NESTING!J:J)=G524),"OK","")</f>
        <v/>
      </c>
    </row>
    <row r="525" spans="1:9">
      <c r="A525" s="29"/>
      <c r="B525" s="29"/>
      <c r="C525" s="28"/>
      <c r="D525" s="28"/>
      <c r="E525" s="29"/>
      <c r="F525" s="29"/>
      <c r="G525" s="29"/>
      <c r="H525" s="28"/>
      <c r="I525" s="29" t="str">
        <f>IF(AND(A525&lt;&gt;"",SUMIF(NESTING!I:I,A525,NESTING!J:J)=G525),"OK","")</f>
        <v/>
      </c>
    </row>
    <row r="526" spans="1:9">
      <c r="A526" s="29"/>
      <c r="B526" s="29"/>
      <c r="C526" s="28"/>
      <c r="D526" s="28"/>
      <c r="E526" s="29"/>
      <c r="F526" s="29"/>
      <c r="G526" s="29"/>
      <c r="H526" s="28"/>
      <c r="I526" s="29" t="str">
        <f>IF(AND(A526&lt;&gt;"",SUMIF(NESTING!I:I,A526,NESTING!J:J)=G526),"OK","")</f>
        <v/>
      </c>
    </row>
    <row r="527" spans="1:9">
      <c r="A527" s="29"/>
      <c r="B527" s="29"/>
      <c r="C527" s="28"/>
      <c r="D527" s="28"/>
      <c r="E527" s="29"/>
      <c r="F527" s="29"/>
      <c r="G527" s="29"/>
      <c r="H527" s="28"/>
      <c r="I527" s="29" t="str">
        <f>IF(AND(A527&lt;&gt;"",SUMIF(NESTING!I:I,A527,NESTING!J:J)=G527),"OK","")</f>
        <v/>
      </c>
    </row>
    <row r="528" spans="1:9">
      <c r="A528" s="29"/>
      <c r="B528" s="29"/>
      <c r="C528" s="28"/>
      <c r="D528" s="28"/>
      <c r="E528" s="29"/>
      <c r="F528" s="29"/>
      <c r="G528" s="29"/>
      <c r="H528" s="28"/>
      <c r="I528" s="29" t="str">
        <f>IF(AND(A528&lt;&gt;"",SUMIF(NESTING!I:I,A528,NESTING!J:J)=G528),"OK","")</f>
        <v/>
      </c>
    </row>
    <row r="529" spans="1:9">
      <c r="A529" s="29"/>
      <c r="B529" s="29"/>
      <c r="C529" s="28"/>
      <c r="D529" s="28"/>
      <c r="E529" s="29"/>
      <c r="F529" s="29"/>
      <c r="G529" s="29"/>
      <c r="H529" s="28"/>
      <c r="I529" s="29" t="str">
        <f>IF(AND(A529&lt;&gt;"",SUMIF(NESTING!I:I,A529,NESTING!J:J)=G529),"OK","")</f>
        <v/>
      </c>
    </row>
    <row r="530" spans="1:9">
      <c r="A530" s="29"/>
      <c r="B530" s="29"/>
      <c r="C530" s="28"/>
      <c r="D530" s="28"/>
      <c r="E530" s="29"/>
      <c r="F530" s="29"/>
      <c r="G530" s="29"/>
      <c r="H530" s="28"/>
      <c r="I530" s="29" t="str">
        <f>IF(AND(A530&lt;&gt;"",SUMIF(NESTING!I:I,A530,NESTING!J:J)=G530),"OK","")</f>
        <v/>
      </c>
    </row>
    <row r="531" spans="1:9">
      <c r="A531" s="29"/>
      <c r="B531" s="29"/>
      <c r="C531" s="28"/>
      <c r="D531" s="28"/>
      <c r="E531" s="29"/>
      <c r="F531" s="29"/>
      <c r="G531" s="29"/>
      <c r="H531" s="28"/>
      <c r="I531" s="29" t="str">
        <f>IF(AND(A531&lt;&gt;"",SUMIF(NESTING!I:I,A531,NESTING!J:J)=G531),"OK","")</f>
        <v/>
      </c>
    </row>
    <row r="532" spans="1:9">
      <c r="A532" s="29"/>
      <c r="B532" s="29"/>
      <c r="C532" s="28"/>
      <c r="D532" s="28"/>
      <c r="E532" s="29"/>
      <c r="F532" s="29"/>
      <c r="G532" s="29"/>
      <c r="H532" s="28"/>
      <c r="I532" s="29" t="str">
        <f>IF(AND(A532&lt;&gt;"",SUMIF(NESTING!I:I,A532,NESTING!J:J)=G532),"OK","")</f>
        <v/>
      </c>
    </row>
    <row r="533" spans="1:9">
      <c r="A533" s="29"/>
      <c r="B533" s="29"/>
      <c r="C533" s="28"/>
      <c r="D533" s="28"/>
      <c r="E533" s="29"/>
      <c r="F533" s="29"/>
      <c r="G533" s="29"/>
      <c r="H533" s="28"/>
      <c r="I533" s="29" t="str">
        <f>IF(AND(A533&lt;&gt;"",SUMIF(NESTING!I:I,A533,NESTING!J:J)=G533),"OK","")</f>
        <v/>
      </c>
    </row>
    <row r="534" spans="1:9">
      <c r="A534" s="29"/>
      <c r="B534" s="29"/>
      <c r="C534" s="28"/>
      <c r="D534" s="28"/>
      <c r="E534" s="29"/>
      <c r="F534" s="29"/>
      <c r="G534" s="29"/>
      <c r="H534" s="28"/>
      <c r="I534" s="29" t="str">
        <f>IF(AND(A534&lt;&gt;"",SUMIF(NESTING!I:I,A534,NESTING!J:J)=G534),"OK","")</f>
        <v/>
      </c>
    </row>
    <row r="535" spans="1:9">
      <c r="A535" s="29"/>
      <c r="B535" s="29"/>
      <c r="C535" s="28"/>
      <c r="D535" s="28"/>
      <c r="E535" s="29"/>
      <c r="F535" s="29"/>
      <c r="G535" s="29"/>
      <c r="H535" s="28"/>
      <c r="I535" s="29" t="str">
        <f>IF(AND(A535&lt;&gt;"",SUMIF(NESTING!I:I,A535,NESTING!J:J)=G535),"OK","")</f>
        <v/>
      </c>
    </row>
    <row r="536" spans="1:9">
      <c r="A536" s="29"/>
      <c r="B536" s="29"/>
      <c r="C536" s="28"/>
      <c r="D536" s="28"/>
      <c r="E536" s="29"/>
      <c r="F536" s="29"/>
      <c r="G536" s="29"/>
      <c r="H536" s="28"/>
      <c r="I536" s="29" t="str">
        <f>IF(AND(A536&lt;&gt;"",SUMIF(NESTING!I:I,A536,NESTING!J:J)=G536),"OK","")</f>
        <v/>
      </c>
    </row>
    <row r="537" spans="1:9">
      <c r="A537" s="29"/>
      <c r="B537" s="29"/>
      <c r="C537" s="28"/>
      <c r="D537" s="28"/>
      <c r="E537" s="29"/>
      <c r="F537" s="29"/>
      <c r="G537" s="29"/>
      <c r="H537" s="28"/>
      <c r="I537" s="29" t="str">
        <f>IF(AND(A537&lt;&gt;"",SUMIF(NESTING!I:I,A537,NESTING!J:J)=G537),"OK","")</f>
        <v/>
      </c>
    </row>
    <row r="538" spans="1:9">
      <c r="A538" s="29"/>
      <c r="B538" s="29"/>
      <c r="C538" s="28"/>
      <c r="D538" s="28"/>
      <c r="E538" s="29"/>
      <c r="F538" s="29"/>
      <c r="G538" s="29"/>
      <c r="H538" s="28"/>
      <c r="I538" s="29" t="str">
        <f>IF(AND(A538&lt;&gt;"",SUMIF(NESTING!I:I,A538,NESTING!J:J)=G538),"OK","")</f>
        <v/>
      </c>
    </row>
    <row r="539" spans="1:9">
      <c r="A539" s="29"/>
      <c r="B539" s="29"/>
      <c r="C539" s="28"/>
      <c r="D539" s="28"/>
      <c r="E539" s="29"/>
      <c r="F539" s="29"/>
      <c r="G539" s="29"/>
      <c r="H539" s="28"/>
      <c r="I539" s="29" t="str">
        <f>IF(AND(A539&lt;&gt;"",SUMIF(NESTING!I:I,A539,NESTING!J:J)=G539),"OK","")</f>
        <v/>
      </c>
    </row>
    <row r="540" spans="1:9">
      <c r="A540" s="29"/>
      <c r="B540" s="29"/>
      <c r="C540" s="28"/>
      <c r="D540" s="28"/>
      <c r="E540" s="29"/>
      <c r="F540" s="29"/>
      <c r="G540" s="29"/>
      <c r="H540" s="28"/>
      <c r="I540" s="29" t="str">
        <f>IF(AND(A540&lt;&gt;"",SUMIF(NESTING!I:I,A540,NESTING!J:J)=G540),"OK","")</f>
        <v/>
      </c>
    </row>
    <row r="541" spans="1:9">
      <c r="A541" s="29"/>
      <c r="B541" s="29"/>
      <c r="C541" s="28"/>
      <c r="D541" s="28"/>
      <c r="E541" s="29"/>
      <c r="F541" s="29"/>
      <c r="G541" s="29"/>
      <c r="H541" s="28"/>
      <c r="I541" s="29" t="str">
        <f>IF(AND(A541&lt;&gt;"",SUMIF(NESTING!I:I,A541,NESTING!J:J)=G541),"OK","")</f>
        <v/>
      </c>
    </row>
    <row r="542" spans="1:9">
      <c r="A542" s="29"/>
      <c r="B542" s="29"/>
      <c r="C542" s="28"/>
      <c r="D542" s="28"/>
      <c r="E542" s="29"/>
      <c r="F542" s="29"/>
      <c r="G542" s="29"/>
      <c r="H542" s="28"/>
      <c r="I542" s="29" t="str">
        <f>IF(AND(A542&lt;&gt;"",SUMIF(NESTING!I:I,A542,NESTING!J:J)=G542),"OK","")</f>
        <v/>
      </c>
    </row>
    <row r="543" spans="1:9">
      <c r="A543" s="29"/>
      <c r="B543" s="29"/>
      <c r="C543" s="28"/>
      <c r="D543" s="28"/>
      <c r="E543" s="29"/>
      <c r="F543" s="29"/>
      <c r="G543" s="29"/>
      <c r="H543" s="28"/>
      <c r="I543" s="29" t="str">
        <f>IF(AND(A543&lt;&gt;"",SUMIF(NESTING!I:I,A543,NESTING!J:J)=G543),"OK","")</f>
        <v/>
      </c>
    </row>
    <row r="544" spans="1:9">
      <c r="A544" s="29"/>
      <c r="B544" s="29"/>
      <c r="C544" s="28"/>
      <c r="D544" s="28"/>
      <c r="E544" s="29"/>
      <c r="F544" s="29"/>
      <c r="G544" s="29"/>
      <c r="H544" s="28"/>
      <c r="I544" s="29" t="str">
        <f>IF(AND(A544&lt;&gt;"",SUMIF(NESTING!I:I,A544,NESTING!J:J)=G544),"OK","")</f>
        <v/>
      </c>
    </row>
    <row r="545" spans="1:9">
      <c r="A545" s="29"/>
      <c r="B545" s="29"/>
      <c r="C545" s="28"/>
      <c r="D545" s="28"/>
      <c r="E545" s="29"/>
      <c r="F545" s="29"/>
      <c r="G545" s="29"/>
      <c r="H545" s="28"/>
      <c r="I545" s="29" t="str">
        <f>IF(AND(A545&lt;&gt;"",SUMIF(NESTING!I:I,A545,NESTING!J:J)=G545),"OK","")</f>
        <v/>
      </c>
    </row>
    <row r="546" spans="1:9">
      <c r="A546" s="29"/>
      <c r="B546" s="29"/>
      <c r="C546" s="28"/>
      <c r="D546" s="28"/>
      <c r="E546" s="29"/>
      <c r="F546" s="29"/>
      <c r="G546" s="29"/>
      <c r="H546" s="28"/>
      <c r="I546" s="29" t="str">
        <f>IF(AND(A546&lt;&gt;"",SUMIF(NESTING!I:I,A546,NESTING!J:J)=G546),"OK","")</f>
        <v/>
      </c>
    </row>
    <row r="547" spans="1:9">
      <c r="A547" s="29"/>
      <c r="B547" s="29"/>
      <c r="C547" s="28"/>
      <c r="D547" s="28"/>
      <c r="E547" s="29"/>
      <c r="F547" s="29"/>
      <c r="G547" s="29"/>
      <c r="H547" s="28"/>
      <c r="I547" s="29" t="str">
        <f>IF(AND(A547&lt;&gt;"",SUMIF(NESTING!I:I,A547,NESTING!J:J)=G547),"OK","")</f>
        <v/>
      </c>
    </row>
    <row r="548" spans="1:9">
      <c r="A548" s="29"/>
      <c r="B548" s="29"/>
      <c r="C548" s="28"/>
      <c r="D548" s="28"/>
      <c r="E548" s="29"/>
      <c r="F548" s="29"/>
      <c r="G548" s="29"/>
      <c r="H548" s="28"/>
      <c r="I548" s="29" t="str">
        <f>IF(AND(A548&lt;&gt;"",SUMIF(NESTING!I:I,A548,NESTING!J:J)=G548),"OK","")</f>
        <v/>
      </c>
    </row>
    <row r="549" spans="1:9">
      <c r="A549" s="29"/>
      <c r="B549" s="29"/>
      <c r="C549" s="28"/>
      <c r="D549" s="28"/>
      <c r="E549" s="29"/>
      <c r="F549" s="29"/>
      <c r="G549" s="29"/>
      <c r="H549" s="28"/>
      <c r="I549" s="29" t="str">
        <f>IF(AND(A549&lt;&gt;"",SUMIF(NESTING!I:I,A549,NESTING!J:J)=G549),"OK","")</f>
        <v/>
      </c>
    </row>
    <row r="550" spans="1:9">
      <c r="A550" s="29"/>
      <c r="B550" s="29"/>
      <c r="C550" s="28"/>
      <c r="D550" s="28"/>
      <c r="E550" s="29"/>
      <c r="F550" s="29"/>
      <c r="G550" s="29"/>
      <c r="H550" s="28"/>
      <c r="I550" s="29" t="str">
        <f>IF(AND(A550&lt;&gt;"",SUMIF(NESTING!I:I,A550,NESTING!J:J)=G550),"OK","")</f>
        <v/>
      </c>
    </row>
    <row r="551" spans="1:9">
      <c r="A551" s="29"/>
      <c r="B551" s="29"/>
      <c r="C551" s="28"/>
      <c r="D551" s="28"/>
      <c r="E551" s="29"/>
      <c r="F551" s="29"/>
      <c r="G551" s="29"/>
      <c r="H551" s="28"/>
      <c r="I551" s="29" t="str">
        <f>IF(AND(A551&lt;&gt;"",SUMIF(NESTING!I:I,A551,NESTING!J:J)=G551),"OK","")</f>
        <v/>
      </c>
    </row>
    <row r="552" spans="1:9">
      <c r="A552" s="29"/>
      <c r="B552" s="29"/>
      <c r="C552" s="28"/>
      <c r="D552" s="28"/>
      <c r="E552" s="29"/>
      <c r="F552" s="29"/>
      <c r="G552" s="29"/>
      <c r="H552" s="28"/>
      <c r="I552" s="29" t="str">
        <f>IF(AND(A552&lt;&gt;"",SUMIF(NESTING!I:I,A552,NESTING!J:J)=G552),"OK","")</f>
        <v/>
      </c>
    </row>
    <row r="553" spans="1:9">
      <c r="A553" s="29"/>
      <c r="B553" s="29"/>
      <c r="C553" s="28"/>
      <c r="D553" s="28"/>
      <c r="E553" s="29"/>
      <c r="F553" s="29"/>
      <c r="G553" s="29"/>
      <c r="H553" s="28"/>
      <c r="I553" s="29" t="str">
        <f>IF(AND(A553&lt;&gt;"",SUMIF(NESTING!I:I,A553,NESTING!J:J)=G553),"OK","")</f>
        <v/>
      </c>
    </row>
    <row r="554" spans="1:9">
      <c r="A554" s="29"/>
      <c r="B554" s="29"/>
      <c r="C554" s="28"/>
      <c r="D554" s="28"/>
      <c r="E554" s="29"/>
      <c r="F554" s="29"/>
      <c r="G554" s="29"/>
      <c r="H554" s="28"/>
      <c r="I554" s="29" t="str">
        <f>IF(AND(A554&lt;&gt;"",SUMIF(NESTING!I:I,A554,NESTING!J:J)=G554),"OK","")</f>
        <v/>
      </c>
    </row>
    <row r="555" spans="1:9">
      <c r="A555" s="29"/>
      <c r="B555" s="29"/>
      <c r="C555" s="28"/>
      <c r="D555" s="28"/>
      <c r="E555" s="29"/>
      <c r="F555" s="29"/>
      <c r="G555" s="29"/>
      <c r="H555" s="28"/>
      <c r="I555" s="29" t="str">
        <f>IF(AND(A555&lt;&gt;"",SUMIF(NESTING!I:I,A555,NESTING!J:J)=G555),"OK","")</f>
        <v/>
      </c>
    </row>
    <row r="556" spans="1:9">
      <c r="A556" s="29"/>
      <c r="B556" s="29"/>
      <c r="C556" s="28"/>
      <c r="D556" s="28"/>
      <c r="E556" s="29"/>
      <c r="F556" s="29"/>
      <c r="G556" s="29"/>
      <c r="H556" s="28"/>
      <c r="I556" s="29" t="str">
        <f>IF(AND(A556&lt;&gt;"",SUMIF(NESTING!I:I,A556,NESTING!J:J)=G556),"OK","")</f>
        <v/>
      </c>
    </row>
    <row r="557" spans="1:9">
      <c r="A557" s="29"/>
      <c r="B557" s="29"/>
      <c r="C557" s="28"/>
      <c r="D557" s="28"/>
      <c r="E557" s="29"/>
      <c r="F557" s="29"/>
      <c r="G557" s="29"/>
      <c r="H557" s="28"/>
      <c r="I557" s="29" t="str">
        <f>IF(AND(A557&lt;&gt;"",SUMIF(NESTING!I:I,A557,NESTING!J:J)=G557),"OK","")</f>
        <v/>
      </c>
    </row>
    <row r="558" spans="1:9">
      <c r="A558" s="29"/>
      <c r="B558" s="29"/>
      <c r="C558" s="28"/>
      <c r="D558" s="28"/>
      <c r="E558" s="29"/>
      <c r="F558" s="29"/>
      <c r="G558" s="29"/>
      <c r="H558" s="28"/>
      <c r="I558" s="29" t="str">
        <f>IF(AND(A558&lt;&gt;"",SUMIF(NESTING!I:I,A558,NESTING!J:J)=G558),"OK","")</f>
        <v/>
      </c>
    </row>
    <row r="559" spans="1:9">
      <c r="A559" s="29"/>
      <c r="B559" s="29"/>
      <c r="C559" s="28"/>
      <c r="D559" s="28"/>
      <c r="E559" s="29"/>
      <c r="F559" s="29"/>
      <c r="G559" s="29"/>
      <c r="H559" s="28"/>
      <c r="I559" s="29" t="str">
        <f>IF(AND(A559&lt;&gt;"",SUMIF(NESTING!I:I,A559,NESTING!J:J)=G559),"OK","")</f>
        <v/>
      </c>
    </row>
    <row r="560" spans="1:9">
      <c r="A560" s="29"/>
      <c r="B560" s="29"/>
      <c r="C560" s="28"/>
      <c r="D560" s="28"/>
      <c r="E560" s="29"/>
      <c r="F560" s="29"/>
      <c r="G560" s="29"/>
      <c r="H560" s="28"/>
      <c r="I560" s="29" t="str">
        <f>IF(AND(A560&lt;&gt;"",SUMIF(NESTING!I:I,A560,NESTING!J:J)=G560),"OK","")</f>
        <v/>
      </c>
    </row>
    <row r="561" spans="1:9">
      <c r="A561" s="29"/>
      <c r="B561" s="29"/>
      <c r="C561" s="28"/>
      <c r="D561" s="28"/>
      <c r="E561" s="29"/>
      <c r="F561" s="29"/>
      <c r="G561" s="29"/>
      <c r="H561" s="28"/>
      <c r="I561" s="29" t="str">
        <f>IF(AND(A561&lt;&gt;"",SUMIF(NESTING!I:I,A561,NESTING!J:J)=G561),"OK","")</f>
        <v/>
      </c>
    </row>
    <row r="562" spans="1:9">
      <c r="A562" s="29"/>
      <c r="B562" s="29"/>
      <c r="C562" s="28"/>
      <c r="D562" s="28"/>
      <c r="E562" s="29"/>
      <c r="F562" s="29"/>
      <c r="G562" s="29"/>
      <c r="H562" s="28"/>
      <c r="I562" s="29" t="str">
        <f>IF(AND(A562&lt;&gt;"",SUMIF(NESTING!I:I,A562,NESTING!J:J)=G562),"OK","")</f>
        <v/>
      </c>
    </row>
    <row r="563" spans="1:9">
      <c r="A563" s="29"/>
      <c r="B563" s="29"/>
      <c r="C563" s="28"/>
      <c r="D563" s="28"/>
      <c r="E563" s="29"/>
      <c r="F563" s="29"/>
      <c r="G563" s="29"/>
      <c r="H563" s="28"/>
      <c r="I563" s="29" t="str">
        <f>IF(AND(A563&lt;&gt;"",SUMIF(NESTING!I:I,A563,NESTING!J:J)=G563),"OK","")</f>
        <v/>
      </c>
    </row>
    <row r="564" spans="1:9">
      <c r="A564" s="29"/>
      <c r="B564" s="29"/>
      <c r="C564" s="28"/>
      <c r="D564" s="28"/>
      <c r="E564" s="29"/>
      <c r="F564" s="29"/>
      <c r="G564" s="29"/>
      <c r="H564" s="28"/>
      <c r="I564" s="29" t="str">
        <f>IF(AND(A564&lt;&gt;"",SUMIF(NESTING!I:I,A564,NESTING!J:J)=G564),"OK","")</f>
        <v/>
      </c>
    </row>
    <row r="565" spans="1:9">
      <c r="A565" s="29"/>
      <c r="B565" s="29"/>
      <c r="C565" s="28"/>
      <c r="D565" s="28"/>
      <c r="E565" s="29"/>
      <c r="F565" s="29"/>
      <c r="G565" s="29"/>
      <c r="H565" s="28"/>
      <c r="I565" s="29" t="str">
        <f>IF(AND(A565&lt;&gt;"",SUMIF(NESTING!I:I,A565,NESTING!J:J)=G565),"OK","")</f>
        <v/>
      </c>
    </row>
    <row r="566" spans="1:9">
      <c r="A566" s="29"/>
      <c r="B566" s="29"/>
      <c r="C566" s="28"/>
      <c r="D566" s="28"/>
      <c r="E566" s="29"/>
      <c r="F566" s="29"/>
      <c r="G566" s="29"/>
      <c r="H566" s="28"/>
      <c r="I566" s="29" t="str">
        <f>IF(AND(A566&lt;&gt;"",SUMIF(NESTING!I:I,A566,NESTING!J:J)=G566),"OK","")</f>
        <v/>
      </c>
    </row>
    <row r="567" spans="1:9">
      <c r="A567" s="29"/>
      <c r="B567" s="29"/>
      <c r="C567" s="28"/>
      <c r="D567" s="28"/>
      <c r="E567" s="29"/>
      <c r="F567" s="29"/>
      <c r="G567" s="29"/>
      <c r="H567" s="28"/>
      <c r="I567" s="29" t="str">
        <f>IF(AND(A567&lt;&gt;"",SUMIF(NESTING!I:I,A567,NESTING!J:J)=G567),"OK","")</f>
        <v/>
      </c>
    </row>
    <row r="568" spans="1:9">
      <c r="A568" s="29"/>
      <c r="B568" s="29"/>
      <c r="C568" s="28"/>
      <c r="D568" s="28"/>
      <c r="E568" s="29"/>
      <c r="F568" s="29"/>
      <c r="G568" s="29"/>
      <c r="H568" s="28"/>
      <c r="I568" s="29" t="str">
        <f>IF(AND(A568&lt;&gt;"",SUMIF(NESTING!I:I,A568,NESTING!J:J)=G568),"OK","")</f>
        <v/>
      </c>
    </row>
    <row r="569" spans="1:9">
      <c r="A569" s="29"/>
      <c r="B569" s="29"/>
      <c r="C569" s="28"/>
      <c r="D569" s="28"/>
      <c r="E569" s="29"/>
      <c r="F569" s="29"/>
      <c r="G569" s="29"/>
      <c r="H569" s="28"/>
      <c r="I569" s="29" t="str">
        <f>IF(AND(A569&lt;&gt;"",SUMIF(NESTING!I:I,A569,NESTING!J:J)=G569),"OK","")</f>
        <v/>
      </c>
    </row>
    <row r="570" spans="1:9">
      <c r="A570" s="29"/>
      <c r="B570" s="29"/>
      <c r="C570" s="28"/>
      <c r="D570" s="28"/>
      <c r="E570" s="29"/>
      <c r="F570" s="29"/>
      <c r="G570" s="29"/>
      <c r="H570" s="28"/>
      <c r="I570" s="29" t="str">
        <f>IF(AND(A570&lt;&gt;"",SUMIF(NESTING!I:I,A570,NESTING!J:J)=G570),"OK","")</f>
        <v/>
      </c>
    </row>
    <row r="571" spans="1:9">
      <c r="A571" s="29"/>
      <c r="B571" s="29"/>
      <c r="C571" s="28"/>
      <c r="D571" s="28"/>
      <c r="E571" s="29"/>
      <c r="F571" s="29"/>
      <c r="G571" s="29"/>
      <c r="H571" s="28"/>
      <c r="I571" s="29" t="str">
        <f>IF(AND(A571&lt;&gt;"",SUMIF(NESTING!I:I,A571,NESTING!J:J)=G571),"OK","")</f>
        <v/>
      </c>
    </row>
    <row r="572" spans="1:9">
      <c r="A572" s="29"/>
      <c r="B572" s="29"/>
      <c r="C572" s="28"/>
      <c r="D572" s="28"/>
      <c r="E572" s="29"/>
      <c r="F572" s="29"/>
      <c r="G572" s="29"/>
      <c r="H572" s="28"/>
      <c r="I572" s="29" t="str">
        <f>IF(AND(A572&lt;&gt;"",SUMIF(NESTING!I:I,A572,NESTING!J:J)=G572),"OK","")</f>
        <v/>
      </c>
    </row>
    <row r="573" spans="1:9">
      <c r="A573" s="29"/>
      <c r="B573" s="29"/>
      <c r="C573" s="28"/>
      <c r="D573" s="28"/>
      <c r="E573" s="29"/>
      <c r="F573" s="29"/>
      <c r="G573" s="29"/>
      <c r="H573" s="28"/>
      <c r="I573" s="29" t="str">
        <f>IF(AND(A573&lt;&gt;"",SUMIF(NESTING!I:I,A573,NESTING!J:J)=G573),"OK","")</f>
        <v/>
      </c>
    </row>
    <row r="574" spans="1:9">
      <c r="A574" s="29"/>
      <c r="B574" s="29"/>
      <c r="C574" s="28"/>
      <c r="D574" s="28"/>
      <c r="E574" s="29"/>
      <c r="F574" s="29"/>
      <c r="G574" s="29"/>
      <c r="H574" s="28"/>
      <c r="I574" s="29" t="str">
        <f>IF(AND(A574&lt;&gt;"",SUMIF(NESTING!I:I,A574,NESTING!J:J)=G574),"OK","")</f>
        <v/>
      </c>
    </row>
    <row r="575" spans="1:9">
      <c r="A575" s="29"/>
      <c r="B575" s="29"/>
      <c r="C575" s="28"/>
      <c r="D575" s="28"/>
      <c r="E575" s="29"/>
      <c r="F575" s="29"/>
      <c r="G575" s="29"/>
      <c r="H575" s="28"/>
      <c r="I575" s="29" t="str">
        <f>IF(AND(A575&lt;&gt;"",SUMIF(NESTING!I:I,A575,NESTING!J:J)=G575),"OK","")</f>
        <v/>
      </c>
    </row>
    <row r="576" spans="1:9">
      <c r="A576" s="29"/>
      <c r="B576" s="29"/>
      <c r="C576" s="28"/>
      <c r="D576" s="28"/>
      <c r="E576" s="29"/>
      <c r="F576" s="29"/>
      <c r="G576" s="29"/>
      <c r="H576" s="28"/>
      <c r="I576" s="29" t="str">
        <f>IF(AND(A576&lt;&gt;"",SUMIF(NESTING!I:I,A576,NESTING!J:J)=G576),"OK","")</f>
        <v/>
      </c>
    </row>
    <row r="577" spans="1:9">
      <c r="A577" s="29"/>
      <c r="B577" s="29"/>
      <c r="C577" s="28"/>
      <c r="D577" s="28"/>
      <c r="E577" s="29"/>
      <c r="F577" s="29"/>
      <c r="G577" s="29"/>
      <c r="H577" s="28"/>
      <c r="I577" s="29" t="str">
        <f>IF(AND(A577&lt;&gt;"",SUMIF(NESTING!I:I,A577,NESTING!J:J)=G577),"OK","")</f>
        <v/>
      </c>
    </row>
    <row r="578" spans="1:9">
      <c r="A578" s="29"/>
      <c r="B578" s="29"/>
      <c r="C578" s="28"/>
      <c r="D578" s="28"/>
      <c r="E578" s="29"/>
      <c r="F578" s="29"/>
      <c r="G578" s="29"/>
      <c r="H578" s="28"/>
      <c r="I578" s="29" t="str">
        <f>IF(AND(A578&lt;&gt;"",SUMIF(NESTING!I:I,A578,NESTING!J:J)=G578),"OK","")</f>
        <v/>
      </c>
    </row>
    <row r="579" spans="1:9">
      <c r="A579" s="29"/>
      <c r="B579" s="29"/>
      <c r="C579" s="28"/>
      <c r="D579" s="28"/>
      <c r="E579" s="29"/>
      <c r="F579" s="29"/>
      <c r="G579" s="29"/>
      <c r="H579" s="28"/>
      <c r="I579" s="29" t="str">
        <f>IF(AND(A579&lt;&gt;"",SUMIF(NESTING!I:I,A579,NESTING!J:J)=G579),"OK","")</f>
        <v/>
      </c>
    </row>
    <row r="580" spans="1:9">
      <c r="A580" s="29"/>
      <c r="B580" s="29"/>
      <c r="C580" s="28"/>
      <c r="D580" s="28"/>
      <c r="E580" s="29"/>
      <c r="F580" s="29"/>
      <c r="G580" s="29"/>
      <c r="H580" s="28"/>
      <c r="I580" s="29" t="str">
        <f>IF(AND(A580&lt;&gt;"",SUMIF(NESTING!I:I,A580,NESTING!J:J)=G580),"OK","")</f>
        <v/>
      </c>
    </row>
    <row r="581" spans="1:9">
      <c r="A581" s="29"/>
      <c r="B581" s="29"/>
      <c r="C581" s="28"/>
      <c r="D581" s="28"/>
      <c r="E581" s="29"/>
      <c r="F581" s="29"/>
      <c r="G581" s="29"/>
      <c r="H581" s="28"/>
      <c r="I581" s="29" t="str">
        <f>IF(AND(A581&lt;&gt;"",SUMIF(NESTING!I:I,A581,NESTING!J:J)=G581),"OK","")</f>
        <v/>
      </c>
    </row>
    <row r="582" spans="1:9">
      <c r="A582" s="29"/>
      <c r="B582" s="29"/>
      <c r="C582" s="28"/>
      <c r="D582" s="28"/>
      <c r="E582" s="29"/>
      <c r="F582" s="29"/>
      <c r="G582" s="29"/>
      <c r="H582" s="28"/>
      <c r="I582" s="29" t="str">
        <f>IF(AND(A582&lt;&gt;"",SUMIF(NESTING!I:I,A582,NESTING!J:J)=G582),"OK","")</f>
        <v/>
      </c>
    </row>
    <row r="583" spans="1:9">
      <c r="A583" s="29"/>
      <c r="B583" s="29"/>
      <c r="C583" s="28"/>
      <c r="D583" s="28"/>
      <c r="E583" s="29"/>
      <c r="F583" s="29"/>
      <c r="G583" s="29"/>
      <c r="H583" s="28"/>
      <c r="I583" s="29" t="str">
        <f>IF(AND(A583&lt;&gt;"",SUMIF(NESTING!I:I,A583,NESTING!J:J)=G583),"OK","")</f>
        <v/>
      </c>
    </row>
    <row r="584" spans="1:9">
      <c r="A584" s="29"/>
      <c r="B584" s="29"/>
      <c r="C584" s="28"/>
      <c r="D584" s="28"/>
      <c r="E584" s="29"/>
      <c r="F584" s="29"/>
      <c r="G584" s="29"/>
      <c r="H584" s="28"/>
      <c r="I584" s="29" t="str">
        <f>IF(AND(A584&lt;&gt;"",SUMIF(NESTING!I:I,A584,NESTING!J:J)=G584),"OK","")</f>
        <v/>
      </c>
    </row>
    <row r="585" spans="1:9">
      <c r="A585" s="29"/>
      <c r="B585" s="29"/>
      <c r="C585" s="28"/>
      <c r="D585" s="28"/>
      <c r="E585" s="29"/>
      <c r="F585" s="29"/>
      <c r="G585" s="29"/>
      <c r="H585" s="28"/>
      <c r="I585" s="29" t="str">
        <f>IF(AND(A585&lt;&gt;"",SUMIF(NESTING!I:I,A585,NESTING!J:J)=G585),"OK","")</f>
        <v/>
      </c>
    </row>
    <row r="586" spans="1:9">
      <c r="A586" s="29"/>
      <c r="B586" s="29"/>
      <c r="C586" s="28"/>
      <c r="D586" s="28"/>
      <c r="E586" s="29"/>
      <c r="F586" s="29"/>
      <c r="G586" s="29"/>
      <c r="H586" s="28"/>
      <c r="I586" s="29" t="str">
        <f>IF(AND(A586&lt;&gt;"",SUMIF(NESTING!I:I,A586,NESTING!J:J)=G586),"OK","")</f>
        <v/>
      </c>
    </row>
    <row r="587" spans="1:9">
      <c r="A587" s="29"/>
      <c r="B587" s="29"/>
      <c r="C587" s="28"/>
      <c r="D587" s="28"/>
      <c r="E587" s="29"/>
      <c r="F587" s="29"/>
      <c r="G587" s="29"/>
      <c r="H587" s="28"/>
      <c r="I587" s="29" t="str">
        <f>IF(AND(A587&lt;&gt;"",SUMIF(NESTING!I:I,A587,NESTING!J:J)=G587),"OK","")</f>
        <v/>
      </c>
    </row>
    <row r="588" spans="1:9">
      <c r="A588" s="29"/>
      <c r="B588" s="29"/>
      <c r="C588" s="28"/>
      <c r="D588" s="28"/>
      <c r="E588" s="29"/>
      <c r="F588" s="29"/>
      <c r="G588" s="29"/>
      <c r="H588" s="28"/>
      <c r="I588" s="29" t="str">
        <f>IF(AND(A588&lt;&gt;"",SUMIF(NESTING!I:I,A588,NESTING!J:J)=G588),"OK","")</f>
        <v/>
      </c>
    </row>
    <row r="589" spans="1:9">
      <c r="A589" s="29"/>
      <c r="B589" s="29"/>
      <c r="C589" s="28"/>
      <c r="D589" s="28"/>
      <c r="E589" s="29"/>
      <c r="F589" s="29"/>
      <c r="G589" s="29"/>
      <c r="H589" s="28"/>
      <c r="I589" s="29" t="str">
        <f>IF(AND(A589&lt;&gt;"",SUMIF(NESTING!I:I,A589,NESTING!J:J)=G589),"OK","")</f>
        <v/>
      </c>
    </row>
    <row r="590" spans="1:9">
      <c r="A590" s="29"/>
      <c r="B590" s="29"/>
      <c r="C590" s="28"/>
      <c r="D590" s="28"/>
      <c r="E590" s="29"/>
      <c r="F590" s="29"/>
      <c r="G590" s="29"/>
      <c r="H590" s="28"/>
      <c r="I590" s="29" t="str">
        <f>IF(AND(A590&lt;&gt;"",SUMIF(NESTING!I:I,A590,NESTING!J:J)=G590),"OK","")</f>
        <v/>
      </c>
    </row>
    <row r="591" spans="1:9">
      <c r="A591" s="29"/>
      <c r="B591" s="29"/>
      <c r="C591" s="28"/>
      <c r="D591" s="28"/>
      <c r="E591" s="29"/>
      <c r="F591" s="29"/>
      <c r="G591" s="29"/>
      <c r="H591" s="28"/>
      <c r="I591" s="29" t="str">
        <f>IF(AND(A591&lt;&gt;"",SUMIF(NESTING!I:I,A591,NESTING!J:J)=G591),"OK","")</f>
        <v/>
      </c>
    </row>
    <row r="592" spans="1:9">
      <c r="A592" s="29"/>
      <c r="B592" s="29"/>
      <c r="C592" s="28"/>
      <c r="D592" s="28"/>
      <c r="E592" s="29"/>
      <c r="F592" s="29"/>
      <c r="G592" s="29"/>
      <c r="H592" s="28"/>
      <c r="I592" s="29" t="str">
        <f>IF(AND(A592&lt;&gt;"",SUMIF(NESTING!I:I,A592,NESTING!J:J)=G592),"OK","")</f>
        <v/>
      </c>
    </row>
    <row r="593" spans="1:9">
      <c r="A593" s="29"/>
      <c r="B593" s="29"/>
      <c r="C593" s="28"/>
      <c r="D593" s="28"/>
      <c r="E593" s="29"/>
      <c r="F593" s="29"/>
      <c r="G593" s="29"/>
      <c r="H593" s="28"/>
      <c r="I593" s="29" t="str">
        <f>IF(AND(A593&lt;&gt;"",SUMIF(NESTING!I:I,A593,NESTING!J:J)=G593),"OK","")</f>
        <v/>
      </c>
    </row>
    <row r="594" spans="1:9">
      <c r="A594" s="29"/>
      <c r="B594" s="29"/>
      <c r="C594" s="28"/>
      <c r="D594" s="28"/>
      <c r="E594" s="29"/>
      <c r="F594" s="29"/>
      <c r="G594" s="29"/>
      <c r="H594" s="28"/>
      <c r="I594" s="29" t="str">
        <f>IF(AND(A594&lt;&gt;"",SUMIF(NESTING!I:I,A594,NESTING!J:J)=G594),"OK","")</f>
        <v/>
      </c>
    </row>
    <row r="595" spans="1:9">
      <c r="A595" s="29"/>
      <c r="B595" s="29"/>
      <c r="C595" s="28"/>
      <c r="D595" s="28"/>
      <c r="E595" s="29"/>
      <c r="F595" s="29"/>
      <c r="G595" s="29"/>
      <c r="H595" s="28"/>
      <c r="I595" s="29" t="str">
        <f>IF(AND(A595&lt;&gt;"",SUMIF(NESTING!I:I,A595,NESTING!J:J)=G595),"OK","")</f>
        <v/>
      </c>
    </row>
    <row r="596" spans="1:9">
      <c r="A596" s="29"/>
      <c r="B596" s="29"/>
      <c r="C596" s="28"/>
      <c r="D596" s="28"/>
      <c r="E596" s="29"/>
      <c r="F596" s="29"/>
      <c r="G596" s="29"/>
      <c r="H596" s="28"/>
      <c r="I596" s="29" t="str">
        <f>IF(AND(A596&lt;&gt;"",SUMIF(NESTING!I:I,A596,NESTING!J:J)=G596),"OK","")</f>
        <v/>
      </c>
    </row>
    <row r="597" spans="1:9">
      <c r="A597" s="29"/>
      <c r="B597" s="29"/>
      <c r="C597" s="28"/>
      <c r="D597" s="28"/>
      <c r="E597" s="29"/>
      <c r="F597" s="29"/>
      <c r="G597" s="29"/>
      <c r="H597" s="28"/>
      <c r="I597" s="29" t="str">
        <f>IF(AND(A597&lt;&gt;"",SUMIF(NESTING!I:I,A597,NESTING!J:J)=G597),"OK","")</f>
        <v/>
      </c>
    </row>
    <row r="598" spans="1:9">
      <c r="A598" s="29"/>
      <c r="B598" s="29"/>
      <c r="C598" s="28"/>
      <c r="D598" s="28"/>
      <c r="E598" s="29"/>
      <c r="F598" s="29"/>
      <c r="G598" s="29"/>
      <c r="H598" s="28"/>
      <c r="I598" s="29" t="str">
        <f>IF(AND(A598&lt;&gt;"",SUMIF(NESTING!I:I,A598,NESTING!J:J)=G598),"OK","")</f>
        <v/>
      </c>
    </row>
    <row r="599" spans="1:9">
      <c r="A599" s="29"/>
      <c r="B599" s="29"/>
      <c r="C599" s="28"/>
      <c r="D599" s="28"/>
      <c r="E599" s="29"/>
      <c r="F599" s="29"/>
      <c r="G599" s="29"/>
      <c r="H599" s="28"/>
      <c r="I599" s="29" t="str">
        <f>IF(AND(A599&lt;&gt;"",SUMIF(NESTING!I:I,A599,NESTING!J:J)=G599),"OK","")</f>
        <v/>
      </c>
    </row>
    <row r="600" spans="1:9">
      <c r="A600" s="29"/>
      <c r="B600" s="29"/>
      <c r="C600" s="28"/>
      <c r="D600" s="28"/>
      <c r="E600" s="29"/>
      <c r="F600" s="29"/>
      <c r="G600" s="29"/>
      <c r="H600" s="28"/>
      <c r="I600" s="29" t="str">
        <f>IF(AND(A600&lt;&gt;"",SUMIF(NESTING!I:I,A600,NESTING!J:J)=G600),"OK","")</f>
        <v/>
      </c>
    </row>
    <row r="601" spans="1:9">
      <c r="A601" s="29"/>
      <c r="B601" s="29"/>
      <c r="C601" s="28"/>
      <c r="D601" s="28"/>
      <c r="E601" s="29"/>
      <c r="F601" s="29"/>
      <c r="G601" s="29"/>
      <c r="H601" s="28"/>
      <c r="I601" s="29" t="str">
        <f>IF(AND(A601&lt;&gt;"",SUMIF(NESTING!I:I,A601,NESTING!J:J)=G601),"OK","")</f>
        <v/>
      </c>
    </row>
    <row r="602" spans="1:9">
      <c r="A602" s="29"/>
      <c r="B602" s="29"/>
      <c r="C602" s="28"/>
      <c r="D602" s="28"/>
      <c r="E602" s="29"/>
      <c r="F602" s="29"/>
      <c r="G602" s="29"/>
      <c r="H602" s="28"/>
      <c r="I602" s="29" t="str">
        <f>IF(AND(A602&lt;&gt;"",SUMIF(NESTING!I:I,A602,NESTING!J:J)=G602),"OK","")</f>
        <v/>
      </c>
    </row>
    <row r="603" spans="1:9">
      <c r="A603" s="29"/>
      <c r="B603" s="29"/>
      <c r="C603" s="28"/>
      <c r="D603" s="28"/>
      <c r="E603" s="29"/>
      <c r="F603" s="29"/>
      <c r="G603" s="29"/>
      <c r="H603" s="28"/>
      <c r="I603" s="29" t="str">
        <f>IF(AND(A603&lt;&gt;"",SUMIF(NESTING!I:I,A603,NESTING!J:J)=G603),"OK","")</f>
        <v/>
      </c>
    </row>
    <row r="604" spans="1:9">
      <c r="A604" s="29"/>
      <c r="B604" s="29"/>
      <c r="C604" s="28"/>
      <c r="D604" s="28"/>
      <c r="E604" s="29"/>
      <c r="F604" s="29"/>
      <c r="G604" s="29"/>
      <c r="H604" s="28"/>
      <c r="I604" s="29" t="str">
        <f>IF(AND(A604&lt;&gt;"",SUMIF(NESTING!I:I,A604,NESTING!J:J)=G604),"OK","")</f>
        <v/>
      </c>
    </row>
    <row r="605" spans="1:9">
      <c r="A605" s="29"/>
      <c r="B605" s="29"/>
      <c r="C605" s="28"/>
      <c r="D605" s="28"/>
      <c r="E605" s="29"/>
      <c r="F605" s="29"/>
      <c r="G605" s="29"/>
      <c r="H605" s="28"/>
      <c r="I605" s="29" t="str">
        <f>IF(AND(A605&lt;&gt;"",SUMIF(NESTING!I:I,A605,NESTING!J:J)=G605),"OK","")</f>
        <v/>
      </c>
    </row>
    <row r="606" spans="1:9">
      <c r="A606" s="29"/>
      <c r="B606" s="29"/>
      <c r="C606" s="28"/>
      <c r="D606" s="28"/>
      <c r="E606" s="29"/>
      <c r="F606" s="29"/>
      <c r="G606" s="29"/>
      <c r="H606" s="28"/>
      <c r="I606" s="29" t="str">
        <f>IF(AND(A606&lt;&gt;"",SUMIF(NESTING!I:I,A606,NESTING!J:J)=G606),"OK","")</f>
        <v/>
      </c>
    </row>
    <row r="607" spans="1:9">
      <c r="A607" s="29"/>
      <c r="B607" s="29"/>
      <c r="C607" s="28"/>
      <c r="D607" s="28"/>
      <c r="E607" s="29"/>
      <c r="F607" s="29"/>
      <c r="G607" s="29"/>
      <c r="H607" s="28"/>
      <c r="I607" s="29" t="str">
        <f>IF(AND(A607&lt;&gt;"",SUMIF(NESTING!I:I,A607,NESTING!J:J)=G607),"OK","")</f>
        <v/>
      </c>
    </row>
    <row r="608" spans="1:9">
      <c r="A608" s="29"/>
      <c r="B608" s="29"/>
      <c r="C608" s="28"/>
      <c r="D608" s="28"/>
      <c r="E608" s="29"/>
      <c r="F608" s="29"/>
      <c r="G608" s="29"/>
      <c r="H608" s="28"/>
      <c r="I608" s="29" t="str">
        <f>IF(AND(A608&lt;&gt;"",SUMIF(NESTING!I:I,A608,NESTING!J:J)=G608),"OK","")</f>
        <v/>
      </c>
    </row>
    <row r="609" spans="1:9">
      <c r="A609" s="29"/>
      <c r="B609" s="29"/>
      <c r="C609" s="28"/>
      <c r="D609" s="28"/>
      <c r="E609" s="29"/>
      <c r="F609" s="29"/>
      <c r="G609" s="29"/>
      <c r="H609" s="28"/>
      <c r="I609" s="29" t="str">
        <f>IF(AND(A609&lt;&gt;"",SUMIF(NESTING!I:I,A609,NESTING!J:J)=G609),"OK","")</f>
        <v/>
      </c>
    </row>
    <row r="610" spans="1:9">
      <c r="A610" s="29"/>
      <c r="B610" s="29"/>
      <c r="C610" s="28"/>
      <c r="D610" s="28"/>
      <c r="E610" s="29"/>
      <c r="F610" s="29"/>
      <c r="G610" s="29"/>
      <c r="H610" s="28"/>
      <c r="I610" s="29" t="str">
        <f>IF(AND(A610&lt;&gt;"",SUMIF(NESTING!I:I,A610,NESTING!J:J)=G610),"OK","")</f>
        <v/>
      </c>
    </row>
    <row r="611" spans="1:9">
      <c r="A611" s="29"/>
      <c r="B611" s="29"/>
      <c r="C611" s="28"/>
      <c r="D611" s="28"/>
      <c r="E611" s="29"/>
      <c r="F611" s="29"/>
      <c r="G611" s="29"/>
      <c r="H611" s="28"/>
      <c r="I611" s="29" t="str">
        <f>IF(AND(A611&lt;&gt;"",SUMIF(NESTING!I:I,A611,NESTING!J:J)=G611),"OK","")</f>
        <v/>
      </c>
    </row>
    <row r="612" spans="1:9">
      <c r="A612" s="29"/>
      <c r="B612" s="29"/>
      <c r="C612" s="28"/>
      <c r="D612" s="28"/>
      <c r="E612" s="29"/>
      <c r="F612" s="29"/>
      <c r="G612" s="29"/>
      <c r="H612" s="28"/>
      <c r="I612" s="29" t="str">
        <f>IF(AND(A612&lt;&gt;"",SUMIF(NESTING!I:I,A612,NESTING!J:J)=G612),"OK","")</f>
        <v/>
      </c>
    </row>
    <row r="613" spans="1:9">
      <c r="A613" s="29"/>
      <c r="B613" s="29"/>
      <c r="C613" s="28"/>
      <c r="D613" s="28"/>
      <c r="E613" s="29"/>
      <c r="F613" s="29"/>
      <c r="G613" s="29"/>
      <c r="H613" s="28"/>
      <c r="I613" s="29" t="str">
        <f>IF(AND(A613&lt;&gt;"",SUMIF(NESTING!I:I,A613,NESTING!J:J)=G613),"OK","")</f>
        <v/>
      </c>
    </row>
    <row r="614" spans="1:9">
      <c r="A614" s="29"/>
      <c r="B614" s="29"/>
      <c r="C614" s="28"/>
      <c r="D614" s="28"/>
      <c r="E614" s="29"/>
      <c r="F614" s="29"/>
      <c r="G614" s="29"/>
      <c r="H614" s="28"/>
      <c r="I614" s="29" t="str">
        <f>IF(AND(A614&lt;&gt;"",SUMIF(NESTING!I:I,A614,NESTING!J:J)=G614),"OK","")</f>
        <v/>
      </c>
    </row>
    <row r="615" spans="1:9">
      <c r="A615" s="29"/>
      <c r="B615" s="29"/>
      <c r="C615" s="28"/>
      <c r="D615" s="28"/>
      <c r="E615" s="29"/>
      <c r="F615" s="29"/>
      <c r="G615" s="29"/>
      <c r="H615" s="28"/>
      <c r="I615" s="29" t="str">
        <f>IF(AND(A615&lt;&gt;"",SUMIF(NESTING!I:I,A615,NESTING!J:J)=G615),"OK","")</f>
        <v/>
      </c>
    </row>
    <row r="616" spans="1:9">
      <c r="A616" s="29"/>
      <c r="B616" s="29"/>
      <c r="C616" s="28"/>
      <c r="D616" s="28"/>
      <c r="E616" s="29"/>
      <c r="F616" s="29"/>
      <c r="G616" s="29"/>
      <c r="H616" s="28"/>
      <c r="I616" s="29" t="str">
        <f>IF(AND(A616&lt;&gt;"",SUMIF(NESTING!I:I,A616,NESTING!J:J)=G616),"OK","")</f>
        <v/>
      </c>
    </row>
    <row r="617" spans="1:9">
      <c r="A617" s="29"/>
      <c r="B617" s="29"/>
      <c r="C617" s="28"/>
      <c r="D617" s="28"/>
      <c r="E617" s="29"/>
      <c r="F617" s="29"/>
      <c r="G617" s="29"/>
      <c r="H617" s="28"/>
      <c r="I617" s="29" t="str">
        <f>IF(AND(A617&lt;&gt;"",SUMIF(NESTING!I:I,A617,NESTING!J:J)=G617),"OK","")</f>
        <v/>
      </c>
    </row>
    <row r="618" spans="1:9">
      <c r="A618" s="29"/>
      <c r="B618" s="29"/>
      <c r="C618" s="28"/>
      <c r="D618" s="28"/>
      <c r="E618" s="29"/>
      <c r="F618" s="29"/>
      <c r="G618" s="29"/>
      <c r="H618" s="28"/>
      <c r="I618" s="29" t="str">
        <f>IF(AND(A618&lt;&gt;"",SUMIF(NESTING!I:I,A618,NESTING!J:J)=G618),"OK","")</f>
        <v/>
      </c>
    </row>
    <row r="619" spans="1:9">
      <c r="A619" s="29"/>
      <c r="B619" s="29"/>
      <c r="C619" s="28"/>
      <c r="D619" s="28"/>
      <c r="E619" s="29"/>
      <c r="F619" s="29"/>
      <c r="G619" s="29"/>
      <c r="H619" s="28"/>
      <c r="I619" s="29" t="str">
        <f>IF(AND(A619&lt;&gt;"",SUMIF(NESTING!I:I,A619,NESTING!J:J)=G619),"OK","")</f>
        <v/>
      </c>
    </row>
    <row r="620" spans="1:9">
      <c r="A620" s="29"/>
      <c r="B620" s="29"/>
      <c r="C620" s="28"/>
      <c r="D620" s="28"/>
      <c r="E620" s="29"/>
      <c r="F620" s="29"/>
      <c r="G620" s="29"/>
      <c r="H620" s="28"/>
      <c r="I620" s="29" t="str">
        <f>IF(AND(A620&lt;&gt;"",SUMIF(NESTING!I:I,A620,NESTING!J:J)=G620),"OK","")</f>
        <v/>
      </c>
    </row>
    <row r="621" spans="1:9">
      <c r="A621" s="29"/>
      <c r="B621" s="29"/>
      <c r="C621" s="28"/>
      <c r="D621" s="28"/>
      <c r="E621" s="29"/>
      <c r="F621" s="29"/>
      <c r="G621" s="29"/>
      <c r="H621" s="28"/>
      <c r="I621" s="29" t="str">
        <f>IF(AND(A621&lt;&gt;"",SUMIF(NESTING!I:I,A621,NESTING!J:J)=G621),"OK","")</f>
        <v/>
      </c>
    </row>
    <row r="622" spans="1:9">
      <c r="A622" s="29"/>
      <c r="B622" s="29"/>
      <c r="C622" s="28"/>
      <c r="D622" s="28"/>
      <c r="E622" s="29"/>
      <c r="F622" s="29"/>
      <c r="G622" s="29"/>
      <c r="H622" s="28"/>
      <c r="I622" s="29" t="str">
        <f>IF(AND(A622&lt;&gt;"",SUMIF(NESTING!I:I,A622,NESTING!J:J)=G622),"OK","")</f>
        <v/>
      </c>
    </row>
    <row r="623" spans="1:9">
      <c r="A623" s="29"/>
      <c r="B623" s="29"/>
      <c r="C623" s="28"/>
      <c r="D623" s="28"/>
      <c r="E623" s="29"/>
      <c r="F623" s="29"/>
      <c r="G623" s="29"/>
      <c r="H623" s="28"/>
      <c r="I623" s="29" t="str">
        <f>IF(AND(A623&lt;&gt;"",SUMIF(NESTING!I:I,A623,NESTING!J:J)=G623),"OK","")</f>
        <v/>
      </c>
    </row>
    <row r="624" spans="1:9">
      <c r="A624" s="29"/>
      <c r="B624" s="29"/>
      <c r="C624" s="28"/>
      <c r="D624" s="28"/>
      <c r="E624" s="29"/>
      <c r="F624" s="29"/>
      <c r="G624" s="29"/>
      <c r="H624" s="28"/>
      <c r="I624" s="29" t="str">
        <f>IF(AND(A624&lt;&gt;"",SUMIF(NESTING!I:I,A624,NESTING!J:J)=G624),"OK","")</f>
        <v/>
      </c>
    </row>
    <row r="625" spans="1:9">
      <c r="A625" s="29"/>
      <c r="B625" s="29"/>
      <c r="C625" s="28"/>
      <c r="D625" s="28"/>
      <c r="E625" s="29"/>
      <c r="F625" s="29"/>
      <c r="G625" s="29"/>
      <c r="H625" s="28"/>
      <c r="I625" s="29" t="str">
        <f>IF(AND(A625&lt;&gt;"",SUMIF(NESTING!I:I,A625,NESTING!J:J)=G625),"OK","")</f>
        <v/>
      </c>
    </row>
    <row r="626" spans="1:9">
      <c r="A626" s="29"/>
      <c r="B626" s="29"/>
      <c r="C626" s="28"/>
      <c r="D626" s="28"/>
      <c r="E626" s="29"/>
      <c r="F626" s="29"/>
      <c r="G626" s="29"/>
      <c r="H626" s="28"/>
      <c r="I626" s="29" t="str">
        <f>IF(AND(A626&lt;&gt;"",SUMIF(NESTING!I:I,A626,NESTING!J:J)=G626),"OK","")</f>
        <v/>
      </c>
    </row>
    <row r="627" spans="1:9">
      <c r="A627" s="29"/>
      <c r="B627" s="29"/>
      <c r="C627" s="28"/>
      <c r="D627" s="28"/>
      <c r="E627" s="29"/>
      <c r="F627" s="29"/>
      <c r="G627" s="29"/>
      <c r="H627" s="28"/>
      <c r="I627" s="29" t="str">
        <f>IF(AND(A627&lt;&gt;"",SUMIF(NESTING!I:I,A627,NESTING!J:J)=G627),"OK","")</f>
        <v/>
      </c>
    </row>
    <row r="628" spans="1:9">
      <c r="A628" s="29"/>
      <c r="B628" s="29"/>
      <c r="C628" s="28"/>
      <c r="D628" s="28"/>
      <c r="E628" s="29"/>
      <c r="F628" s="29"/>
      <c r="G628" s="29"/>
      <c r="H628" s="28"/>
      <c r="I628" s="29" t="str">
        <f>IF(AND(A628&lt;&gt;"",SUMIF(NESTING!I:I,A628,NESTING!J:J)=G628),"OK","")</f>
        <v/>
      </c>
    </row>
    <row r="629" spans="1:9">
      <c r="A629" s="29"/>
      <c r="B629" s="29"/>
      <c r="C629" s="28"/>
      <c r="D629" s="28"/>
      <c r="E629" s="29"/>
      <c r="F629" s="29"/>
      <c r="G629" s="29"/>
      <c r="H629" s="28"/>
      <c r="I629" s="29" t="str">
        <f>IF(AND(A629&lt;&gt;"",SUMIF(NESTING!I:I,A629,NESTING!J:J)=G629),"OK","")</f>
        <v/>
      </c>
    </row>
    <row r="630" spans="1:9">
      <c r="A630" s="29"/>
      <c r="B630" s="29"/>
      <c r="C630" s="28"/>
      <c r="D630" s="28"/>
      <c r="E630" s="29"/>
      <c r="F630" s="29"/>
      <c r="G630" s="29"/>
      <c r="H630" s="28"/>
      <c r="I630" s="29" t="str">
        <f>IF(AND(A630&lt;&gt;"",SUMIF(NESTING!I:I,A630,NESTING!J:J)=G630),"OK","")</f>
        <v/>
      </c>
    </row>
    <row r="631" spans="1:9">
      <c r="A631" s="29"/>
      <c r="B631" s="29"/>
      <c r="C631" s="28"/>
      <c r="D631" s="28"/>
      <c r="E631" s="29"/>
      <c r="F631" s="29"/>
      <c r="G631" s="29"/>
      <c r="H631" s="28"/>
      <c r="I631" s="29" t="str">
        <f>IF(AND(A631&lt;&gt;"",SUMIF(NESTING!I:I,A631,NESTING!J:J)=G631),"OK","")</f>
        <v/>
      </c>
    </row>
    <row r="632" spans="1:9">
      <c r="A632" s="29"/>
      <c r="B632" s="29"/>
      <c r="C632" s="28"/>
      <c r="D632" s="28"/>
      <c r="E632" s="29"/>
      <c r="F632" s="29"/>
      <c r="G632" s="29"/>
      <c r="H632" s="28"/>
      <c r="I632" s="29" t="str">
        <f>IF(AND(A632&lt;&gt;"",SUMIF(NESTING!I:I,A632,NESTING!J:J)=G632),"OK","")</f>
        <v/>
      </c>
    </row>
    <row r="633" spans="1:9">
      <c r="A633" s="29"/>
      <c r="B633" s="29"/>
      <c r="C633" s="28"/>
      <c r="D633" s="28"/>
      <c r="E633" s="29"/>
      <c r="F633" s="29"/>
      <c r="G633" s="29"/>
      <c r="H633" s="28"/>
      <c r="I633" s="29" t="str">
        <f>IF(AND(A633&lt;&gt;"",SUMIF(NESTING!I:I,A633,NESTING!J:J)=G633),"OK","")</f>
        <v/>
      </c>
    </row>
    <row r="634" spans="1:9">
      <c r="A634" s="29"/>
      <c r="B634" s="29"/>
      <c r="C634" s="28"/>
      <c r="D634" s="28"/>
      <c r="E634" s="29"/>
      <c r="F634" s="29"/>
      <c r="G634" s="29"/>
      <c r="H634" s="28"/>
      <c r="I634" s="29" t="str">
        <f>IF(AND(A634&lt;&gt;"",SUMIF(NESTING!I:I,A634,NESTING!J:J)=G634),"OK","")</f>
        <v/>
      </c>
    </row>
    <row r="635" spans="1:9">
      <c r="A635" s="29"/>
      <c r="B635" s="29"/>
      <c r="C635" s="28"/>
      <c r="D635" s="28"/>
      <c r="E635" s="29"/>
      <c r="F635" s="29"/>
      <c r="G635" s="29"/>
      <c r="H635" s="28"/>
      <c r="I635" s="29" t="str">
        <f>IF(AND(A635&lt;&gt;"",SUMIF(NESTING!I:I,A635,NESTING!J:J)=G635),"OK","")</f>
        <v/>
      </c>
    </row>
    <row r="636" spans="1:9">
      <c r="A636" s="29"/>
      <c r="B636" s="29"/>
      <c r="C636" s="28"/>
      <c r="D636" s="28"/>
      <c r="E636" s="29"/>
      <c r="F636" s="29"/>
      <c r="G636" s="29"/>
      <c r="H636" s="28"/>
      <c r="I636" s="29" t="str">
        <f>IF(AND(A636&lt;&gt;"",SUMIF(NESTING!I:I,A636,NESTING!J:J)=G636),"OK","")</f>
        <v/>
      </c>
    </row>
    <row r="637" spans="1:9">
      <c r="A637" s="29"/>
      <c r="B637" s="29"/>
      <c r="C637" s="28"/>
      <c r="D637" s="28"/>
      <c r="E637" s="29"/>
      <c r="F637" s="29"/>
      <c r="G637" s="29"/>
      <c r="H637" s="28"/>
      <c r="I637" s="29" t="str">
        <f>IF(AND(A637&lt;&gt;"",SUMIF(NESTING!I:I,A637,NESTING!J:J)=G637),"OK","")</f>
        <v/>
      </c>
    </row>
    <row r="638" spans="1:9">
      <c r="A638" s="29"/>
      <c r="B638" s="29"/>
      <c r="C638" s="28"/>
      <c r="D638" s="28"/>
      <c r="E638" s="29"/>
      <c r="F638" s="29"/>
      <c r="G638" s="29"/>
      <c r="H638" s="28"/>
      <c r="I638" s="29" t="str">
        <f>IF(AND(A638&lt;&gt;"",SUMIF(NESTING!I:I,A638,NESTING!J:J)=G638),"OK","")</f>
        <v/>
      </c>
    </row>
    <row r="639" spans="1:9">
      <c r="A639" s="29"/>
      <c r="B639" s="29"/>
      <c r="C639" s="28"/>
      <c r="D639" s="28"/>
      <c r="E639" s="29"/>
      <c r="F639" s="29"/>
      <c r="G639" s="29"/>
      <c r="H639" s="28"/>
      <c r="I639" s="29" t="str">
        <f>IF(AND(A639&lt;&gt;"",SUMIF(NESTING!I:I,A639,NESTING!J:J)=G639),"OK","")</f>
        <v/>
      </c>
    </row>
    <row r="640" spans="1:9">
      <c r="A640" s="29"/>
      <c r="B640" s="29"/>
      <c r="C640" s="28"/>
      <c r="D640" s="28"/>
      <c r="E640" s="29"/>
      <c r="F640" s="29"/>
      <c r="G640" s="29"/>
      <c r="H640" s="28"/>
      <c r="I640" s="29" t="str">
        <f>IF(AND(A640&lt;&gt;"",SUMIF(NESTING!I:I,A640,NESTING!J:J)=G640),"OK","")</f>
        <v/>
      </c>
    </row>
    <row r="641" spans="1:9">
      <c r="A641" s="29"/>
      <c r="B641" s="29"/>
      <c r="C641" s="28"/>
      <c r="D641" s="28"/>
      <c r="E641" s="29"/>
      <c r="F641" s="29"/>
      <c r="G641" s="29"/>
      <c r="H641" s="28"/>
      <c r="I641" s="29" t="str">
        <f>IF(AND(A641&lt;&gt;"",SUMIF(NESTING!I:I,A641,NESTING!J:J)=G641),"OK","")</f>
        <v/>
      </c>
    </row>
    <row r="642" spans="1:9">
      <c r="A642" s="29"/>
      <c r="B642" s="29"/>
      <c r="C642" s="28"/>
      <c r="D642" s="28"/>
      <c r="E642" s="29"/>
      <c r="F642" s="29"/>
      <c r="G642" s="29"/>
      <c r="H642" s="28"/>
      <c r="I642" s="29" t="str">
        <f>IF(AND(A642&lt;&gt;"",SUMIF(NESTING!I:I,A642,NESTING!J:J)=G642),"OK","")</f>
        <v/>
      </c>
    </row>
    <row r="643" spans="1:9">
      <c r="A643" s="29"/>
      <c r="B643" s="29"/>
      <c r="C643" s="28"/>
      <c r="D643" s="28"/>
      <c r="E643" s="29"/>
      <c r="F643" s="29"/>
      <c r="G643" s="29"/>
      <c r="H643" s="28"/>
      <c r="I643" s="29" t="str">
        <f>IF(AND(A643&lt;&gt;"",SUMIF(NESTING!I:I,A643,NESTING!J:J)=G643),"OK","")</f>
        <v/>
      </c>
    </row>
    <row r="644" spans="1:9">
      <c r="A644" s="29"/>
      <c r="B644" s="29"/>
      <c r="C644" s="28"/>
      <c r="D644" s="28"/>
      <c r="E644" s="29"/>
      <c r="F644" s="29"/>
      <c r="G644" s="29"/>
      <c r="H644" s="28"/>
      <c r="I644" s="29" t="str">
        <f>IF(AND(A644&lt;&gt;"",SUMIF(NESTING!I:I,A644,NESTING!J:J)=G644),"OK","")</f>
        <v/>
      </c>
    </row>
    <row r="645" spans="1:9">
      <c r="A645" s="29"/>
      <c r="B645" s="29"/>
      <c r="C645" s="28"/>
      <c r="D645" s="28"/>
      <c r="E645" s="29"/>
      <c r="F645" s="29"/>
      <c r="G645" s="29"/>
      <c r="H645" s="28"/>
      <c r="I645" s="29" t="str">
        <f>IF(AND(A645&lt;&gt;"",SUMIF(NESTING!I:I,A645,NESTING!J:J)=G645),"OK","")</f>
        <v/>
      </c>
    </row>
    <row r="646" spans="1:9">
      <c r="A646" s="29"/>
      <c r="B646" s="29"/>
      <c r="C646" s="28"/>
      <c r="D646" s="28"/>
      <c r="E646" s="29"/>
      <c r="F646" s="29"/>
      <c r="G646" s="29"/>
      <c r="H646" s="28"/>
      <c r="I646" s="29" t="str">
        <f>IF(AND(A646&lt;&gt;"",SUMIF(NESTING!I:I,A646,NESTING!J:J)=G646),"OK","")</f>
        <v/>
      </c>
    </row>
    <row r="647" spans="1:9">
      <c r="A647" s="29"/>
      <c r="B647" s="29"/>
      <c r="C647" s="28"/>
      <c r="D647" s="28"/>
      <c r="E647" s="29"/>
      <c r="F647" s="29"/>
      <c r="G647" s="29"/>
      <c r="H647" s="28"/>
      <c r="I647" s="29" t="str">
        <f>IF(AND(A647&lt;&gt;"",SUMIF(NESTING!I:I,A647,NESTING!J:J)=G647),"OK","")</f>
        <v/>
      </c>
    </row>
    <row r="648" spans="1:9">
      <c r="A648" s="29"/>
      <c r="B648" s="29"/>
      <c r="C648" s="28"/>
      <c r="D648" s="28"/>
      <c r="E648" s="29"/>
      <c r="F648" s="29"/>
      <c r="G648" s="29"/>
      <c r="H648" s="28"/>
      <c r="I648" s="29" t="str">
        <f>IF(AND(A648&lt;&gt;"",SUMIF(NESTING!I:I,A648,NESTING!J:J)=G648),"OK","")</f>
        <v/>
      </c>
    </row>
    <row r="649" spans="1:9">
      <c r="A649" s="29"/>
      <c r="B649" s="29"/>
      <c r="C649" s="28"/>
      <c r="D649" s="28"/>
      <c r="E649" s="29"/>
      <c r="F649" s="29"/>
      <c r="G649" s="29"/>
      <c r="H649" s="28"/>
      <c r="I649" s="29" t="str">
        <f>IF(AND(A649&lt;&gt;"",SUMIF(NESTING!I:I,A649,NESTING!J:J)=G649),"OK","")</f>
        <v/>
      </c>
    </row>
    <row r="650" spans="1:9">
      <c r="A650" s="29"/>
      <c r="B650" s="29"/>
      <c r="C650" s="28"/>
      <c r="D650" s="28"/>
      <c r="E650" s="29"/>
      <c r="F650" s="29"/>
      <c r="G650" s="29"/>
      <c r="H650" s="28"/>
      <c r="I650" s="29" t="str">
        <f>IF(AND(A650&lt;&gt;"",SUMIF(NESTING!I:I,A650,NESTING!J:J)=G650),"OK","")</f>
        <v/>
      </c>
    </row>
    <row r="651" spans="1:9">
      <c r="A651" s="29"/>
      <c r="B651" s="29"/>
      <c r="C651" s="28"/>
      <c r="D651" s="28"/>
      <c r="E651" s="29"/>
      <c r="F651" s="29"/>
      <c r="G651" s="29"/>
      <c r="H651" s="28"/>
      <c r="I651" s="29" t="str">
        <f>IF(AND(A651&lt;&gt;"",SUMIF(NESTING!I:I,A651,NESTING!J:J)=G651),"OK","")</f>
        <v/>
      </c>
    </row>
    <row r="652" spans="1:9">
      <c r="A652" s="29"/>
      <c r="B652" s="29"/>
      <c r="C652" s="28"/>
      <c r="D652" s="28"/>
      <c r="E652" s="29"/>
      <c r="F652" s="29"/>
      <c r="G652" s="29"/>
      <c r="H652" s="28"/>
      <c r="I652" s="29" t="str">
        <f>IF(AND(A652&lt;&gt;"",SUMIF(NESTING!I:I,A652,NESTING!J:J)=G652),"OK","")</f>
        <v/>
      </c>
    </row>
    <row r="653" spans="1:9">
      <c r="A653" s="29"/>
      <c r="B653" s="29"/>
      <c r="C653" s="28"/>
      <c r="D653" s="28"/>
      <c r="E653" s="29"/>
      <c r="F653" s="29"/>
      <c r="G653" s="29"/>
      <c r="H653" s="28"/>
      <c r="I653" s="29" t="str">
        <f>IF(AND(A653&lt;&gt;"",SUMIF(NESTING!I:I,A653,NESTING!J:J)=G653),"OK","")</f>
        <v/>
      </c>
    </row>
    <row r="654" spans="1:9">
      <c r="A654" s="29"/>
      <c r="B654" s="29"/>
      <c r="C654" s="28"/>
      <c r="D654" s="28"/>
      <c r="E654" s="29"/>
      <c r="F654" s="29"/>
      <c r="G654" s="29"/>
      <c r="H654" s="28"/>
      <c r="I654" s="29" t="str">
        <f>IF(AND(A654&lt;&gt;"",SUMIF(NESTING!I:I,A654,NESTING!J:J)=G654),"OK","")</f>
        <v/>
      </c>
    </row>
    <row r="655" spans="1:9">
      <c r="A655" s="29"/>
      <c r="B655" s="29"/>
      <c r="C655" s="28"/>
      <c r="D655" s="28"/>
      <c r="E655" s="29"/>
      <c r="F655" s="29"/>
      <c r="G655" s="29"/>
      <c r="H655" s="28"/>
      <c r="I655" s="29" t="str">
        <f>IF(AND(A655&lt;&gt;"",SUMIF(NESTING!I:I,A655,NESTING!J:J)=G655),"OK","")</f>
        <v/>
      </c>
    </row>
    <row r="656" spans="1:9">
      <c r="A656" s="29"/>
      <c r="B656" s="29"/>
      <c r="C656" s="28"/>
      <c r="D656" s="28"/>
      <c r="E656" s="29"/>
      <c r="F656" s="29"/>
      <c r="G656" s="29"/>
      <c r="H656" s="28"/>
      <c r="I656" s="29" t="str">
        <f>IF(AND(A656&lt;&gt;"",SUMIF(NESTING!I:I,A656,NESTING!J:J)=G656),"OK","")</f>
        <v/>
      </c>
    </row>
    <row r="657" spans="1:9">
      <c r="A657" s="29"/>
      <c r="B657" s="29"/>
      <c r="C657" s="28"/>
      <c r="D657" s="28"/>
      <c r="E657" s="29"/>
      <c r="F657" s="29"/>
      <c r="G657" s="29"/>
      <c r="H657" s="28"/>
      <c r="I657" s="29" t="str">
        <f>IF(AND(A657&lt;&gt;"",SUMIF(NESTING!I:I,A657,NESTING!J:J)=G657),"OK","")</f>
        <v/>
      </c>
    </row>
    <row r="658" spans="1:9">
      <c r="A658" s="29"/>
      <c r="B658" s="29"/>
      <c r="C658" s="28"/>
      <c r="D658" s="28"/>
      <c r="E658" s="29"/>
      <c r="F658" s="29"/>
      <c r="G658" s="29"/>
      <c r="H658" s="28"/>
      <c r="I658" s="29" t="str">
        <f>IF(AND(A658&lt;&gt;"",SUMIF(NESTING!I:I,A658,NESTING!J:J)=G658),"OK","")</f>
        <v/>
      </c>
    </row>
    <row r="659" spans="1:9">
      <c r="A659" s="29"/>
      <c r="B659" s="29"/>
      <c r="C659" s="28"/>
      <c r="D659" s="28"/>
      <c r="E659" s="29"/>
      <c r="F659" s="29"/>
      <c r="G659" s="29"/>
      <c r="H659" s="28"/>
      <c r="I659" s="29" t="str">
        <f>IF(AND(A659&lt;&gt;"",SUMIF(NESTING!I:I,A659,NESTING!J:J)=G659),"OK","")</f>
        <v/>
      </c>
    </row>
    <row r="660" spans="1:9">
      <c r="A660" s="29"/>
      <c r="B660" s="29"/>
      <c r="C660" s="28"/>
      <c r="D660" s="28"/>
      <c r="E660" s="29"/>
      <c r="F660" s="29"/>
      <c r="G660" s="29"/>
      <c r="H660" s="28"/>
      <c r="I660" s="29" t="str">
        <f>IF(AND(A660&lt;&gt;"",SUMIF(NESTING!I:I,A660,NESTING!J:J)=G660),"OK","")</f>
        <v/>
      </c>
    </row>
    <row r="661" spans="1:9">
      <c r="A661" s="29"/>
      <c r="B661" s="29"/>
      <c r="C661" s="28"/>
      <c r="D661" s="28"/>
      <c r="E661" s="29"/>
      <c r="F661" s="29"/>
      <c r="G661" s="29"/>
      <c r="H661" s="28"/>
      <c r="I661" s="29" t="str">
        <f>IF(AND(A661&lt;&gt;"",SUMIF(NESTING!I:I,A661,NESTING!J:J)=G661),"OK","")</f>
        <v/>
      </c>
    </row>
    <row r="662" spans="1:9">
      <c r="A662" s="29"/>
      <c r="B662" s="29"/>
      <c r="C662" s="28"/>
      <c r="D662" s="28"/>
      <c r="E662" s="29"/>
      <c r="F662" s="29"/>
      <c r="G662" s="29"/>
      <c r="H662" s="28"/>
      <c r="I662" s="29" t="str">
        <f>IF(AND(A662&lt;&gt;"",SUMIF(NESTING!I:I,A662,NESTING!J:J)=G662),"OK","")</f>
        <v/>
      </c>
    </row>
    <row r="663" spans="1:9">
      <c r="A663" s="29"/>
      <c r="B663" s="29"/>
      <c r="C663" s="28"/>
      <c r="D663" s="28"/>
      <c r="E663" s="29"/>
      <c r="F663" s="29"/>
      <c r="G663" s="29"/>
      <c r="H663" s="28"/>
      <c r="I663" s="29" t="str">
        <f>IF(AND(A663&lt;&gt;"",SUMIF(NESTING!I:I,A663,NESTING!J:J)=G663),"OK","")</f>
        <v/>
      </c>
    </row>
    <row r="664" spans="1:9">
      <c r="A664" s="29"/>
      <c r="B664" s="29"/>
      <c r="C664" s="28"/>
      <c r="D664" s="28"/>
      <c r="E664" s="29"/>
      <c r="F664" s="29"/>
      <c r="G664" s="29"/>
      <c r="H664" s="28"/>
      <c r="I664" s="29" t="str">
        <f>IF(AND(A664&lt;&gt;"",SUMIF(NESTING!I:I,A664,NESTING!J:J)=G664),"OK","")</f>
        <v/>
      </c>
    </row>
    <row r="665" spans="1:9">
      <c r="A665" s="29"/>
      <c r="B665" s="29"/>
      <c r="C665" s="28"/>
      <c r="D665" s="28"/>
      <c r="E665" s="29"/>
      <c r="F665" s="29"/>
      <c r="G665" s="29"/>
      <c r="H665" s="28"/>
      <c r="I665" s="29" t="str">
        <f>IF(AND(A665&lt;&gt;"",SUMIF(NESTING!I:I,A665,NESTING!J:J)=G665),"OK","")</f>
        <v/>
      </c>
    </row>
    <row r="666" spans="1:9">
      <c r="A666" s="29"/>
      <c r="B666" s="29"/>
      <c r="C666" s="28"/>
      <c r="D666" s="28"/>
      <c r="E666" s="29"/>
      <c r="F666" s="29"/>
      <c r="G666" s="29"/>
      <c r="H666" s="28"/>
      <c r="I666" s="29" t="str">
        <f>IF(AND(A666&lt;&gt;"",SUMIF(NESTING!I:I,A666,NESTING!J:J)=G666),"OK","")</f>
        <v/>
      </c>
    </row>
    <row r="667" spans="1:9">
      <c r="A667" s="29"/>
      <c r="B667" s="29"/>
      <c r="C667" s="28"/>
      <c r="D667" s="28"/>
      <c r="E667" s="29"/>
      <c r="F667" s="29"/>
      <c r="G667" s="29"/>
      <c r="H667" s="28"/>
      <c r="I667" s="29" t="str">
        <f>IF(AND(A667&lt;&gt;"",SUMIF(NESTING!I:I,A667,NESTING!J:J)=G667),"OK","")</f>
        <v/>
      </c>
    </row>
    <row r="668" spans="1:9">
      <c r="A668" s="29"/>
      <c r="B668" s="29"/>
      <c r="C668" s="28"/>
      <c r="D668" s="28"/>
      <c r="E668" s="29"/>
      <c r="F668" s="29"/>
      <c r="G668" s="29"/>
      <c r="H668" s="28"/>
      <c r="I668" s="29" t="str">
        <f>IF(AND(A668&lt;&gt;"",SUMIF(NESTING!I:I,A668,NESTING!J:J)=G668),"OK","")</f>
        <v/>
      </c>
    </row>
    <row r="669" spans="1:9">
      <c r="A669" s="29"/>
      <c r="B669" s="29"/>
      <c r="C669" s="28"/>
      <c r="D669" s="28"/>
      <c r="E669" s="29"/>
      <c r="F669" s="29"/>
      <c r="G669" s="29"/>
      <c r="H669" s="28"/>
      <c r="I669" s="29" t="str">
        <f>IF(AND(A669&lt;&gt;"",SUMIF(NESTING!I:I,A669,NESTING!J:J)=G669),"OK","")</f>
        <v/>
      </c>
    </row>
    <row r="670" spans="1:9">
      <c r="A670" s="29"/>
      <c r="B670" s="29"/>
      <c r="C670" s="28"/>
      <c r="D670" s="28"/>
      <c r="E670" s="29"/>
      <c r="F670" s="29"/>
      <c r="G670" s="29"/>
      <c r="H670" s="28"/>
      <c r="I670" s="29" t="str">
        <f>IF(AND(A670&lt;&gt;"",SUMIF(NESTING!I:I,A670,NESTING!J:J)=G670),"OK","")</f>
        <v/>
      </c>
    </row>
    <row r="671" spans="1:9">
      <c r="A671" s="29"/>
      <c r="B671" s="29"/>
      <c r="C671" s="28"/>
      <c r="D671" s="28"/>
      <c r="E671" s="29"/>
      <c r="F671" s="29"/>
      <c r="G671" s="29"/>
      <c r="H671" s="28"/>
      <c r="I671" s="29" t="str">
        <f>IF(AND(A671&lt;&gt;"",SUMIF(NESTING!I:I,A671,NESTING!J:J)=G671),"OK","")</f>
        <v/>
      </c>
    </row>
    <row r="672" spans="1:9">
      <c r="A672" s="29"/>
      <c r="B672" s="29"/>
      <c r="C672" s="28"/>
      <c r="D672" s="28"/>
      <c r="E672" s="29"/>
      <c r="F672" s="29"/>
      <c r="G672" s="29"/>
      <c r="H672" s="28"/>
      <c r="I672" s="29" t="str">
        <f>IF(AND(A672&lt;&gt;"",SUMIF(NESTING!I:I,A672,NESTING!J:J)=G672),"OK","")</f>
        <v/>
      </c>
    </row>
    <row r="673" spans="1:9">
      <c r="A673" s="29"/>
      <c r="B673" s="29"/>
      <c r="C673" s="28"/>
      <c r="D673" s="28"/>
      <c r="E673" s="29"/>
      <c r="F673" s="29"/>
      <c r="G673" s="29"/>
      <c r="H673" s="28"/>
      <c r="I673" s="29" t="str">
        <f>IF(AND(A673&lt;&gt;"",SUMIF(NESTING!I:I,A673,NESTING!J:J)=G673),"OK","")</f>
        <v/>
      </c>
    </row>
    <row r="674" spans="1:9">
      <c r="A674" s="29"/>
      <c r="B674" s="29"/>
      <c r="C674" s="28"/>
      <c r="D674" s="28"/>
      <c r="E674" s="29"/>
      <c r="F674" s="29"/>
      <c r="G674" s="29"/>
      <c r="H674" s="28"/>
      <c r="I674" s="29" t="str">
        <f>IF(AND(A674&lt;&gt;"",SUMIF(NESTING!I:I,A674,NESTING!J:J)=G674),"OK","")</f>
        <v/>
      </c>
    </row>
    <row r="675" spans="1:9">
      <c r="A675" s="29"/>
      <c r="B675" s="29"/>
      <c r="C675" s="28"/>
      <c r="D675" s="28"/>
      <c r="E675" s="29"/>
      <c r="F675" s="29"/>
      <c r="G675" s="29"/>
      <c r="H675" s="28"/>
      <c r="I675" s="29" t="str">
        <f>IF(AND(A675&lt;&gt;"",SUMIF(NESTING!I:I,A675,NESTING!J:J)=G675),"OK","")</f>
        <v/>
      </c>
    </row>
    <row r="676" spans="1:9">
      <c r="A676" s="29"/>
      <c r="B676" s="29"/>
      <c r="C676" s="28"/>
      <c r="D676" s="28"/>
      <c r="E676" s="29"/>
      <c r="F676" s="29"/>
      <c r="G676" s="29"/>
      <c r="H676" s="28"/>
      <c r="I676" s="29" t="str">
        <f>IF(AND(A676&lt;&gt;"",SUMIF(NESTING!I:I,A676,NESTING!J:J)=G676),"OK","")</f>
        <v/>
      </c>
    </row>
    <row r="677" spans="1:9">
      <c r="A677" s="29"/>
      <c r="B677" s="29"/>
      <c r="C677" s="28"/>
      <c r="D677" s="28"/>
      <c r="E677" s="29"/>
      <c r="F677" s="29"/>
      <c r="G677" s="29"/>
      <c r="H677" s="28"/>
      <c r="I677" s="29" t="str">
        <f>IF(AND(A677&lt;&gt;"",SUMIF(NESTING!I:I,A677,NESTING!J:J)=G677),"OK","")</f>
        <v/>
      </c>
    </row>
    <row r="678" spans="1:9">
      <c r="A678" s="29"/>
      <c r="B678" s="29"/>
      <c r="C678" s="28"/>
      <c r="D678" s="28"/>
      <c r="E678" s="29"/>
      <c r="F678" s="29"/>
      <c r="G678" s="29"/>
      <c r="H678" s="28"/>
      <c r="I678" s="29" t="str">
        <f>IF(AND(A678&lt;&gt;"",SUMIF(NESTING!I:I,A678,NESTING!J:J)=G678),"OK","")</f>
        <v/>
      </c>
    </row>
    <row r="679" spans="1:9">
      <c r="A679" s="29"/>
      <c r="B679" s="29"/>
      <c r="C679" s="28"/>
      <c r="D679" s="28"/>
      <c r="E679" s="29"/>
      <c r="F679" s="29"/>
      <c r="G679" s="29"/>
      <c r="H679" s="28"/>
      <c r="I679" s="29" t="str">
        <f>IF(AND(A679&lt;&gt;"",SUMIF(NESTING!I:I,A679,NESTING!J:J)=G679),"OK","")</f>
        <v/>
      </c>
    </row>
    <row r="680" spans="1:9">
      <c r="A680" s="29"/>
      <c r="B680" s="29"/>
      <c r="C680" s="28"/>
      <c r="D680" s="28"/>
      <c r="E680" s="29"/>
      <c r="F680" s="29"/>
      <c r="G680" s="29"/>
      <c r="H680" s="28"/>
      <c r="I680" s="29" t="str">
        <f>IF(AND(A680&lt;&gt;"",SUMIF(NESTING!I:I,A680,NESTING!J:J)=G680),"OK","")</f>
        <v/>
      </c>
    </row>
    <row r="681" spans="1:9">
      <c r="A681" s="29"/>
      <c r="B681" s="29"/>
      <c r="C681" s="28"/>
      <c r="D681" s="28"/>
      <c r="E681" s="29"/>
      <c r="F681" s="29"/>
      <c r="G681" s="29"/>
      <c r="H681" s="28"/>
      <c r="I681" s="29" t="str">
        <f>IF(AND(A681&lt;&gt;"",SUMIF(NESTING!I:I,A681,NESTING!J:J)=G681),"OK","")</f>
        <v/>
      </c>
    </row>
    <row r="682" spans="1:9">
      <c r="A682" s="29"/>
      <c r="B682" s="29"/>
      <c r="C682" s="28"/>
      <c r="D682" s="28"/>
      <c r="E682" s="29"/>
      <c r="F682" s="29"/>
      <c r="G682" s="29"/>
      <c r="H682" s="28"/>
      <c r="I682" s="29" t="str">
        <f>IF(AND(A682&lt;&gt;"",SUMIF(NESTING!I:I,A682,NESTING!J:J)=G682),"OK","")</f>
        <v/>
      </c>
    </row>
    <row r="683" spans="1:9">
      <c r="A683" s="29"/>
      <c r="B683" s="29"/>
      <c r="C683" s="28"/>
      <c r="D683" s="28"/>
      <c r="E683" s="29"/>
      <c r="F683" s="29"/>
      <c r="G683" s="29"/>
      <c r="H683" s="28"/>
      <c r="I683" s="29" t="str">
        <f>IF(AND(A683&lt;&gt;"",SUMIF(NESTING!I:I,A683,NESTING!J:J)=G683),"OK","")</f>
        <v/>
      </c>
    </row>
    <row r="684" spans="1:9">
      <c r="A684" s="29"/>
      <c r="B684" s="29"/>
      <c r="C684" s="28"/>
      <c r="D684" s="28"/>
      <c r="E684" s="29"/>
      <c r="F684" s="29"/>
      <c r="G684" s="29"/>
      <c r="H684" s="28"/>
      <c r="I684" s="29" t="str">
        <f>IF(AND(A684&lt;&gt;"",SUMIF(NESTING!I:I,A684,NESTING!J:J)=G684),"OK","")</f>
        <v/>
      </c>
    </row>
    <row r="685" spans="1:9">
      <c r="A685" s="29"/>
      <c r="B685" s="29"/>
      <c r="C685" s="28"/>
      <c r="D685" s="28"/>
      <c r="E685" s="29"/>
      <c r="F685" s="29"/>
      <c r="G685" s="29"/>
      <c r="H685" s="28"/>
      <c r="I685" s="29" t="str">
        <f>IF(AND(A685&lt;&gt;"",SUMIF(NESTING!I:I,A685,NESTING!J:J)=G685),"OK","")</f>
        <v/>
      </c>
    </row>
    <row r="686" spans="1:9">
      <c r="A686" s="29"/>
      <c r="B686" s="29"/>
      <c r="C686" s="28"/>
      <c r="D686" s="28"/>
      <c r="E686" s="29"/>
      <c r="F686" s="29"/>
      <c r="G686" s="29"/>
      <c r="H686" s="28"/>
      <c r="I686" s="29" t="str">
        <f>IF(AND(A686&lt;&gt;"",SUMIF(NESTING!I:I,A686,NESTING!J:J)=G686),"OK","")</f>
        <v/>
      </c>
    </row>
    <row r="687" spans="1:9">
      <c r="A687" s="29"/>
      <c r="B687" s="29"/>
      <c r="C687" s="28"/>
      <c r="D687" s="28"/>
      <c r="E687" s="29"/>
      <c r="F687" s="29"/>
      <c r="G687" s="29"/>
      <c r="H687" s="28"/>
      <c r="I687" s="29" t="str">
        <f>IF(AND(A687&lt;&gt;"",SUMIF(NESTING!I:I,A687,NESTING!J:J)=G687),"OK","")</f>
        <v/>
      </c>
    </row>
    <row r="688" spans="1:9">
      <c r="A688" s="29"/>
      <c r="B688" s="29"/>
      <c r="C688" s="28"/>
      <c r="D688" s="28"/>
      <c r="E688" s="29"/>
      <c r="F688" s="29"/>
      <c r="G688" s="29"/>
      <c r="H688" s="28"/>
      <c r="I688" s="29" t="str">
        <f>IF(AND(A688&lt;&gt;"",SUMIF(NESTING!I:I,A688,NESTING!J:J)=G688),"OK","")</f>
        <v/>
      </c>
    </row>
    <row r="689" spans="1:9">
      <c r="A689" s="29"/>
      <c r="B689" s="29"/>
      <c r="C689" s="28"/>
      <c r="D689" s="28"/>
      <c r="E689" s="29"/>
      <c r="F689" s="29"/>
      <c r="G689" s="29"/>
      <c r="H689" s="28"/>
      <c r="I689" s="29" t="str">
        <f>IF(AND(A689&lt;&gt;"",SUMIF(NESTING!I:I,A689,NESTING!J:J)=G689),"OK","")</f>
        <v/>
      </c>
    </row>
    <row r="690" spans="1:9">
      <c r="A690" s="29"/>
      <c r="B690" s="29"/>
      <c r="C690" s="28"/>
      <c r="D690" s="28"/>
      <c r="E690" s="29"/>
      <c r="F690" s="29"/>
      <c r="G690" s="29"/>
      <c r="H690" s="28"/>
      <c r="I690" s="29" t="str">
        <f>IF(AND(A690&lt;&gt;"",SUMIF(NESTING!I:I,A690,NESTING!J:J)=G690),"OK","")</f>
        <v/>
      </c>
    </row>
    <row r="691" spans="1:9">
      <c r="A691" s="29"/>
      <c r="B691" s="29"/>
      <c r="C691" s="28"/>
      <c r="D691" s="28"/>
      <c r="E691" s="29"/>
      <c r="F691" s="29"/>
      <c r="G691" s="29"/>
      <c r="H691" s="28"/>
      <c r="I691" s="29" t="str">
        <f>IF(AND(A691&lt;&gt;"",SUMIF(NESTING!I:I,A691,NESTING!J:J)=G691),"OK","")</f>
        <v/>
      </c>
    </row>
    <row r="692" spans="1:9">
      <c r="A692" s="29"/>
      <c r="B692" s="29"/>
      <c r="C692" s="28"/>
      <c r="D692" s="28"/>
      <c r="E692" s="29"/>
      <c r="F692" s="29"/>
      <c r="G692" s="29"/>
      <c r="H692" s="28"/>
      <c r="I692" s="29" t="str">
        <f>IF(AND(A692&lt;&gt;"",SUMIF(NESTING!I:I,A692,NESTING!J:J)=G692),"OK","")</f>
        <v/>
      </c>
    </row>
    <row r="693" spans="1:9">
      <c r="A693" s="29"/>
      <c r="B693" s="29"/>
      <c r="C693" s="28"/>
      <c r="D693" s="28"/>
      <c r="E693" s="29"/>
      <c r="F693" s="29"/>
      <c r="G693" s="29"/>
      <c r="H693" s="28"/>
      <c r="I693" s="29" t="str">
        <f>IF(AND(A693&lt;&gt;"",SUMIF(NESTING!I:I,A693,NESTING!J:J)=G693),"OK","")</f>
        <v/>
      </c>
    </row>
    <row r="694" spans="1:9">
      <c r="A694" s="29"/>
      <c r="B694" s="29"/>
      <c r="C694" s="28"/>
      <c r="D694" s="28"/>
      <c r="E694" s="29"/>
      <c r="F694" s="29"/>
      <c r="G694" s="29"/>
      <c r="H694" s="28"/>
      <c r="I694" s="29" t="str">
        <f>IF(AND(A694&lt;&gt;"",SUMIF(NESTING!I:I,A694,NESTING!J:J)=G694),"OK","")</f>
        <v/>
      </c>
    </row>
    <row r="695" spans="1:9">
      <c r="A695" s="29"/>
      <c r="B695" s="29"/>
      <c r="C695" s="28"/>
      <c r="D695" s="28"/>
      <c r="E695" s="29"/>
      <c r="F695" s="29"/>
      <c r="G695" s="29"/>
      <c r="H695" s="28"/>
      <c r="I695" s="29" t="str">
        <f>IF(AND(A695&lt;&gt;"",SUMIF(NESTING!I:I,A695,NESTING!J:J)=G695),"OK","")</f>
        <v/>
      </c>
    </row>
    <row r="696" spans="1:9">
      <c r="A696" s="29"/>
      <c r="B696" s="29"/>
      <c r="C696" s="28"/>
      <c r="D696" s="28"/>
      <c r="E696" s="29"/>
      <c r="F696" s="29"/>
      <c r="G696" s="29"/>
      <c r="H696" s="28"/>
      <c r="I696" s="29" t="str">
        <f>IF(AND(A696&lt;&gt;"",SUMIF(NESTING!I:I,A696,NESTING!J:J)=G696),"OK","")</f>
        <v/>
      </c>
    </row>
    <row r="697" spans="1:9">
      <c r="A697" s="29"/>
      <c r="B697" s="29"/>
      <c r="C697" s="28"/>
      <c r="D697" s="28"/>
      <c r="E697" s="29"/>
      <c r="F697" s="29"/>
      <c r="G697" s="29"/>
      <c r="H697" s="28"/>
      <c r="I697" s="29" t="str">
        <f>IF(AND(A697&lt;&gt;"",SUMIF(NESTING!I:I,A697,NESTING!J:J)=G697),"OK","")</f>
        <v/>
      </c>
    </row>
    <row r="698" spans="1:9">
      <c r="A698" s="29"/>
      <c r="B698" s="29"/>
      <c r="C698" s="28"/>
      <c r="D698" s="28"/>
      <c r="E698" s="29"/>
      <c r="F698" s="29"/>
      <c r="G698" s="29"/>
      <c r="H698" s="28"/>
      <c r="I698" s="29" t="str">
        <f>IF(AND(A698&lt;&gt;"",SUMIF(NESTING!I:I,A698,NESTING!J:J)=G698),"OK","")</f>
        <v/>
      </c>
    </row>
    <row r="699" spans="1:9">
      <c r="A699" s="29"/>
      <c r="B699" s="29"/>
      <c r="C699" s="28"/>
      <c r="D699" s="28"/>
      <c r="E699" s="29"/>
      <c r="F699" s="29"/>
      <c r="G699" s="29"/>
      <c r="H699" s="28"/>
      <c r="I699" s="29" t="str">
        <f>IF(AND(A699&lt;&gt;"",SUMIF(NESTING!I:I,A699,NESTING!J:J)=G699),"OK","")</f>
        <v/>
      </c>
    </row>
    <row r="700" spans="1:9">
      <c r="A700" s="29"/>
      <c r="B700" s="29"/>
      <c r="C700" s="28"/>
      <c r="D700" s="28"/>
      <c r="E700" s="29"/>
      <c r="F700" s="29"/>
      <c r="G700" s="29"/>
      <c r="H700" s="28"/>
      <c r="I700" s="29" t="str">
        <f>IF(AND(A700&lt;&gt;"",SUMIF(NESTING!I:I,A700,NESTING!J:J)=G700),"OK","")</f>
        <v/>
      </c>
    </row>
    <row r="701" spans="1:9">
      <c r="A701" s="29"/>
      <c r="B701" s="29"/>
      <c r="C701" s="28"/>
      <c r="D701" s="28"/>
      <c r="E701" s="29"/>
      <c r="F701" s="29"/>
      <c r="G701" s="29"/>
      <c r="H701" s="28"/>
      <c r="I701" s="29" t="str">
        <f>IF(AND(A701&lt;&gt;"",SUMIF(NESTING!I:I,A701,NESTING!J:J)=G701),"OK","")</f>
        <v/>
      </c>
    </row>
    <row r="702" spans="1:9">
      <c r="A702" s="29"/>
      <c r="B702" s="29"/>
      <c r="C702" s="28"/>
      <c r="D702" s="28"/>
      <c r="E702" s="29"/>
      <c r="F702" s="29"/>
      <c r="G702" s="29"/>
      <c r="H702" s="28"/>
      <c r="I702" s="29" t="str">
        <f>IF(AND(A702&lt;&gt;"",SUMIF(NESTING!I:I,A702,NESTING!J:J)=G702),"OK","")</f>
        <v/>
      </c>
    </row>
    <row r="703" spans="1:9">
      <c r="A703" s="29"/>
      <c r="B703" s="29"/>
      <c r="C703" s="28"/>
      <c r="D703" s="28"/>
      <c r="E703" s="29"/>
      <c r="F703" s="29"/>
      <c r="G703" s="29"/>
      <c r="H703" s="28"/>
      <c r="I703" s="29" t="str">
        <f>IF(AND(A703&lt;&gt;"",SUMIF(NESTING!I:I,A703,NESTING!J:J)=G703),"OK","")</f>
        <v/>
      </c>
    </row>
    <row r="704" spans="1:9">
      <c r="A704" s="29"/>
      <c r="B704" s="29"/>
      <c r="C704" s="28"/>
      <c r="D704" s="28"/>
      <c r="E704" s="29"/>
      <c r="F704" s="29"/>
      <c r="G704" s="29"/>
      <c r="H704" s="28"/>
      <c r="I704" s="29" t="str">
        <f>IF(AND(A704&lt;&gt;"",SUMIF(NESTING!I:I,A704,NESTING!J:J)=G704),"OK","")</f>
        <v/>
      </c>
    </row>
    <row r="705" spans="1:9">
      <c r="A705" s="29"/>
      <c r="B705" s="29"/>
      <c r="C705" s="28"/>
      <c r="D705" s="28"/>
      <c r="E705" s="29"/>
      <c r="F705" s="29"/>
      <c r="G705" s="29"/>
      <c r="H705" s="28"/>
      <c r="I705" s="29" t="str">
        <f>IF(AND(A705&lt;&gt;"",SUMIF(NESTING!I:I,A705,NESTING!J:J)=G705),"OK","")</f>
        <v/>
      </c>
    </row>
    <row r="706" spans="1:9">
      <c r="A706" s="29"/>
      <c r="B706" s="29"/>
      <c r="C706" s="28"/>
      <c r="D706" s="28"/>
      <c r="E706" s="29"/>
      <c r="F706" s="29"/>
      <c r="G706" s="29"/>
      <c r="H706" s="28"/>
      <c r="I706" s="29" t="str">
        <f>IF(AND(A706&lt;&gt;"",SUMIF(NESTING!I:I,A706,NESTING!J:J)=G706),"OK","")</f>
        <v/>
      </c>
    </row>
    <row r="707" spans="1:9">
      <c r="A707" s="29"/>
      <c r="B707" s="29"/>
      <c r="C707" s="28"/>
      <c r="D707" s="28"/>
      <c r="E707" s="29"/>
      <c r="F707" s="29"/>
      <c r="G707" s="29"/>
      <c r="H707" s="28"/>
      <c r="I707" s="29" t="str">
        <f>IF(AND(A707&lt;&gt;"",SUMIF(NESTING!I:I,A707,NESTING!J:J)=G707),"OK","")</f>
        <v/>
      </c>
    </row>
    <row r="708" spans="1:9">
      <c r="A708" s="29"/>
      <c r="B708" s="29"/>
      <c r="C708" s="28"/>
      <c r="D708" s="28"/>
      <c r="E708" s="29"/>
      <c r="F708" s="29"/>
      <c r="G708" s="29"/>
      <c r="H708" s="28"/>
      <c r="I708" s="29" t="str">
        <f>IF(AND(A708&lt;&gt;"",SUMIF(NESTING!I:I,A708,NESTING!J:J)=G708),"OK","")</f>
        <v/>
      </c>
    </row>
    <row r="709" spans="1:9">
      <c r="A709" s="29"/>
      <c r="B709" s="29"/>
      <c r="C709" s="28"/>
      <c r="D709" s="28"/>
      <c r="E709" s="29"/>
      <c r="F709" s="29"/>
      <c r="G709" s="29"/>
      <c r="H709" s="28"/>
      <c r="I709" s="29" t="str">
        <f>IF(AND(A709&lt;&gt;"",SUMIF(NESTING!I:I,A709,NESTING!J:J)=G709),"OK","")</f>
        <v/>
      </c>
    </row>
    <row r="710" spans="1:9">
      <c r="A710" s="29"/>
      <c r="B710" s="29"/>
      <c r="C710" s="28"/>
      <c r="D710" s="28"/>
      <c r="E710" s="29"/>
      <c r="F710" s="29"/>
      <c r="G710" s="29"/>
      <c r="H710" s="28"/>
      <c r="I710" s="29" t="str">
        <f>IF(AND(A710&lt;&gt;"",SUMIF(NESTING!I:I,A710,NESTING!J:J)=G710),"OK","")</f>
        <v/>
      </c>
    </row>
    <row r="711" spans="1:9">
      <c r="A711" s="29"/>
      <c r="B711" s="29"/>
      <c r="C711" s="28"/>
      <c r="D711" s="28"/>
      <c r="E711" s="29"/>
      <c r="F711" s="29"/>
      <c r="G711" s="29"/>
      <c r="H711" s="28"/>
      <c r="I711" s="29" t="str">
        <f>IF(AND(A711&lt;&gt;"",SUMIF(NESTING!I:I,A711,NESTING!J:J)=G711),"OK","")</f>
        <v/>
      </c>
    </row>
    <row r="712" spans="1:9">
      <c r="A712" s="29"/>
      <c r="B712" s="29"/>
      <c r="C712" s="28"/>
      <c r="D712" s="28"/>
      <c r="E712" s="29"/>
      <c r="F712" s="29"/>
      <c r="G712" s="29"/>
      <c r="H712" s="28"/>
      <c r="I712" s="29" t="str">
        <f>IF(AND(A712&lt;&gt;"",SUMIF(NESTING!I:I,A712,NESTING!J:J)=G712),"OK","")</f>
        <v/>
      </c>
    </row>
    <row r="713" spans="1:9">
      <c r="A713" s="29"/>
      <c r="B713" s="29"/>
      <c r="C713" s="28"/>
      <c r="D713" s="28"/>
      <c r="E713" s="29"/>
      <c r="F713" s="29"/>
      <c r="G713" s="29"/>
      <c r="H713" s="28"/>
      <c r="I713" s="29" t="str">
        <f>IF(AND(A713&lt;&gt;"",SUMIF(NESTING!I:I,A713,NESTING!J:J)=G713),"OK","")</f>
        <v/>
      </c>
    </row>
    <row r="714" spans="1:9">
      <c r="A714" s="29"/>
      <c r="B714" s="29"/>
      <c r="C714" s="28"/>
      <c r="D714" s="28"/>
      <c r="E714" s="29"/>
      <c r="F714" s="29"/>
      <c r="G714" s="29"/>
      <c r="H714" s="28"/>
      <c r="I714" s="29" t="str">
        <f>IF(AND(A714&lt;&gt;"",SUMIF(NESTING!I:I,A714,NESTING!J:J)=G714),"OK","")</f>
        <v/>
      </c>
    </row>
    <row r="715" spans="1:9">
      <c r="A715" s="29"/>
      <c r="B715" s="29"/>
      <c r="C715" s="28"/>
      <c r="D715" s="28"/>
      <c r="E715" s="29"/>
      <c r="F715" s="29"/>
      <c r="G715" s="29"/>
      <c r="H715" s="28"/>
      <c r="I715" s="29" t="str">
        <f>IF(AND(A715&lt;&gt;"",SUMIF(NESTING!I:I,A715,NESTING!J:J)=G715),"OK","")</f>
        <v/>
      </c>
    </row>
    <row r="716" spans="1:9">
      <c r="A716" s="29"/>
      <c r="B716" s="29"/>
      <c r="C716" s="28"/>
      <c r="D716" s="28"/>
      <c r="E716" s="29"/>
      <c r="F716" s="29"/>
      <c r="G716" s="29"/>
      <c r="H716" s="28"/>
      <c r="I716" s="29" t="str">
        <f>IF(AND(A716&lt;&gt;"",SUMIF(NESTING!I:I,A716,NESTING!J:J)=G716),"OK","")</f>
        <v/>
      </c>
    </row>
    <row r="717" spans="1:9">
      <c r="A717" s="29"/>
      <c r="B717" s="29"/>
      <c r="C717" s="28"/>
      <c r="D717" s="28"/>
      <c r="E717" s="29"/>
      <c r="F717" s="29"/>
      <c r="G717" s="29"/>
      <c r="H717" s="28"/>
      <c r="I717" s="29" t="str">
        <f>IF(AND(A717&lt;&gt;"",SUMIF(NESTING!I:I,A717,NESTING!J:J)=G717),"OK","")</f>
        <v/>
      </c>
    </row>
    <row r="718" spans="1:9">
      <c r="A718" s="29"/>
      <c r="B718" s="29"/>
      <c r="C718" s="28"/>
      <c r="D718" s="28"/>
      <c r="E718" s="29"/>
      <c r="F718" s="29"/>
      <c r="G718" s="29"/>
      <c r="H718" s="28"/>
      <c r="I718" s="29" t="str">
        <f>IF(AND(A718&lt;&gt;"",SUMIF(NESTING!I:I,A718,NESTING!J:J)=G718),"OK","")</f>
        <v/>
      </c>
    </row>
    <row r="719" spans="1:9">
      <c r="A719" s="29"/>
      <c r="B719" s="29"/>
      <c r="C719" s="28"/>
      <c r="D719" s="28"/>
      <c r="E719" s="29"/>
      <c r="F719" s="29"/>
      <c r="G719" s="29"/>
      <c r="H719" s="28"/>
      <c r="I719" s="29" t="str">
        <f>IF(AND(A719&lt;&gt;"",SUMIF(NESTING!I:I,A719,NESTING!J:J)=G719),"OK","")</f>
        <v/>
      </c>
    </row>
    <row r="720" spans="1:9">
      <c r="A720" s="29"/>
      <c r="B720" s="29"/>
      <c r="C720" s="28"/>
      <c r="D720" s="28"/>
      <c r="E720" s="29"/>
      <c r="F720" s="29"/>
      <c r="G720" s="29"/>
      <c r="H720" s="28"/>
      <c r="I720" s="29" t="str">
        <f>IF(AND(A720&lt;&gt;"",SUMIF(NESTING!I:I,A720,NESTING!J:J)=G720),"OK","")</f>
        <v/>
      </c>
    </row>
    <row r="721" spans="1:9">
      <c r="A721" s="29"/>
      <c r="B721" s="29"/>
      <c r="C721" s="28"/>
      <c r="D721" s="28"/>
      <c r="E721" s="29"/>
      <c r="F721" s="29"/>
      <c r="G721" s="29"/>
      <c r="H721" s="28"/>
      <c r="I721" s="29" t="str">
        <f>IF(AND(A721&lt;&gt;"",SUMIF(NESTING!I:I,A721,NESTING!J:J)=G721),"OK","")</f>
        <v/>
      </c>
    </row>
    <row r="722" spans="1:9">
      <c r="A722" s="29"/>
      <c r="B722" s="29"/>
      <c r="C722" s="28"/>
      <c r="D722" s="28"/>
      <c r="E722" s="29"/>
      <c r="F722" s="29"/>
      <c r="G722" s="29"/>
      <c r="H722" s="28"/>
      <c r="I722" s="29" t="str">
        <f>IF(AND(A722&lt;&gt;"",SUMIF(NESTING!I:I,A722,NESTING!J:J)=G722),"OK","")</f>
        <v/>
      </c>
    </row>
    <row r="723" spans="1:9">
      <c r="A723" s="29"/>
      <c r="B723" s="29"/>
      <c r="C723" s="28"/>
      <c r="D723" s="28"/>
      <c r="E723" s="29"/>
      <c r="F723" s="29"/>
      <c r="G723" s="29"/>
      <c r="H723" s="28"/>
      <c r="I723" s="29" t="str">
        <f>IF(AND(A723&lt;&gt;"",SUMIF(NESTING!I:I,A723,NESTING!J:J)=G723),"OK","")</f>
        <v/>
      </c>
    </row>
    <row r="724" spans="1:9">
      <c r="A724" s="29"/>
      <c r="B724" s="29"/>
      <c r="C724" s="28"/>
      <c r="D724" s="28"/>
      <c r="E724" s="29"/>
      <c r="F724" s="29"/>
      <c r="G724" s="29"/>
      <c r="H724" s="28"/>
      <c r="I724" s="29" t="str">
        <f>IF(AND(A724&lt;&gt;"",SUMIF(NESTING!I:I,A724,NESTING!J:J)=G724),"OK","")</f>
        <v/>
      </c>
    </row>
    <row r="725" spans="1:9">
      <c r="A725" s="29"/>
      <c r="B725" s="29"/>
      <c r="C725" s="28"/>
      <c r="D725" s="28"/>
      <c r="E725" s="29"/>
      <c r="F725" s="29"/>
      <c r="G725" s="29"/>
      <c r="H725" s="28"/>
      <c r="I725" s="29" t="str">
        <f>IF(AND(A725&lt;&gt;"",SUMIF(NESTING!I:I,A725,NESTING!J:J)=G725),"OK","")</f>
        <v/>
      </c>
    </row>
    <row r="726" spans="1:9">
      <c r="A726" s="29"/>
      <c r="B726" s="29"/>
      <c r="C726" s="28"/>
      <c r="D726" s="28"/>
      <c r="E726" s="29"/>
      <c r="F726" s="29"/>
      <c r="G726" s="29"/>
      <c r="H726" s="28"/>
      <c r="I726" s="29" t="str">
        <f>IF(AND(A726&lt;&gt;"",SUMIF(NESTING!I:I,A726,NESTING!J:J)=G726),"OK","")</f>
        <v/>
      </c>
    </row>
    <row r="727" spans="1:9">
      <c r="A727" s="29"/>
      <c r="B727" s="29"/>
      <c r="C727" s="28"/>
      <c r="D727" s="28"/>
      <c r="E727" s="29"/>
      <c r="F727" s="29"/>
      <c r="G727" s="29"/>
      <c r="H727" s="28"/>
      <c r="I727" s="29" t="str">
        <f>IF(AND(A727&lt;&gt;"",SUMIF(NESTING!I:I,A727,NESTING!J:J)=G727),"OK","")</f>
        <v/>
      </c>
    </row>
    <row r="728" spans="1:9">
      <c r="A728" s="29"/>
      <c r="B728" s="29"/>
      <c r="C728" s="28"/>
      <c r="D728" s="28"/>
      <c r="E728" s="29"/>
      <c r="F728" s="29"/>
      <c r="G728" s="29"/>
      <c r="H728" s="28"/>
      <c r="I728" s="29" t="str">
        <f>IF(AND(A728&lt;&gt;"",SUMIF(NESTING!I:I,A728,NESTING!J:J)=G728),"OK","")</f>
        <v/>
      </c>
    </row>
    <row r="729" spans="1:9">
      <c r="A729" s="29"/>
      <c r="B729" s="29"/>
      <c r="C729" s="28"/>
      <c r="D729" s="28"/>
      <c r="E729" s="29"/>
      <c r="F729" s="29"/>
      <c r="G729" s="29"/>
      <c r="H729" s="28"/>
      <c r="I729" s="29" t="str">
        <f>IF(AND(A729&lt;&gt;"",SUMIF(NESTING!I:I,A729,NESTING!J:J)=G729),"OK","")</f>
        <v/>
      </c>
    </row>
    <row r="730" spans="1:9">
      <c r="A730" s="29"/>
      <c r="B730" s="29"/>
      <c r="C730" s="28"/>
      <c r="D730" s="28"/>
      <c r="E730" s="29"/>
      <c r="F730" s="29"/>
      <c r="G730" s="29"/>
      <c r="H730" s="28"/>
      <c r="I730" s="29" t="str">
        <f>IF(AND(A730&lt;&gt;"",SUMIF(NESTING!I:I,A730,NESTING!J:J)=G730),"OK","")</f>
        <v/>
      </c>
    </row>
    <row r="731" spans="1:9">
      <c r="A731" s="29"/>
      <c r="B731" s="29"/>
      <c r="C731" s="28"/>
      <c r="D731" s="28"/>
      <c r="E731" s="29"/>
      <c r="F731" s="29"/>
      <c r="G731" s="29"/>
      <c r="H731" s="28"/>
      <c r="I731" s="29" t="str">
        <f>IF(AND(A731&lt;&gt;"",SUMIF(NESTING!I:I,A731,NESTING!J:J)=G731),"OK","")</f>
        <v/>
      </c>
    </row>
    <row r="732" spans="1:9">
      <c r="A732" s="29"/>
      <c r="B732" s="29"/>
      <c r="C732" s="28"/>
      <c r="D732" s="28"/>
      <c r="E732" s="29"/>
      <c r="F732" s="29"/>
      <c r="G732" s="29"/>
      <c r="H732" s="28"/>
      <c r="I732" s="29" t="str">
        <f>IF(AND(A732&lt;&gt;"",SUMIF(NESTING!I:I,A732,NESTING!J:J)=G732),"OK","")</f>
        <v/>
      </c>
    </row>
    <row r="733" spans="1:9">
      <c r="A733" s="29"/>
      <c r="B733" s="29"/>
      <c r="C733" s="28"/>
      <c r="D733" s="28"/>
      <c r="E733" s="29"/>
      <c r="F733" s="29"/>
      <c r="G733" s="29"/>
      <c r="H733" s="28"/>
      <c r="I733" s="29" t="str">
        <f>IF(AND(A733&lt;&gt;"",SUMIF(NESTING!I:I,A733,NESTING!J:J)=G733),"OK","")</f>
        <v/>
      </c>
    </row>
    <row r="734" spans="1:9">
      <c r="A734" s="29"/>
      <c r="B734" s="29"/>
      <c r="C734" s="28"/>
      <c r="D734" s="28"/>
      <c r="E734" s="29"/>
      <c r="F734" s="29"/>
      <c r="G734" s="29"/>
      <c r="H734" s="28"/>
      <c r="I734" s="29" t="str">
        <f>IF(AND(A734&lt;&gt;"",SUMIF(NESTING!I:I,A734,NESTING!J:J)=G734),"OK","")</f>
        <v/>
      </c>
    </row>
    <row r="735" spans="1:9">
      <c r="A735" s="29"/>
      <c r="B735" s="29"/>
      <c r="C735" s="28"/>
      <c r="D735" s="28"/>
      <c r="E735" s="29"/>
      <c r="F735" s="29"/>
      <c r="G735" s="29"/>
      <c r="H735" s="28"/>
      <c r="I735" s="29" t="str">
        <f>IF(AND(A735&lt;&gt;"",SUMIF(NESTING!I:I,A735,NESTING!J:J)=G735),"OK","")</f>
        <v/>
      </c>
    </row>
    <row r="736" spans="1:9">
      <c r="A736" s="29"/>
      <c r="B736" s="29"/>
      <c r="C736" s="28"/>
      <c r="D736" s="28"/>
      <c r="E736" s="29"/>
      <c r="F736" s="29"/>
      <c r="G736" s="29"/>
      <c r="H736" s="28"/>
      <c r="I736" s="29" t="str">
        <f>IF(AND(A736&lt;&gt;"",SUMIF(NESTING!I:I,A736,NESTING!J:J)=G736),"OK","")</f>
        <v/>
      </c>
    </row>
    <row r="737" spans="1:9">
      <c r="A737" s="29"/>
      <c r="B737" s="29"/>
      <c r="C737" s="28"/>
      <c r="D737" s="28"/>
      <c r="E737" s="29"/>
      <c r="F737" s="29"/>
      <c r="G737" s="29"/>
      <c r="H737" s="28"/>
      <c r="I737" s="29" t="str">
        <f>IF(AND(A737&lt;&gt;"",SUMIF(NESTING!I:I,A737,NESTING!J:J)=G737),"OK","")</f>
        <v/>
      </c>
    </row>
    <row r="738" spans="1:9">
      <c r="A738" s="29"/>
      <c r="B738" s="29"/>
      <c r="C738" s="28"/>
      <c r="D738" s="28"/>
      <c r="E738" s="29"/>
      <c r="F738" s="29"/>
      <c r="G738" s="29"/>
      <c r="H738" s="28"/>
      <c r="I738" s="29" t="str">
        <f>IF(AND(A738&lt;&gt;"",SUMIF(NESTING!I:I,A738,NESTING!J:J)=G738),"OK","")</f>
        <v/>
      </c>
    </row>
    <row r="739" spans="1:9">
      <c r="A739" s="29"/>
      <c r="B739" s="29"/>
      <c r="C739" s="28"/>
      <c r="D739" s="28"/>
      <c r="E739" s="29"/>
      <c r="F739" s="29"/>
      <c r="G739" s="29"/>
      <c r="H739" s="28"/>
      <c r="I739" s="29" t="str">
        <f>IF(AND(A739&lt;&gt;"",SUMIF(NESTING!I:I,A739,NESTING!J:J)=G739),"OK","")</f>
        <v/>
      </c>
    </row>
    <row r="740" spans="1:9">
      <c r="A740" s="29"/>
      <c r="B740" s="29"/>
      <c r="C740" s="28"/>
      <c r="D740" s="28"/>
      <c r="E740" s="29"/>
      <c r="F740" s="29"/>
      <c r="G740" s="29"/>
      <c r="H740" s="28"/>
      <c r="I740" s="29" t="str">
        <f>IF(AND(A740&lt;&gt;"",SUMIF(NESTING!I:I,A740,NESTING!J:J)=G740),"OK","")</f>
        <v/>
      </c>
    </row>
    <row r="741" spans="1:9">
      <c r="A741" s="29"/>
      <c r="B741" s="29"/>
      <c r="C741" s="28"/>
      <c r="D741" s="28"/>
      <c r="E741" s="29"/>
      <c r="F741" s="29"/>
      <c r="G741" s="29"/>
      <c r="H741" s="28"/>
      <c r="I741" s="29" t="str">
        <f>IF(AND(A741&lt;&gt;"",SUMIF(NESTING!I:I,A741,NESTING!J:J)=G741),"OK","")</f>
        <v/>
      </c>
    </row>
    <row r="742" spans="1:9">
      <c r="A742" s="29"/>
      <c r="B742" s="29"/>
      <c r="C742" s="28"/>
      <c r="D742" s="28"/>
      <c r="E742" s="29"/>
      <c r="F742" s="29"/>
      <c r="G742" s="29"/>
      <c r="H742" s="28"/>
      <c r="I742" s="29" t="str">
        <f>IF(AND(A742&lt;&gt;"",SUMIF(NESTING!I:I,A742,NESTING!J:J)=G742),"OK","")</f>
        <v/>
      </c>
    </row>
    <row r="743" spans="1:9">
      <c r="A743" s="29"/>
      <c r="B743" s="29"/>
      <c r="C743" s="28"/>
      <c r="D743" s="28"/>
      <c r="E743" s="29"/>
      <c r="F743" s="29"/>
      <c r="G743" s="29"/>
      <c r="H743" s="28"/>
      <c r="I743" s="29" t="str">
        <f>IF(AND(A743&lt;&gt;"",SUMIF(NESTING!I:I,A743,NESTING!J:J)=G743),"OK","")</f>
        <v/>
      </c>
    </row>
    <row r="744" spans="1:9">
      <c r="A744" s="29"/>
      <c r="B744" s="29"/>
      <c r="C744" s="28"/>
      <c r="D744" s="28"/>
      <c r="E744" s="29"/>
      <c r="F744" s="29"/>
      <c r="G744" s="29"/>
      <c r="H744" s="28"/>
      <c r="I744" s="29" t="str">
        <f>IF(AND(A744&lt;&gt;"",SUMIF(NESTING!I:I,A744,NESTING!J:J)=G744),"OK","")</f>
        <v/>
      </c>
    </row>
    <row r="745" spans="1:9">
      <c r="A745" s="29"/>
      <c r="B745" s="29"/>
      <c r="C745" s="28"/>
      <c r="D745" s="28"/>
      <c r="E745" s="29"/>
      <c r="F745" s="29"/>
      <c r="G745" s="29"/>
      <c r="H745" s="28"/>
      <c r="I745" s="29" t="str">
        <f>IF(AND(A745&lt;&gt;"",SUMIF(NESTING!I:I,A745,NESTING!J:J)=G745),"OK","")</f>
        <v/>
      </c>
    </row>
    <row r="746" spans="1:9">
      <c r="A746" s="29"/>
      <c r="B746" s="29"/>
      <c r="C746" s="28"/>
      <c r="D746" s="28"/>
      <c r="E746" s="29"/>
      <c r="F746" s="29"/>
      <c r="G746" s="29"/>
      <c r="H746" s="28"/>
      <c r="I746" s="29" t="str">
        <f>IF(AND(A746&lt;&gt;"",SUMIF(NESTING!I:I,A746,NESTING!J:J)=G746),"OK","")</f>
        <v/>
      </c>
    </row>
    <row r="747" spans="1:9">
      <c r="A747" s="29"/>
      <c r="B747" s="29"/>
      <c r="C747" s="28"/>
      <c r="D747" s="28"/>
      <c r="E747" s="29"/>
      <c r="F747" s="29"/>
      <c r="G747" s="29"/>
      <c r="H747" s="28"/>
      <c r="I747" s="29" t="str">
        <f>IF(AND(A747&lt;&gt;"",SUMIF(NESTING!I:I,A747,NESTING!J:J)=G747),"OK","")</f>
        <v/>
      </c>
    </row>
    <row r="748" spans="1:9">
      <c r="A748" s="29"/>
      <c r="B748" s="29"/>
      <c r="C748" s="28"/>
      <c r="D748" s="28"/>
      <c r="E748" s="29"/>
      <c r="F748" s="29"/>
      <c r="G748" s="29"/>
      <c r="H748" s="28"/>
      <c r="I748" s="29" t="str">
        <f>IF(AND(A748&lt;&gt;"",SUMIF(NESTING!I:I,A748,NESTING!J:J)=G748),"OK","")</f>
        <v/>
      </c>
    </row>
    <row r="749" spans="1:9">
      <c r="A749" s="29"/>
      <c r="B749" s="29"/>
      <c r="C749" s="28"/>
      <c r="D749" s="28"/>
      <c r="E749" s="29"/>
      <c r="F749" s="29"/>
      <c r="G749" s="29"/>
      <c r="H749" s="28"/>
      <c r="I749" s="29" t="str">
        <f>IF(AND(A749&lt;&gt;"",SUMIF(NESTING!I:I,A749,NESTING!J:J)=G749),"OK","")</f>
        <v/>
      </c>
    </row>
    <row r="750" spans="1:9">
      <c r="A750" s="29"/>
      <c r="B750" s="29"/>
      <c r="C750" s="28"/>
      <c r="D750" s="28"/>
      <c r="E750" s="29"/>
      <c r="F750" s="29"/>
      <c r="G750" s="29"/>
      <c r="H750" s="28"/>
      <c r="I750" s="29" t="str">
        <f>IF(AND(A750&lt;&gt;"",SUMIF(NESTING!I:I,A750,NESTING!J:J)=G750),"OK","")</f>
        <v/>
      </c>
    </row>
    <row r="751" spans="1:9">
      <c r="A751" s="29"/>
      <c r="B751" s="29"/>
      <c r="C751" s="28"/>
      <c r="D751" s="28"/>
      <c r="E751" s="29"/>
      <c r="F751" s="29"/>
      <c r="G751" s="29"/>
      <c r="H751" s="28"/>
      <c r="I751" s="29" t="str">
        <f>IF(AND(A751&lt;&gt;"",SUMIF(NESTING!I:I,A751,NESTING!J:J)=G751),"OK","")</f>
        <v/>
      </c>
    </row>
    <row r="752" spans="1:9">
      <c r="A752" s="29"/>
      <c r="B752" s="29"/>
      <c r="C752" s="28"/>
      <c r="D752" s="28"/>
      <c r="E752" s="29"/>
      <c r="F752" s="29"/>
      <c r="G752" s="29"/>
      <c r="H752" s="28"/>
      <c r="I752" s="29" t="str">
        <f>IF(AND(A752&lt;&gt;"",SUMIF(NESTING!I:I,A752,NESTING!J:J)=G752),"OK","")</f>
        <v/>
      </c>
    </row>
    <row r="753" spans="1:9">
      <c r="A753" s="29"/>
      <c r="B753" s="29"/>
      <c r="C753" s="28"/>
      <c r="D753" s="28"/>
      <c r="E753" s="29"/>
      <c r="F753" s="29"/>
      <c r="G753" s="29"/>
      <c r="H753" s="28"/>
      <c r="I753" s="29" t="str">
        <f>IF(AND(A753&lt;&gt;"",SUMIF(NESTING!I:I,A753,NESTING!J:J)=G753),"OK","")</f>
        <v/>
      </c>
    </row>
    <row r="754" spans="1:9">
      <c r="A754" s="29"/>
      <c r="B754" s="29"/>
      <c r="C754" s="28"/>
      <c r="D754" s="28"/>
      <c r="E754" s="29"/>
      <c r="F754" s="29"/>
      <c r="G754" s="29"/>
      <c r="H754" s="28"/>
      <c r="I754" s="29" t="str">
        <f>IF(AND(A754&lt;&gt;"",SUMIF(NESTING!I:I,A754,NESTING!J:J)=G754),"OK","")</f>
        <v/>
      </c>
    </row>
    <row r="755" spans="1:9">
      <c r="A755" s="29"/>
      <c r="B755" s="29"/>
      <c r="C755" s="28"/>
      <c r="D755" s="28"/>
      <c r="E755" s="29"/>
      <c r="F755" s="29"/>
      <c r="G755" s="29"/>
      <c r="H755" s="28"/>
      <c r="I755" s="29" t="str">
        <f>IF(AND(A755&lt;&gt;"",SUMIF(NESTING!I:I,A755,NESTING!J:J)=G755),"OK","")</f>
        <v/>
      </c>
    </row>
    <row r="756" spans="1:9">
      <c r="A756" s="29"/>
      <c r="B756" s="29"/>
      <c r="C756" s="28"/>
      <c r="D756" s="28"/>
      <c r="E756" s="29"/>
      <c r="F756" s="29"/>
      <c r="G756" s="29"/>
      <c r="H756" s="28"/>
      <c r="I756" s="29" t="str">
        <f>IF(AND(A756&lt;&gt;"",SUMIF(NESTING!I:I,A756,NESTING!J:J)=G756),"OK","")</f>
        <v/>
      </c>
    </row>
    <row r="757" spans="1:9">
      <c r="A757" s="29"/>
      <c r="B757" s="29"/>
      <c r="C757" s="28"/>
      <c r="D757" s="28"/>
      <c r="E757" s="29"/>
      <c r="F757" s="29"/>
      <c r="G757" s="29"/>
      <c r="H757" s="28"/>
      <c r="I757" s="29" t="str">
        <f>IF(AND(A757&lt;&gt;"",SUMIF(NESTING!I:I,A757,NESTING!J:J)=G757),"OK","")</f>
        <v/>
      </c>
    </row>
    <row r="758" spans="1:9">
      <c r="A758" s="29"/>
      <c r="B758" s="29"/>
      <c r="C758" s="28"/>
      <c r="D758" s="28"/>
      <c r="E758" s="29"/>
      <c r="F758" s="29"/>
      <c r="G758" s="29"/>
      <c r="H758" s="28"/>
      <c r="I758" s="29" t="str">
        <f>IF(AND(A758&lt;&gt;"",SUMIF(NESTING!I:I,A758,NESTING!J:J)=G758),"OK","")</f>
        <v/>
      </c>
    </row>
    <row r="759" spans="1:9">
      <c r="A759" s="29"/>
      <c r="B759" s="29"/>
      <c r="C759" s="28"/>
      <c r="D759" s="28"/>
      <c r="E759" s="29"/>
      <c r="F759" s="29"/>
      <c r="G759" s="29"/>
      <c r="H759" s="28"/>
      <c r="I759" s="29" t="str">
        <f>IF(AND(A759&lt;&gt;"",SUMIF(NESTING!I:I,A759,NESTING!J:J)=G759),"OK","")</f>
        <v/>
      </c>
    </row>
    <row r="760" spans="1:9">
      <c r="A760" s="29"/>
      <c r="B760" s="29"/>
      <c r="C760" s="28"/>
      <c r="D760" s="28"/>
      <c r="E760" s="29"/>
      <c r="F760" s="29"/>
      <c r="G760" s="29"/>
      <c r="H760" s="28"/>
      <c r="I760" s="29" t="str">
        <f>IF(AND(A760&lt;&gt;"",SUMIF(NESTING!I:I,A760,NESTING!J:J)=G760),"OK","")</f>
        <v/>
      </c>
    </row>
    <row r="761" spans="1:9">
      <c r="A761" s="29"/>
      <c r="B761" s="29"/>
      <c r="C761" s="28"/>
      <c r="D761" s="28"/>
      <c r="E761" s="29"/>
      <c r="F761" s="29"/>
      <c r="G761" s="29"/>
      <c r="H761" s="28"/>
      <c r="I761" s="29" t="str">
        <f>IF(AND(A761&lt;&gt;"",SUMIF(NESTING!I:I,A761,NESTING!J:J)=G761),"OK","")</f>
        <v/>
      </c>
    </row>
    <row r="762" spans="1:9">
      <c r="A762" s="29"/>
      <c r="B762" s="29"/>
      <c r="C762" s="28"/>
      <c r="D762" s="28"/>
      <c r="E762" s="29"/>
      <c r="F762" s="29"/>
      <c r="G762" s="29"/>
      <c r="H762" s="28"/>
      <c r="I762" s="29" t="str">
        <f>IF(AND(A762&lt;&gt;"",SUMIF(NESTING!I:I,A762,NESTING!J:J)=G762),"OK","")</f>
        <v/>
      </c>
    </row>
    <row r="763" spans="1:9">
      <c r="A763" s="29"/>
      <c r="B763" s="29"/>
      <c r="C763" s="28"/>
      <c r="D763" s="28"/>
      <c r="E763" s="29"/>
      <c r="F763" s="29"/>
      <c r="G763" s="29"/>
      <c r="H763" s="28"/>
      <c r="I763" s="29" t="str">
        <f>IF(AND(A763&lt;&gt;"",SUMIF(NESTING!I:I,A763,NESTING!J:J)=G763),"OK","")</f>
        <v/>
      </c>
    </row>
    <row r="764" spans="1:9">
      <c r="A764" s="29"/>
      <c r="B764" s="29"/>
      <c r="C764" s="28"/>
      <c r="D764" s="28"/>
      <c r="E764" s="29"/>
      <c r="F764" s="29"/>
      <c r="G764" s="29"/>
      <c r="H764" s="28"/>
      <c r="I764" s="29" t="str">
        <f>IF(AND(A764&lt;&gt;"",SUMIF(NESTING!I:I,A764,NESTING!J:J)=G764),"OK","")</f>
        <v/>
      </c>
    </row>
    <row r="765" spans="1:9">
      <c r="A765" s="29"/>
      <c r="B765" s="29"/>
      <c r="C765" s="28"/>
      <c r="D765" s="28"/>
      <c r="E765" s="29"/>
      <c r="F765" s="29"/>
      <c r="G765" s="29"/>
      <c r="H765" s="28"/>
      <c r="I765" s="29" t="str">
        <f>IF(AND(A765&lt;&gt;"",SUMIF(NESTING!I:I,A765,NESTING!J:J)=G765),"OK","")</f>
        <v/>
      </c>
    </row>
    <row r="766" spans="1:9">
      <c r="A766" s="29"/>
      <c r="B766" s="29"/>
      <c r="C766" s="28"/>
      <c r="D766" s="28"/>
      <c r="E766" s="29"/>
      <c r="F766" s="29"/>
      <c r="G766" s="29"/>
      <c r="H766" s="28"/>
      <c r="I766" s="29" t="str">
        <f>IF(AND(A766&lt;&gt;"",SUMIF(NESTING!I:I,A766,NESTING!J:J)=G766),"OK","")</f>
        <v/>
      </c>
    </row>
    <row r="767" spans="1:9">
      <c r="A767" s="29"/>
      <c r="B767" s="29"/>
      <c r="C767" s="28"/>
      <c r="D767" s="28"/>
      <c r="E767" s="29"/>
      <c r="F767" s="29"/>
      <c r="G767" s="29"/>
      <c r="H767" s="28"/>
      <c r="I767" s="29" t="str">
        <f>IF(AND(A767&lt;&gt;"",SUMIF(NESTING!I:I,A767,NESTING!J:J)=G767),"OK","")</f>
        <v/>
      </c>
    </row>
    <row r="768" spans="1:9">
      <c r="A768" s="29"/>
      <c r="B768" s="29"/>
      <c r="C768" s="28"/>
      <c r="D768" s="28"/>
      <c r="E768" s="29"/>
      <c r="F768" s="29"/>
      <c r="G768" s="29"/>
      <c r="H768" s="28"/>
      <c r="I768" s="29" t="str">
        <f>IF(AND(A768&lt;&gt;"",SUMIF(NESTING!I:I,A768,NESTING!J:J)=G768),"OK","")</f>
        <v/>
      </c>
    </row>
    <row r="769" spans="1:9">
      <c r="A769" s="29"/>
      <c r="B769" s="29"/>
      <c r="C769" s="28"/>
      <c r="D769" s="28"/>
      <c r="E769" s="29"/>
      <c r="F769" s="29"/>
      <c r="G769" s="29"/>
      <c r="H769" s="28"/>
      <c r="I769" s="29" t="str">
        <f>IF(AND(A769&lt;&gt;"",SUMIF(NESTING!I:I,A769,NESTING!J:J)=G769),"OK","")</f>
        <v/>
      </c>
    </row>
    <row r="770" spans="1:9">
      <c r="A770" s="29"/>
      <c r="B770" s="29"/>
      <c r="C770" s="28"/>
      <c r="D770" s="28"/>
      <c r="E770" s="29"/>
      <c r="F770" s="29"/>
      <c r="G770" s="29"/>
      <c r="H770" s="28"/>
      <c r="I770" s="29" t="str">
        <f>IF(AND(A770&lt;&gt;"",SUMIF(NESTING!I:I,A770,NESTING!J:J)=G770),"OK","")</f>
        <v/>
      </c>
    </row>
    <row r="771" spans="1:9">
      <c r="A771" s="29"/>
      <c r="B771" s="29"/>
      <c r="C771" s="28"/>
      <c r="D771" s="28"/>
      <c r="E771" s="29"/>
      <c r="F771" s="29"/>
      <c r="G771" s="29"/>
      <c r="H771" s="28"/>
      <c r="I771" s="29" t="str">
        <f>IF(AND(A771&lt;&gt;"",SUMIF(NESTING!I:I,A771,NESTING!J:J)=G771),"OK","")</f>
        <v/>
      </c>
    </row>
    <row r="772" spans="1:9">
      <c r="A772" s="29"/>
      <c r="B772" s="29"/>
      <c r="C772" s="28"/>
      <c r="D772" s="28"/>
      <c r="E772" s="29"/>
      <c r="F772" s="29"/>
      <c r="G772" s="29"/>
      <c r="H772" s="28"/>
      <c r="I772" s="29" t="str">
        <f>IF(AND(A772&lt;&gt;"",SUMIF(NESTING!I:I,A772,NESTING!J:J)=G772),"OK","")</f>
        <v/>
      </c>
    </row>
    <row r="773" spans="1:9">
      <c r="A773" s="29"/>
      <c r="B773" s="29"/>
      <c r="C773" s="28"/>
      <c r="D773" s="28"/>
      <c r="E773" s="29"/>
      <c r="F773" s="29"/>
      <c r="G773" s="29"/>
      <c r="H773" s="28"/>
      <c r="I773" s="29" t="str">
        <f>IF(AND(A773&lt;&gt;"",SUMIF(NESTING!I:I,A773,NESTING!J:J)=G773),"OK","")</f>
        <v/>
      </c>
    </row>
    <row r="774" spans="1:9">
      <c r="A774" s="29"/>
      <c r="B774" s="29"/>
      <c r="C774" s="28"/>
      <c r="D774" s="28"/>
      <c r="E774" s="29"/>
      <c r="F774" s="29"/>
      <c r="G774" s="29"/>
      <c r="H774" s="28"/>
      <c r="I774" s="29" t="str">
        <f>IF(AND(A774&lt;&gt;"",SUMIF(NESTING!I:I,A774,NESTING!J:J)=G774),"OK","")</f>
        <v/>
      </c>
    </row>
    <row r="775" spans="1:9">
      <c r="A775" s="29"/>
      <c r="B775" s="29"/>
      <c r="C775" s="28"/>
      <c r="D775" s="28"/>
      <c r="E775" s="29"/>
      <c r="F775" s="29"/>
      <c r="G775" s="29"/>
      <c r="H775" s="28"/>
      <c r="I775" s="29" t="str">
        <f>IF(AND(A775&lt;&gt;"",SUMIF(NESTING!I:I,A775,NESTING!J:J)=G775),"OK","")</f>
        <v/>
      </c>
    </row>
    <row r="776" spans="1:9">
      <c r="A776" s="29"/>
      <c r="B776" s="29"/>
      <c r="C776" s="28"/>
      <c r="D776" s="28"/>
      <c r="E776" s="29"/>
      <c r="F776" s="29"/>
      <c r="G776" s="29"/>
      <c r="H776" s="28"/>
      <c r="I776" s="29" t="str">
        <f>IF(AND(A776&lt;&gt;"",SUMIF(NESTING!I:I,A776,NESTING!J:J)=G776),"OK","")</f>
        <v/>
      </c>
    </row>
    <row r="777" spans="1:9">
      <c r="A777" s="29"/>
      <c r="B777" s="29"/>
      <c r="C777" s="28"/>
      <c r="D777" s="28"/>
      <c r="E777" s="29"/>
      <c r="F777" s="29"/>
      <c r="G777" s="29"/>
      <c r="H777" s="28"/>
      <c r="I777" s="29" t="str">
        <f>IF(AND(A777&lt;&gt;"",SUMIF(NESTING!I:I,A777,NESTING!J:J)=G777),"OK","")</f>
        <v/>
      </c>
    </row>
    <row r="778" spans="1:9">
      <c r="A778" s="29"/>
      <c r="B778" s="29"/>
      <c r="C778" s="28"/>
      <c r="D778" s="28"/>
      <c r="E778" s="29"/>
      <c r="F778" s="29"/>
      <c r="G778" s="29"/>
      <c r="H778" s="28"/>
      <c r="I778" s="29" t="str">
        <f>IF(AND(A778&lt;&gt;"",SUMIF(NESTING!I:I,A778,NESTING!J:J)=G778),"OK","")</f>
        <v/>
      </c>
    </row>
    <row r="779" spans="1:9">
      <c r="A779" s="29"/>
      <c r="B779" s="29"/>
      <c r="C779" s="28"/>
      <c r="D779" s="28"/>
      <c r="E779" s="29"/>
      <c r="F779" s="29"/>
      <c r="G779" s="29"/>
      <c r="H779" s="28"/>
      <c r="I779" s="29" t="str">
        <f>IF(AND(A779&lt;&gt;"",SUMIF(NESTING!I:I,A779,NESTING!J:J)=G779),"OK","")</f>
        <v/>
      </c>
    </row>
    <row r="780" spans="1:9">
      <c r="A780" s="29"/>
      <c r="B780" s="29"/>
      <c r="C780" s="28"/>
      <c r="D780" s="28"/>
      <c r="E780" s="29"/>
      <c r="F780" s="29"/>
      <c r="G780" s="29"/>
      <c r="H780" s="28"/>
      <c r="I780" s="29" t="str">
        <f>IF(AND(A780&lt;&gt;"",SUMIF(NESTING!I:I,A780,NESTING!J:J)=G780),"OK","")</f>
        <v/>
      </c>
    </row>
    <row r="781" spans="1:9">
      <c r="A781" s="29"/>
      <c r="B781" s="29"/>
      <c r="C781" s="28"/>
      <c r="D781" s="28"/>
      <c r="E781" s="29"/>
      <c r="F781" s="29"/>
      <c r="G781" s="29"/>
      <c r="H781" s="28"/>
      <c r="I781" s="29" t="str">
        <f>IF(AND(A781&lt;&gt;"",SUMIF(NESTING!I:I,A781,NESTING!J:J)=G781),"OK","")</f>
        <v/>
      </c>
    </row>
    <row r="782" spans="1:9">
      <c r="A782" s="29"/>
      <c r="B782" s="29"/>
      <c r="C782" s="28"/>
      <c r="D782" s="28"/>
      <c r="E782" s="29"/>
      <c r="F782" s="29"/>
      <c r="G782" s="29"/>
      <c r="H782" s="28"/>
      <c r="I782" s="29" t="str">
        <f>IF(AND(A782&lt;&gt;"",SUMIF(NESTING!I:I,A782,NESTING!J:J)=G782),"OK","")</f>
        <v/>
      </c>
    </row>
    <row r="783" spans="1:9">
      <c r="A783" s="29"/>
      <c r="B783" s="29"/>
      <c r="C783" s="28"/>
      <c r="D783" s="28"/>
      <c r="E783" s="29"/>
      <c r="F783" s="29"/>
      <c r="G783" s="29"/>
      <c r="H783" s="28"/>
      <c r="I783" s="29" t="str">
        <f>IF(AND(A783&lt;&gt;"",SUMIF(NESTING!I:I,A783,NESTING!J:J)=G783),"OK","")</f>
        <v/>
      </c>
    </row>
    <row r="784" spans="1:9">
      <c r="A784" s="29"/>
      <c r="B784" s="29"/>
      <c r="C784" s="28"/>
      <c r="D784" s="28"/>
      <c r="E784" s="29"/>
      <c r="F784" s="29"/>
      <c r="G784" s="29"/>
      <c r="H784" s="28"/>
      <c r="I784" s="29" t="str">
        <f>IF(AND(A784&lt;&gt;"",SUMIF(NESTING!I:I,A784,NESTING!J:J)=G784),"OK","")</f>
        <v/>
      </c>
    </row>
    <row r="785" spans="1:9">
      <c r="A785" s="29"/>
      <c r="B785" s="29"/>
      <c r="C785" s="28"/>
      <c r="D785" s="28"/>
      <c r="E785" s="29"/>
      <c r="F785" s="29"/>
      <c r="G785" s="29"/>
      <c r="H785" s="28"/>
      <c r="I785" s="29" t="str">
        <f>IF(AND(A785&lt;&gt;"",SUMIF(NESTING!I:I,A785,NESTING!J:J)=G785),"OK","")</f>
        <v/>
      </c>
    </row>
    <row r="786" spans="1:9">
      <c r="A786" s="29"/>
      <c r="B786" s="29"/>
      <c r="C786" s="28"/>
      <c r="D786" s="28"/>
      <c r="E786" s="29"/>
      <c r="F786" s="29"/>
      <c r="G786" s="29"/>
      <c r="H786" s="28"/>
      <c r="I786" s="29" t="str">
        <f>IF(AND(A786&lt;&gt;"",SUMIF(NESTING!I:I,A786,NESTING!J:J)=G786),"OK","")</f>
        <v/>
      </c>
    </row>
    <row r="787" spans="1:9">
      <c r="A787" s="29"/>
      <c r="B787" s="29"/>
      <c r="C787" s="28"/>
      <c r="D787" s="28"/>
      <c r="E787" s="29"/>
      <c r="F787" s="29"/>
      <c r="G787" s="29"/>
      <c r="H787" s="28"/>
      <c r="I787" s="29" t="str">
        <f>IF(AND(A787&lt;&gt;"",SUMIF(NESTING!I:I,A787,NESTING!J:J)=G787),"OK","")</f>
        <v/>
      </c>
    </row>
    <row r="788" spans="1:9">
      <c r="A788" s="29"/>
      <c r="B788" s="29"/>
      <c r="C788" s="28"/>
      <c r="D788" s="28"/>
      <c r="E788" s="29"/>
      <c r="F788" s="29"/>
      <c r="G788" s="29"/>
      <c r="H788" s="28"/>
      <c r="I788" s="29" t="str">
        <f>IF(AND(A788&lt;&gt;"",SUMIF(NESTING!I:I,A788,NESTING!J:J)=G788),"OK","")</f>
        <v/>
      </c>
    </row>
    <row r="789" spans="1:9">
      <c r="A789" s="29"/>
      <c r="B789" s="29"/>
      <c r="C789" s="28"/>
      <c r="D789" s="28"/>
      <c r="E789" s="29"/>
      <c r="F789" s="29"/>
      <c r="G789" s="29"/>
      <c r="H789" s="28"/>
      <c r="I789" s="29" t="str">
        <f>IF(AND(A789&lt;&gt;"",SUMIF(NESTING!I:I,A789,NESTING!J:J)=G789),"OK","")</f>
        <v/>
      </c>
    </row>
    <row r="790" spans="1:9">
      <c r="A790" s="29"/>
      <c r="B790" s="29"/>
      <c r="C790" s="28"/>
      <c r="D790" s="28"/>
      <c r="E790" s="29"/>
      <c r="F790" s="29"/>
      <c r="G790" s="29"/>
      <c r="H790" s="28"/>
      <c r="I790" s="29" t="str">
        <f>IF(AND(A790&lt;&gt;"",SUMIF(NESTING!I:I,A790,NESTING!J:J)=G790),"OK","")</f>
        <v/>
      </c>
    </row>
    <row r="791" spans="1:9">
      <c r="A791" s="29"/>
      <c r="B791" s="29"/>
      <c r="C791" s="28"/>
      <c r="D791" s="28"/>
      <c r="E791" s="29"/>
      <c r="F791" s="29"/>
      <c r="G791" s="29"/>
      <c r="H791" s="28"/>
      <c r="I791" s="29" t="str">
        <f>IF(AND(A791&lt;&gt;"",SUMIF(NESTING!I:I,A791,NESTING!J:J)=G791),"OK","")</f>
        <v/>
      </c>
    </row>
    <row r="792" spans="1:9">
      <c r="A792" s="29"/>
      <c r="B792" s="29"/>
      <c r="C792" s="28"/>
      <c r="D792" s="28"/>
      <c r="E792" s="29"/>
      <c r="F792" s="29"/>
      <c r="G792" s="29"/>
      <c r="H792" s="28"/>
      <c r="I792" s="29" t="str">
        <f>IF(AND(A792&lt;&gt;"",SUMIF(NESTING!I:I,A792,NESTING!J:J)=G792),"OK","")</f>
        <v/>
      </c>
    </row>
    <row r="793" spans="1:9">
      <c r="A793" s="29"/>
      <c r="B793" s="29"/>
      <c r="C793" s="28"/>
      <c r="D793" s="28"/>
      <c r="E793" s="29"/>
      <c r="F793" s="29"/>
      <c r="G793" s="29"/>
      <c r="H793" s="28"/>
      <c r="I793" s="29" t="str">
        <f>IF(AND(A793&lt;&gt;"",SUMIF(NESTING!I:I,A793,NESTING!J:J)=G793),"OK","")</f>
        <v/>
      </c>
    </row>
    <row r="794" spans="1:9">
      <c r="A794" s="29"/>
      <c r="B794" s="29"/>
      <c r="C794" s="28"/>
      <c r="D794" s="28"/>
      <c r="E794" s="29"/>
      <c r="F794" s="29"/>
      <c r="G794" s="29"/>
      <c r="H794" s="28"/>
      <c r="I794" s="29" t="str">
        <f>IF(AND(A794&lt;&gt;"",SUMIF(NESTING!I:I,A794,NESTING!J:J)=G794),"OK","")</f>
        <v/>
      </c>
    </row>
    <row r="795" spans="1:9">
      <c r="A795" s="29"/>
      <c r="B795" s="29"/>
      <c r="C795" s="28"/>
      <c r="D795" s="28"/>
      <c r="E795" s="29"/>
      <c r="F795" s="29"/>
      <c r="G795" s="29"/>
      <c r="H795" s="28"/>
      <c r="I795" s="29" t="str">
        <f>IF(AND(A795&lt;&gt;"",SUMIF(NESTING!I:I,A795,NESTING!J:J)=G795),"OK","")</f>
        <v/>
      </c>
    </row>
    <row r="796" spans="1:9">
      <c r="A796" s="29"/>
      <c r="B796" s="29"/>
      <c r="C796" s="28"/>
      <c r="D796" s="28"/>
      <c r="E796" s="29"/>
      <c r="F796" s="29"/>
      <c r="G796" s="29"/>
      <c r="H796" s="28"/>
      <c r="I796" s="29" t="str">
        <f>IF(AND(A796&lt;&gt;"",SUMIF(NESTING!I:I,A796,NESTING!J:J)=G796),"OK","")</f>
        <v/>
      </c>
    </row>
    <row r="797" spans="1:9">
      <c r="A797" s="29"/>
      <c r="B797" s="29"/>
      <c r="C797" s="28"/>
      <c r="D797" s="28"/>
      <c r="E797" s="29"/>
      <c r="F797" s="29"/>
      <c r="G797" s="29"/>
      <c r="H797" s="28"/>
      <c r="I797" s="29" t="str">
        <f>IF(AND(A797&lt;&gt;"",SUMIF(NESTING!I:I,A797,NESTING!J:J)=G797),"OK","")</f>
        <v/>
      </c>
    </row>
    <row r="798" spans="1:9">
      <c r="A798" s="29"/>
      <c r="B798" s="29"/>
      <c r="C798" s="28"/>
      <c r="D798" s="28"/>
      <c r="E798" s="29"/>
      <c r="F798" s="29"/>
      <c r="G798" s="29"/>
      <c r="H798" s="28"/>
      <c r="I798" s="29" t="str">
        <f>IF(AND(A798&lt;&gt;"",SUMIF(NESTING!I:I,A798,NESTING!J:J)=G798),"OK","")</f>
        <v/>
      </c>
    </row>
    <row r="799" spans="1:9">
      <c r="A799" s="29"/>
      <c r="B799" s="29"/>
      <c r="C799" s="28"/>
      <c r="D799" s="28"/>
      <c r="E799" s="29"/>
      <c r="F799" s="29"/>
      <c r="G799" s="29"/>
      <c r="H799" s="28"/>
      <c r="I799" s="29" t="str">
        <f>IF(AND(A799&lt;&gt;"",SUMIF(NESTING!I:I,A799,NESTING!J:J)=G799),"OK","")</f>
        <v/>
      </c>
    </row>
    <row r="800" spans="1:9">
      <c r="A800" s="29"/>
      <c r="B800" s="29"/>
      <c r="C800" s="28"/>
      <c r="D800" s="28"/>
      <c r="E800" s="29"/>
      <c r="F800" s="29"/>
      <c r="G800" s="29"/>
      <c r="H800" s="28"/>
      <c r="I800" s="29" t="str">
        <f>IF(AND(A800&lt;&gt;"",SUMIF(NESTING!I:I,A800,NESTING!J:J)=G800),"OK","")</f>
        <v/>
      </c>
    </row>
    <row r="801" spans="1:9">
      <c r="A801" s="29"/>
      <c r="B801" s="29"/>
      <c r="C801" s="28"/>
      <c r="D801" s="28"/>
      <c r="E801" s="29"/>
      <c r="F801" s="29"/>
      <c r="G801" s="29"/>
      <c r="H801" s="28"/>
      <c r="I801" s="29" t="str">
        <f>IF(AND(A801&lt;&gt;"",SUMIF(NESTING!I:I,A801,NESTING!J:J)=G801),"OK","")</f>
        <v/>
      </c>
    </row>
    <row r="802" spans="1:9">
      <c r="A802" s="29"/>
      <c r="B802" s="29"/>
      <c r="C802" s="28"/>
      <c r="D802" s="28"/>
      <c r="E802" s="29"/>
      <c r="F802" s="29"/>
      <c r="G802" s="29"/>
      <c r="H802" s="28"/>
      <c r="I802" s="29" t="str">
        <f>IF(AND(A802&lt;&gt;"",SUMIF(NESTING!I:I,A802,NESTING!J:J)=G802),"OK","")</f>
        <v/>
      </c>
    </row>
    <row r="803" spans="1:9">
      <c r="A803" s="29"/>
      <c r="B803" s="29"/>
      <c r="C803" s="28"/>
      <c r="D803" s="28"/>
      <c r="E803" s="29"/>
      <c r="F803" s="29"/>
      <c r="G803" s="29"/>
      <c r="H803" s="28"/>
      <c r="I803" s="29" t="str">
        <f>IF(AND(A803&lt;&gt;"",SUMIF(NESTING!I:I,A803,NESTING!J:J)=G803),"OK","")</f>
        <v/>
      </c>
    </row>
    <row r="804" spans="1:9">
      <c r="A804" s="29"/>
      <c r="B804" s="29"/>
      <c r="C804" s="28"/>
      <c r="D804" s="28"/>
      <c r="E804" s="29"/>
      <c r="F804" s="29"/>
      <c r="G804" s="29"/>
      <c r="H804" s="28"/>
      <c r="I804" s="29" t="str">
        <f>IF(AND(A804&lt;&gt;"",SUMIF(NESTING!I:I,A804,NESTING!J:J)=G804),"OK","")</f>
        <v/>
      </c>
    </row>
    <row r="805" spans="1:9">
      <c r="A805" s="29"/>
      <c r="B805" s="29"/>
      <c r="C805" s="28"/>
      <c r="D805" s="28"/>
      <c r="E805" s="29"/>
      <c r="F805" s="29"/>
      <c r="G805" s="29"/>
      <c r="H805" s="28"/>
      <c r="I805" s="29" t="str">
        <f>IF(AND(A805&lt;&gt;"",SUMIF(NESTING!I:I,A805,NESTING!J:J)=G805),"OK","")</f>
        <v/>
      </c>
    </row>
    <row r="806" spans="1:9">
      <c r="A806" s="29"/>
      <c r="B806" s="29"/>
      <c r="C806" s="28"/>
      <c r="D806" s="28"/>
      <c r="E806" s="29"/>
      <c r="F806" s="29"/>
      <c r="G806" s="29"/>
      <c r="H806" s="28"/>
      <c r="I806" s="29" t="str">
        <f>IF(AND(A806&lt;&gt;"",SUMIF(NESTING!I:I,A806,NESTING!J:J)=G806),"OK","")</f>
        <v/>
      </c>
    </row>
    <row r="807" spans="1:9">
      <c r="A807" s="29"/>
      <c r="B807" s="29"/>
      <c r="C807" s="28"/>
      <c r="D807" s="28"/>
      <c r="E807" s="29"/>
      <c r="F807" s="29"/>
      <c r="G807" s="29"/>
      <c r="H807" s="28"/>
      <c r="I807" s="29" t="str">
        <f>IF(AND(A807&lt;&gt;"",SUMIF(NESTING!I:I,A807,NESTING!J:J)=G807),"OK","")</f>
        <v/>
      </c>
    </row>
    <row r="808" spans="1:9">
      <c r="A808" s="29"/>
      <c r="B808" s="29"/>
      <c r="C808" s="28"/>
      <c r="D808" s="28"/>
      <c r="E808" s="29"/>
      <c r="F808" s="29"/>
      <c r="G808" s="29"/>
      <c r="H808" s="28"/>
      <c r="I808" s="29" t="str">
        <f>IF(AND(A808&lt;&gt;"",SUMIF(NESTING!I:I,A808,NESTING!J:J)=G808),"OK","")</f>
        <v/>
      </c>
    </row>
    <row r="809" spans="1:9">
      <c r="A809" s="29"/>
      <c r="B809" s="29"/>
      <c r="C809" s="28"/>
      <c r="D809" s="28"/>
      <c r="E809" s="29"/>
      <c r="F809" s="29"/>
      <c r="G809" s="29"/>
      <c r="H809" s="28"/>
      <c r="I809" s="29" t="str">
        <f>IF(AND(A809&lt;&gt;"",SUMIF(NESTING!I:I,A809,NESTING!J:J)=G809),"OK","")</f>
        <v/>
      </c>
    </row>
    <row r="810" spans="1:9">
      <c r="A810" s="29"/>
      <c r="B810" s="29"/>
      <c r="C810" s="28"/>
      <c r="D810" s="28"/>
      <c r="E810" s="29"/>
      <c r="F810" s="29"/>
      <c r="G810" s="29"/>
      <c r="H810" s="28"/>
      <c r="I810" s="29" t="str">
        <f>IF(AND(A810&lt;&gt;"",SUMIF(NESTING!I:I,A810,NESTING!J:J)=G810),"OK","")</f>
        <v/>
      </c>
    </row>
    <row r="811" spans="1:9">
      <c r="A811" s="29"/>
      <c r="B811" s="29"/>
      <c r="C811" s="28"/>
      <c r="D811" s="28"/>
      <c r="E811" s="29"/>
      <c r="F811" s="29"/>
      <c r="G811" s="29"/>
      <c r="H811" s="28"/>
      <c r="I811" s="29" t="str">
        <f>IF(AND(A811&lt;&gt;"",SUMIF(NESTING!I:I,A811,NESTING!J:J)=G811),"OK","")</f>
        <v/>
      </c>
    </row>
    <row r="812" spans="1:9">
      <c r="A812" s="29"/>
      <c r="B812" s="29"/>
      <c r="C812" s="28"/>
      <c r="D812" s="28"/>
      <c r="E812" s="29"/>
      <c r="F812" s="29"/>
      <c r="G812" s="29"/>
      <c r="H812" s="28"/>
      <c r="I812" s="29" t="str">
        <f>IF(AND(A812&lt;&gt;"",SUMIF(NESTING!I:I,A812,NESTING!J:J)=G812),"OK","")</f>
        <v/>
      </c>
    </row>
    <row r="813" spans="1:9">
      <c r="A813" s="29"/>
      <c r="B813" s="29"/>
      <c r="C813" s="28"/>
      <c r="D813" s="28"/>
      <c r="E813" s="29"/>
      <c r="F813" s="29"/>
      <c r="G813" s="29"/>
      <c r="H813" s="28"/>
      <c r="I813" s="29" t="str">
        <f>IF(AND(A813&lt;&gt;"",SUMIF(NESTING!I:I,A813,NESTING!J:J)=G813),"OK","")</f>
        <v/>
      </c>
    </row>
    <row r="814" spans="1:9">
      <c r="A814" s="29"/>
      <c r="B814" s="29"/>
      <c r="C814" s="28"/>
      <c r="D814" s="28"/>
      <c r="E814" s="29"/>
      <c r="F814" s="29"/>
      <c r="G814" s="29"/>
      <c r="H814" s="28"/>
      <c r="I814" s="29" t="str">
        <f>IF(AND(A814&lt;&gt;"",SUMIF(NESTING!I:I,A814,NESTING!J:J)=G814),"OK","")</f>
        <v/>
      </c>
    </row>
    <row r="815" spans="1:9">
      <c r="A815" s="29"/>
      <c r="B815" s="29"/>
      <c r="C815" s="28"/>
      <c r="D815" s="28"/>
      <c r="E815" s="29"/>
      <c r="F815" s="29"/>
      <c r="G815" s="29"/>
      <c r="H815" s="28"/>
      <c r="I815" s="29" t="str">
        <f>IF(AND(A815&lt;&gt;"",SUMIF(NESTING!I:I,A815,NESTING!J:J)=G815),"OK","")</f>
        <v/>
      </c>
    </row>
    <row r="816" spans="1:9">
      <c r="A816" s="29"/>
      <c r="B816" s="29"/>
      <c r="C816" s="28"/>
      <c r="D816" s="28"/>
      <c r="E816" s="29"/>
      <c r="F816" s="29"/>
      <c r="G816" s="29"/>
      <c r="H816" s="28"/>
      <c r="I816" s="29" t="str">
        <f>IF(AND(A816&lt;&gt;"",SUMIF(NESTING!I:I,A816,NESTING!J:J)=G816),"OK","")</f>
        <v/>
      </c>
    </row>
    <row r="817" spans="1:9">
      <c r="A817" s="29"/>
      <c r="B817" s="29"/>
      <c r="C817" s="28"/>
      <c r="D817" s="28"/>
      <c r="E817" s="29"/>
      <c r="F817" s="29"/>
      <c r="G817" s="29"/>
      <c r="H817" s="28"/>
      <c r="I817" s="29" t="str">
        <f>IF(AND(A817&lt;&gt;"",SUMIF(NESTING!I:I,A817,NESTING!J:J)=G817),"OK","")</f>
        <v/>
      </c>
    </row>
    <row r="818" spans="1:9">
      <c r="A818" s="29"/>
      <c r="B818" s="29"/>
      <c r="C818" s="28"/>
      <c r="D818" s="28"/>
      <c r="E818" s="29"/>
      <c r="F818" s="29"/>
      <c r="G818" s="29"/>
      <c r="H818" s="28"/>
      <c r="I818" s="29" t="str">
        <f>IF(AND(A818&lt;&gt;"",SUMIF(NESTING!I:I,A818,NESTING!J:J)=G818),"OK","")</f>
        <v/>
      </c>
    </row>
    <row r="819" spans="1:9">
      <c r="A819" s="29"/>
      <c r="B819" s="29"/>
      <c r="C819" s="28"/>
      <c r="D819" s="28"/>
      <c r="E819" s="29"/>
      <c r="F819" s="29"/>
      <c r="G819" s="29"/>
      <c r="H819" s="28"/>
      <c r="I819" s="29" t="str">
        <f>IF(AND(A819&lt;&gt;"",SUMIF(NESTING!I:I,A819,NESTING!J:J)=G819),"OK","")</f>
        <v/>
      </c>
    </row>
    <row r="820" spans="1:9">
      <c r="A820" s="29"/>
      <c r="B820" s="29"/>
      <c r="C820" s="28"/>
      <c r="D820" s="28"/>
      <c r="E820" s="29"/>
      <c r="F820" s="29"/>
      <c r="G820" s="29"/>
      <c r="H820" s="28"/>
      <c r="I820" s="29" t="str">
        <f>IF(AND(A820&lt;&gt;"",SUMIF(NESTING!I:I,A820,NESTING!J:J)=G820),"OK","")</f>
        <v/>
      </c>
    </row>
    <row r="821" spans="1:9">
      <c r="A821" s="29"/>
      <c r="B821" s="29"/>
      <c r="C821" s="28"/>
      <c r="D821" s="28"/>
      <c r="E821" s="29"/>
      <c r="F821" s="29"/>
      <c r="G821" s="29"/>
      <c r="H821" s="28"/>
      <c r="I821" s="29" t="str">
        <f>IF(AND(A821&lt;&gt;"",SUMIF(NESTING!I:I,A821,NESTING!J:J)=G821),"OK","")</f>
        <v/>
      </c>
    </row>
    <row r="822" spans="1:9">
      <c r="A822" s="29"/>
      <c r="B822" s="29"/>
      <c r="C822" s="28"/>
      <c r="D822" s="28"/>
      <c r="E822" s="29"/>
      <c r="F822" s="29"/>
      <c r="G822" s="29"/>
      <c r="H822" s="28"/>
      <c r="I822" s="29" t="str">
        <f>IF(AND(A822&lt;&gt;"",SUMIF(NESTING!I:I,A822,NESTING!J:J)=G822),"OK","")</f>
        <v/>
      </c>
    </row>
    <row r="823" spans="1:9">
      <c r="A823" s="29"/>
      <c r="B823" s="29"/>
      <c r="C823" s="28"/>
      <c r="D823" s="28"/>
      <c r="E823" s="29"/>
      <c r="F823" s="29"/>
      <c r="G823" s="29"/>
      <c r="H823" s="28"/>
      <c r="I823" s="29" t="str">
        <f>IF(AND(A823&lt;&gt;"",SUMIF(NESTING!I:I,A823,NESTING!J:J)=G823),"OK","")</f>
        <v/>
      </c>
    </row>
    <row r="824" spans="1:9">
      <c r="A824" s="29"/>
      <c r="B824" s="29"/>
      <c r="C824" s="28"/>
      <c r="D824" s="28"/>
      <c r="E824" s="29"/>
      <c r="F824" s="29"/>
      <c r="G824" s="29"/>
      <c r="H824" s="28"/>
      <c r="I824" s="29" t="str">
        <f>IF(AND(A824&lt;&gt;"",SUMIF(NESTING!I:I,A824,NESTING!J:J)=G824),"OK","")</f>
        <v/>
      </c>
    </row>
    <row r="825" spans="1:9">
      <c r="A825" s="29"/>
      <c r="B825" s="29"/>
      <c r="C825" s="28"/>
      <c r="D825" s="28"/>
      <c r="E825" s="29"/>
      <c r="F825" s="29"/>
      <c r="G825" s="29"/>
      <c r="H825" s="28"/>
      <c r="I825" s="29" t="str">
        <f>IF(AND(A825&lt;&gt;"",SUMIF(NESTING!I:I,A825,NESTING!J:J)=G825),"OK","")</f>
        <v/>
      </c>
    </row>
    <row r="826" spans="1:9">
      <c r="A826" s="29"/>
      <c r="B826" s="29"/>
      <c r="C826" s="28"/>
      <c r="D826" s="28"/>
      <c r="E826" s="29"/>
      <c r="F826" s="29"/>
      <c r="G826" s="29"/>
      <c r="H826" s="28"/>
      <c r="I826" s="29" t="str">
        <f>IF(AND(A826&lt;&gt;"",SUMIF(NESTING!I:I,A826,NESTING!J:J)=G826),"OK","")</f>
        <v/>
      </c>
    </row>
    <row r="827" spans="1:9">
      <c r="A827" s="29"/>
      <c r="B827" s="29"/>
      <c r="C827" s="28"/>
      <c r="D827" s="28"/>
      <c r="E827" s="29"/>
      <c r="F827" s="29"/>
      <c r="G827" s="29"/>
      <c r="H827" s="28"/>
      <c r="I827" s="29" t="str">
        <f>IF(AND(A827&lt;&gt;"",SUMIF(NESTING!I:I,A827,NESTING!J:J)=G827),"OK","")</f>
        <v/>
      </c>
    </row>
    <row r="828" spans="1:9">
      <c r="A828" s="29"/>
      <c r="B828" s="29"/>
      <c r="C828" s="28"/>
      <c r="D828" s="28"/>
      <c r="E828" s="29"/>
      <c r="F828" s="29"/>
      <c r="G828" s="29"/>
      <c r="H828" s="28"/>
      <c r="I828" s="29" t="str">
        <f>IF(AND(A828&lt;&gt;"",SUMIF(NESTING!I:I,A828,NESTING!J:J)=G828),"OK","")</f>
        <v/>
      </c>
    </row>
    <row r="829" spans="1:9">
      <c r="A829" s="29"/>
      <c r="B829" s="29"/>
      <c r="C829" s="28"/>
      <c r="D829" s="28"/>
      <c r="E829" s="29"/>
      <c r="F829" s="29"/>
      <c r="G829" s="29"/>
      <c r="H829" s="28"/>
      <c r="I829" s="29" t="str">
        <f>IF(AND(A829&lt;&gt;"",SUMIF(NESTING!I:I,A829,NESTING!J:J)=G829),"OK","")</f>
        <v/>
      </c>
    </row>
    <row r="830" spans="1:9">
      <c r="A830" s="29"/>
      <c r="B830" s="29"/>
      <c r="C830" s="28"/>
      <c r="D830" s="28"/>
      <c r="E830" s="29"/>
      <c r="F830" s="29"/>
      <c r="G830" s="29"/>
      <c r="H830" s="28"/>
      <c r="I830" s="29" t="str">
        <f>IF(AND(A830&lt;&gt;"",SUMIF(NESTING!I:I,A830,NESTING!J:J)=G830),"OK","")</f>
        <v/>
      </c>
    </row>
    <row r="831" spans="1:9">
      <c r="A831" s="29"/>
      <c r="B831" s="29"/>
      <c r="C831" s="28"/>
      <c r="D831" s="28"/>
      <c r="E831" s="29"/>
      <c r="F831" s="29"/>
      <c r="G831" s="29"/>
      <c r="H831" s="28"/>
      <c r="I831" s="29" t="str">
        <f>IF(AND(A831&lt;&gt;"",SUMIF(NESTING!I:I,A831,NESTING!J:J)=G831),"OK","")</f>
        <v/>
      </c>
    </row>
    <row r="832" spans="1:9">
      <c r="A832" s="29"/>
      <c r="B832" s="29"/>
      <c r="C832" s="28"/>
      <c r="D832" s="28"/>
      <c r="E832" s="29"/>
      <c r="F832" s="29"/>
      <c r="G832" s="29"/>
      <c r="H832" s="28"/>
      <c r="I832" s="29" t="str">
        <f>IF(AND(A832&lt;&gt;"",SUMIF(NESTING!I:I,A832,NESTING!J:J)=G832),"OK","")</f>
        <v/>
      </c>
    </row>
    <row r="833" spans="1:9">
      <c r="A833" s="29"/>
      <c r="B833" s="29"/>
      <c r="C833" s="28"/>
      <c r="D833" s="28"/>
      <c r="E833" s="29"/>
      <c r="F833" s="29"/>
      <c r="G833" s="29"/>
      <c r="H833" s="28"/>
      <c r="I833" s="29" t="str">
        <f>IF(AND(A833&lt;&gt;"",SUMIF(NESTING!I:I,A833,NESTING!J:J)=G833),"OK","")</f>
        <v/>
      </c>
    </row>
    <row r="834" spans="1:9">
      <c r="A834" s="29"/>
      <c r="B834" s="29"/>
      <c r="C834" s="28"/>
      <c r="D834" s="28"/>
      <c r="E834" s="29"/>
      <c r="F834" s="29"/>
      <c r="G834" s="29"/>
      <c r="H834" s="28"/>
      <c r="I834" s="29" t="str">
        <f>IF(AND(A834&lt;&gt;"",SUMIF(NESTING!I:I,A834,NESTING!J:J)=G834),"OK","")</f>
        <v/>
      </c>
    </row>
    <row r="835" spans="1:9">
      <c r="A835" s="29"/>
      <c r="B835" s="29"/>
      <c r="C835" s="28"/>
      <c r="D835" s="28"/>
      <c r="E835" s="29"/>
      <c r="F835" s="29"/>
      <c r="G835" s="29"/>
      <c r="H835" s="28"/>
      <c r="I835" s="29" t="str">
        <f>IF(AND(A835&lt;&gt;"",SUMIF(NESTING!I:I,A835,NESTING!J:J)=G835),"OK","")</f>
        <v/>
      </c>
    </row>
    <row r="836" spans="1:9">
      <c r="A836" s="29"/>
      <c r="B836" s="29"/>
      <c r="C836" s="28"/>
      <c r="D836" s="28"/>
      <c r="E836" s="29"/>
      <c r="F836" s="29"/>
      <c r="G836" s="29"/>
      <c r="H836" s="28"/>
      <c r="I836" s="29" t="str">
        <f>IF(AND(A836&lt;&gt;"",SUMIF(NESTING!I:I,A836,NESTING!J:J)=G836),"OK","")</f>
        <v/>
      </c>
    </row>
    <row r="837" spans="1:9">
      <c r="A837" s="29"/>
      <c r="B837" s="29"/>
      <c r="C837" s="28"/>
      <c r="D837" s="28"/>
      <c r="E837" s="29"/>
      <c r="F837" s="29"/>
      <c r="G837" s="29"/>
      <c r="H837" s="28"/>
      <c r="I837" s="29" t="str">
        <f>IF(AND(A837&lt;&gt;"",SUMIF(NESTING!I:I,A837,NESTING!J:J)=G837),"OK","")</f>
        <v/>
      </c>
    </row>
    <row r="838" spans="1:9">
      <c r="A838" s="29"/>
      <c r="B838" s="29"/>
      <c r="C838" s="28"/>
      <c r="D838" s="28"/>
      <c r="E838" s="29"/>
      <c r="F838" s="29"/>
      <c r="G838" s="29"/>
      <c r="H838" s="28"/>
      <c r="I838" s="29" t="str">
        <f>IF(AND(A838&lt;&gt;"",SUMIF(NESTING!I:I,A838,NESTING!J:J)=G838),"OK","")</f>
        <v/>
      </c>
    </row>
    <row r="839" spans="1:9">
      <c r="A839" s="29"/>
      <c r="B839" s="29"/>
      <c r="C839" s="28"/>
      <c r="D839" s="28"/>
      <c r="E839" s="29"/>
      <c r="F839" s="29"/>
      <c r="G839" s="29"/>
      <c r="H839" s="28"/>
      <c r="I839" s="29" t="str">
        <f>IF(AND(A839&lt;&gt;"",SUMIF(NESTING!I:I,A839,NESTING!J:J)=G839),"OK","")</f>
        <v/>
      </c>
    </row>
    <row r="840" spans="1:9">
      <c r="A840" s="29"/>
      <c r="B840" s="29"/>
      <c r="C840" s="28"/>
      <c r="D840" s="28"/>
      <c r="E840" s="29"/>
      <c r="F840" s="29"/>
      <c r="G840" s="29"/>
      <c r="H840" s="28"/>
      <c r="I840" s="29" t="str">
        <f>IF(AND(A840&lt;&gt;"",SUMIF(NESTING!I:I,A840,NESTING!J:J)=G840),"OK","")</f>
        <v/>
      </c>
    </row>
    <row r="841" spans="1:9">
      <c r="A841" s="29"/>
      <c r="B841" s="29"/>
      <c r="C841" s="28"/>
      <c r="D841" s="28"/>
      <c r="E841" s="29"/>
      <c r="F841" s="29"/>
      <c r="G841" s="29"/>
      <c r="H841" s="28"/>
      <c r="I841" s="29" t="str">
        <f>IF(AND(A841&lt;&gt;"",SUMIF(NESTING!I:I,A841,NESTING!J:J)=G841),"OK","")</f>
        <v/>
      </c>
    </row>
    <row r="842" spans="1:9">
      <c r="A842" s="29"/>
      <c r="B842" s="29"/>
      <c r="C842" s="28"/>
      <c r="D842" s="28"/>
      <c r="E842" s="29"/>
      <c r="F842" s="29"/>
      <c r="G842" s="29"/>
      <c r="H842" s="28"/>
      <c r="I842" s="29" t="str">
        <f>IF(AND(A842&lt;&gt;"",SUMIF(NESTING!I:I,A842,NESTING!J:J)=G842),"OK","")</f>
        <v/>
      </c>
    </row>
    <row r="843" spans="1:9">
      <c r="A843" s="29"/>
      <c r="B843" s="29"/>
      <c r="C843" s="28"/>
      <c r="D843" s="28"/>
      <c r="E843" s="29"/>
      <c r="F843" s="29"/>
      <c r="G843" s="29"/>
      <c r="H843" s="28"/>
      <c r="I843" s="29" t="str">
        <f>IF(AND(A843&lt;&gt;"",SUMIF(NESTING!I:I,A843,NESTING!J:J)=G843),"OK","")</f>
        <v/>
      </c>
    </row>
    <row r="844" spans="1:9">
      <c r="A844" s="29"/>
      <c r="B844" s="29"/>
      <c r="C844" s="28"/>
      <c r="D844" s="28"/>
      <c r="E844" s="29"/>
      <c r="F844" s="29"/>
      <c r="G844" s="29"/>
      <c r="H844" s="28"/>
      <c r="I844" s="29" t="str">
        <f>IF(AND(A844&lt;&gt;"",SUMIF(NESTING!I:I,A844,NESTING!J:J)=G844),"OK","")</f>
        <v/>
      </c>
    </row>
    <row r="845" spans="1:9">
      <c r="A845" s="29"/>
      <c r="B845" s="29"/>
      <c r="C845" s="28"/>
      <c r="D845" s="28"/>
      <c r="E845" s="29"/>
      <c r="F845" s="29"/>
      <c r="G845" s="29"/>
      <c r="H845" s="28"/>
      <c r="I845" s="29" t="str">
        <f>IF(AND(A845&lt;&gt;"",SUMIF(NESTING!I:I,A845,NESTING!J:J)=G845),"OK","")</f>
        <v/>
      </c>
    </row>
    <row r="846" spans="1:9">
      <c r="A846" s="29"/>
      <c r="B846" s="29"/>
      <c r="C846" s="28"/>
      <c r="D846" s="28"/>
      <c r="E846" s="29"/>
      <c r="F846" s="29"/>
      <c r="G846" s="29"/>
      <c r="H846" s="28"/>
      <c r="I846" s="29" t="str">
        <f>IF(AND(A846&lt;&gt;"",SUMIF(NESTING!I:I,A846,NESTING!J:J)=G846),"OK","")</f>
        <v/>
      </c>
    </row>
    <row r="847" spans="1:9">
      <c r="A847" s="29"/>
      <c r="B847" s="29"/>
      <c r="C847" s="28"/>
      <c r="D847" s="28"/>
      <c r="E847" s="29"/>
      <c r="F847" s="29"/>
      <c r="G847" s="29"/>
      <c r="H847" s="28"/>
      <c r="I847" s="29" t="str">
        <f>IF(AND(A847&lt;&gt;"",SUMIF(NESTING!I:I,A847,NESTING!J:J)=G847),"OK","")</f>
        <v/>
      </c>
    </row>
    <row r="848" spans="1:9">
      <c r="A848" s="29"/>
      <c r="B848" s="29"/>
      <c r="C848" s="28"/>
      <c r="D848" s="28"/>
      <c r="E848" s="29"/>
      <c r="F848" s="29"/>
      <c r="G848" s="29"/>
      <c r="H848" s="28"/>
      <c r="I848" s="29" t="str">
        <f>IF(AND(A848&lt;&gt;"",SUMIF(NESTING!I:I,A848,NESTING!J:J)=G848),"OK","")</f>
        <v/>
      </c>
    </row>
    <row r="849" spans="1:9">
      <c r="A849" s="29"/>
      <c r="B849" s="29"/>
      <c r="C849" s="28"/>
      <c r="D849" s="28"/>
      <c r="E849" s="29"/>
      <c r="F849" s="29"/>
      <c r="G849" s="29"/>
      <c r="H849" s="28"/>
      <c r="I849" s="29" t="str">
        <f>IF(AND(A849&lt;&gt;"",SUMIF(NESTING!I:I,A849,NESTING!J:J)=G849),"OK","")</f>
        <v/>
      </c>
    </row>
    <row r="850" spans="1:9">
      <c r="A850" s="29"/>
      <c r="B850" s="29"/>
      <c r="C850" s="28"/>
      <c r="D850" s="28"/>
      <c r="E850" s="29"/>
      <c r="F850" s="29"/>
      <c r="G850" s="29"/>
      <c r="H850" s="28"/>
      <c r="I850" s="29" t="str">
        <f>IF(AND(A850&lt;&gt;"",SUMIF(NESTING!I:I,A850,NESTING!J:J)=G850),"OK","")</f>
        <v/>
      </c>
    </row>
    <row r="851" spans="1:9">
      <c r="A851" s="29"/>
      <c r="B851" s="29"/>
      <c r="C851" s="28"/>
      <c r="D851" s="28"/>
      <c r="E851" s="29"/>
      <c r="F851" s="29"/>
      <c r="G851" s="29"/>
      <c r="H851" s="28"/>
      <c r="I851" s="29" t="str">
        <f>IF(AND(A851&lt;&gt;"",SUMIF(NESTING!I:I,A851,NESTING!J:J)=G851),"OK","")</f>
        <v/>
      </c>
    </row>
    <row r="852" spans="1:9">
      <c r="A852" s="29"/>
      <c r="B852" s="29"/>
      <c r="C852" s="28"/>
      <c r="D852" s="28"/>
      <c r="E852" s="29"/>
      <c r="F852" s="29"/>
      <c r="G852" s="29"/>
      <c r="H852" s="28"/>
      <c r="I852" s="29" t="str">
        <f>IF(AND(A852&lt;&gt;"",SUMIF(NESTING!I:I,A852,NESTING!J:J)=G852),"OK","")</f>
        <v/>
      </c>
    </row>
    <row r="853" spans="1:9">
      <c r="A853" s="29"/>
      <c r="B853" s="29"/>
      <c r="C853" s="28"/>
      <c r="D853" s="28"/>
      <c r="E853" s="29"/>
      <c r="F853" s="29"/>
      <c r="G853" s="29"/>
      <c r="H853" s="28"/>
      <c r="I853" s="29" t="str">
        <f>IF(AND(A853&lt;&gt;"",SUMIF(NESTING!I:I,A853,NESTING!J:J)=G853),"OK","")</f>
        <v/>
      </c>
    </row>
    <row r="854" spans="1:9">
      <c r="A854" s="29"/>
      <c r="B854" s="29"/>
      <c r="C854" s="28"/>
      <c r="D854" s="28"/>
      <c r="E854" s="29"/>
      <c r="F854" s="29"/>
      <c r="G854" s="29"/>
      <c r="H854" s="28"/>
      <c r="I854" s="29" t="str">
        <f>IF(AND(A854&lt;&gt;"",SUMIF(NESTING!I:I,A854,NESTING!J:J)=G854),"OK","")</f>
        <v/>
      </c>
    </row>
    <row r="855" spans="1:9">
      <c r="A855" s="29"/>
      <c r="B855" s="29"/>
      <c r="C855" s="28"/>
      <c r="D855" s="28"/>
      <c r="E855" s="29"/>
      <c r="F855" s="29"/>
      <c r="G855" s="29"/>
      <c r="H855" s="28"/>
      <c r="I855" s="29" t="str">
        <f>IF(AND(A855&lt;&gt;"",SUMIF(NESTING!I:I,A855,NESTING!J:J)=G855),"OK","")</f>
        <v/>
      </c>
    </row>
    <row r="856" spans="1:9">
      <c r="A856" s="29"/>
      <c r="B856" s="29"/>
      <c r="C856" s="28"/>
      <c r="D856" s="28"/>
      <c r="E856" s="29"/>
      <c r="F856" s="29"/>
      <c r="G856" s="29"/>
      <c r="H856" s="28"/>
      <c r="I856" s="29" t="str">
        <f>IF(AND(A856&lt;&gt;"",SUMIF(NESTING!I:I,A856,NESTING!J:J)=G856),"OK","")</f>
        <v/>
      </c>
    </row>
    <row r="857" spans="1:9">
      <c r="A857" s="29"/>
      <c r="B857" s="29"/>
      <c r="C857" s="28"/>
      <c r="D857" s="28"/>
      <c r="E857" s="29"/>
      <c r="F857" s="29"/>
      <c r="G857" s="29"/>
      <c r="H857" s="28"/>
      <c r="I857" s="29" t="str">
        <f>IF(AND(A857&lt;&gt;"",SUMIF(NESTING!I:I,A857,NESTING!J:J)=G857),"OK","")</f>
        <v/>
      </c>
    </row>
    <row r="858" spans="1:9">
      <c r="A858" s="29"/>
      <c r="B858" s="29"/>
      <c r="C858" s="28"/>
      <c r="D858" s="28"/>
      <c r="E858" s="29"/>
      <c r="F858" s="29"/>
      <c r="G858" s="29"/>
      <c r="H858" s="28"/>
      <c r="I858" s="29" t="str">
        <f>IF(AND(A858&lt;&gt;"",SUMIF(NESTING!I:I,A858,NESTING!J:J)=G858),"OK","")</f>
        <v/>
      </c>
    </row>
    <row r="859" spans="1:9">
      <c r="A859" s="29"/>
      <c r="B859" s="29"/>
      <c r="C859" s="28"/>
      <c r="D859" s="28"/>
      <c r="E859" s="29"/>
      <c r="F859" s="29"/>
      <c r="G859" s="29"/>
      <c r="H859" s="28"/>
      <c r="I859" s="29" t="str">
        <f>IF(AND(A859&lt;&gt;"",SUMIF(NESTING!I:I,A859,NESTING!J:J)=G859),"OK","")</f>
        <v/>
      </c>
    </row>
    <row r="860" spans="1:9">
      <c r="A860" s="29"/>
      <c r="B860" s="29"/>
      <c r="C860" s="28"/>
      <c r="D860" s="28"/>
      <c r="E860" s="29"/>
      <c r="F860" s="29"/>
      <c r="G860" s="29"/>
      <c r="H860" s="28"/>
      <c r="I860" s="29" t="str">
        <f>IF(AND(A860&lt;&gt;"",SUMIF(NESTING!I:I,A860,NESTING!J:J)=G860),"OK","")</f>
        <v/>
      </c>
    </row>
    <row r="861" spans="1:9">
      <c r="A861" s="29"/>
      <c r="B861" s="29"/>
      <c r="C861" s="28"/>
      <c r="D861" s="28"/>
      <c r="E861" s="29"/>
      <c r="F861" s="29"/>
      <c r="G861" s="29"/>
      <c r="H861" s="28"/>
      <c r="I861" s="29" t="str">
        <f>IF(AND(A861&lt;&gt;"",SUMIF(NESTING!I:I,A861,NESTING!J:J)=G861),"OK","")</f>
        <v/>
      </c>
    </row>
    <row r="862" spans="1:9">
      <c r="A862" s="29"/>
      <c r="B862" s="29"/>
      <c r="C862" s="28"/>
      <c r="D862" s="28"/>
      <c r="E862" s="29"/>
      <c r="F862" s="29"/>
      <c r="G862" s="29"/>
      <c r="H862" s="28"/>
      <c r="I862" s="29" t="str">
        <f>IF(AND(A862&lt;&gt;"",SUMIF(NESTING!I:I,A862,NESTING!J:J)=G862),"OK","")</f>
        <v/>
      </c>
    </row>
    <row r="863" spans="1:9">
      <c r="A863" s="29"/>
      <c r="B863" s="29"/>
      <c r="C863" s="28"/>
      <c r="D863" s="28"/>
      <c r="E863" s="29"/>
      <c r="F863" s="29"/>
      <c r="G863" s="29"/>
      <c r="H863" s="28"/>
      <c r="I863" s="29" t="str">
        <f>IF(AND(A863&lt;&gt;"",SUMIF(NESTING!I:I,A863,NESTING!J:J)=G863),"OK","")</f>
        <v/>
      </c>
    </row>
    <row r="864" spans="1:9">
      <c r="A864" s="29"/>
      <c r="B864" s="29"/>
      <c r="C864" s="28"/>
      <c r="D864" s="28"/>
      <c r="E864" s="29"/>
      <c r="F864" s="29"/>
      <c r="G864" s="29"/>
      <c r="H864" s="28"/>
      <c r="I864" s="29" t="str">
        <f>IF(AND(A864&lt;&gt;"",SUMIF(NESTING!I:I,A864,NESTING!J:J)=G864),"OK","")</f>
        <v/>
      </c>
    </row>
    <row r="865" spans="1:9">
      <c r="A865" s="29"/>
      <c r="B865" s="29"/>
      <c r="C865" s="28"/>
      <c r="D865" s="28"/>
      <c r="E865" s="29"/>
      <c r="F865" s="29"/>
      <c r="G865" s="29"/>
      <c r="H865" s="28"/>
      <c r="I865" s="29" t="str">
        <f>IF(AND(A865&lt;&gt;"",SUMIF(NESTING!I:I,A865,NESTING!J:J)=G865),"OK","")</f>
        <v/>
      </c>
    </row>
    <row r="866" spans="1:9">
      <c r="A866" s="29"/>
      <c r="B866" s="29"/>
      <c r="C866" s="28"/>
      <c r="D866" s="28"/>
      <c r="E866" s="29"/>
      <c r="F866" s="29"/>
      <c r="G866" s="29"/>
      <c r="H866" s="28"/>
      <c r="I866" s="29" t="str">
        <f>IF(AND(A866&lt;&gt;"",SUMIF(NESTING!I:I,A866,NESTING!J:J)=G866),"OK","")</f>
        <v/>
      </c>
    </row>
    <row r="867" spans="1:9">
      <c r="A867" s="29"/>
      <c r="B867" s="29"/>
      <c r="C867" s="28"/>
      <c r="D867" s="28"/>
      <c r="E867" s="29"/>
      <c r="F867" s="29"/>
      <c r="G867" s="29"/>
      <c r="H867" s="28"/>
      <c r="I867" s="29" t="str">
        <f>IF(AND(A867&lt;&gt;"",SUMIF(NESTING!I:I,A867,NESTING!J:J)=G867),"OK","")</f>
        <v/>
      </c>
    </row>
    <row r="868" spans="1:9">
      <c r="A868" s="29"/>
      <c r="B868" s="29"/>
      <c r="C868" s="28"/>
      <c r="D868" s="28"/>
      <c r="E868" s="29"/>
      <c r="F868" s="29"/>
      <c r="G868" s="29"/>
      <c r="H868" s="28"/>
      <c r="I868" s="29" t="str">
        <f>IF(AND(A868&lt;&gt;"",SUMIF(NESTING!I:I,A868,NESTING!J:J)=G868),"OK","")</f>
        <v/>
      </c>
    </row>
    <row r="869" spans="1:9">
      <c r="A869" s="29"/>
      <c r="B869" s="29"/>
      <c r="C869" s="28"/>
      <c r="D869" s="28"/>
      <c r="E869" s="29"/>
      <c r="F869" s="29"/>
      <c r="G869" s="29"/>
      <c r="H869" s="28"/>
      <c r="I869" s="29" t="str">
        <f>IF(AND(A869&lt;&gt;"",SUMIF(NESTING!I:I,A869,NESTING!J:J)=G869),"OK","")</f>
        <v/>
      </c>
    </row>
    <row r="870" spans="1:9">
      <c r="A870" s="29"/>
      <c r="B870" s="29"/>
      <c r="C870" s="28"/>
      <c r="D870" s="28"/>
      <c r="E870" s="29"/>
      <c r="F870" s="29"/>
      <c r="G870" s="29"/>
      <c r="H870" s="28"/>
      <c r="I870" s="29" t="str">
        <f>IF(AND(A870&lt;&gt;"",SUMIF(NESTING!I:I,A870,NESTING!J:J)=G870),"OK","")</f>
        <v/>
      </c>
    </row>
    <row r="871" spans="1:9">
      <c r="A871" s="29"/>
      <c r="B871" s="29"/>
      <c r="C871" s="28"/>
      <c r="D871" s="28"/>
      <c r="E871" s="29"/>
      <c r="F871" s="29"/>
      <c r="G871" s="29"/>
      <c r="H871" s="28"/>
      <c r="I871" s="29" t="str">
        <f>IF(AND(A871&lt;&gt;"",SUMIF(NESTING!I:I,A871,NESTING!J:J)=G871),"OK","")</f>
        <v/>
      </c>
    </row>
    <row r="872" spans="1:9">
      <c r="A872" s="29"/>
      <c r="B872" s="29"/>
      <c r="C872" s="28"/>
      <c r="D872" s="28"/>
      <c r="E872" s="29"/>
      <c r="F872" s="29"/>
      <c r="G872" s="29"/>
      <c r="H872" s="28"/>
      <c r="I872" s="29" t="str">
        <f>IF(AND(A872&lt;&gt;"",SUMIF(NESTING!I:I,A872,NESTING!J:J)=G872),"OK","")</f>
        <v/>
      </c>
    </row>
    <row r="873" spans="1:9">
      <c r="A873" s="29"/>
      <c r="B873" s="29"/>
      <c r="C873" s="28"/>
      <c r="D873" s="28"/>
      <c r="E873" s="29"/>
      <c r="F873" s="29"/>
      <c r="G873" s="29"/>
      <c r="H873" s="28"/>
      <c r="I873" s="29" t="str">
        <f>IF(AND(A873&lt;&gt;"",SUMIF(NESTING!I:I,A873,NESTING!J:J)=G873),"OK","")</f>
        <v/>
      </c>
    </row>
    <row r="874" spans="1:9">
      <c r="A874" s="29"/>
      <c r="B874" s="29"/>
      <c r="C874" s="28"/>
      <c r="D874" s="28"/>
      <c r="E874" s="29"/>
      <c r="F874" s="29"/>
      <c r="G874" s="29"/>
      <c r="H874" s="28"/>
      <c r="I874" s="29" t="str">
        <f>IF(AND(A874&lt;&gt;"",SUMIF(NESTING!I:I,A874,NESTING!J:J)=G874),"OK","")</f>
        <v/>
      </c>
    </row>
    <row r="875" spans="1:9">
      <c r="A875" s="29"/>
      <c r="B875" s="29"/>
      <c r="C875" s="28"/>
      <c r="D875" s="28"/>
      <c r="E875" s="29"/>
      <c r="F875" s="29"/>
      <c r="G875" s="29"/>
      <c r="H875" s="28"/>
      <c r="I875" s="29" t="str">
        <f>IF(AND(A875&lt;&gt;"",SUMIF(NESTING!I:I,A875,NESTING!J:J)=G875),"OK","")</f>
        <v/>
      </c>
    </row>
    <row r="876" spans="1:9">
      <c r="A876" s="29"/>
      <c r="B876" s="29"/>
      <c r="C876" s="28"/>
      <c r="D876" s="28"/>
      <c r="E876" s="29"/>
      <c r="F876" s="29"/>
      <c r="G876" s="29"/>
      <c r="H876" s="28"/>
      <c r="I876" s="29" t="str">
        <f>IF(AND(A876&lt;&gt;"",SUMIF(NESTING!I:I,A876,NESTING!J:J)=G876),"OK","")</f>
        <v/>
      </c>
    </row>
    <row r="877" spans="1:9">
      <c r="A877" s="29"/>
      <c r="B877" s="29"/>
      <c r="C877" s="28"/>
      <c r="D877" s="28"/>
      <c r="E877" s="29"/>
      <c r="F877" s="29"/>
      <c r="G877" s="29"/>
      <c r="H877" s="28"/>
      <c r="I877" s="29" t="str">
        <f>IF(AND(A877&lt;&gt;"",SUMIF(NESTING!I:I,A877,NESTING!J:J)=G877),"OK","")</f>
        <v/>
      </c>
    </row>
    <row r="878" spans="1:9">
      <c r="A878" s="29"/>
      <c r="B878" s="29"/>
      <c r="C878" s="28"/>
      <c r="D878" s="28"/>
      <c r="E878" s="29"/>
      <c r="F878" s="29"/>
      <c r="G878" s="29"/>
      <c r="H878" s="28"/>
      <c r="I878" s="29" t="str">
        <f>IF(AND(A878&lt;&gt;"",SUMIF(NESTING!I:I,A878,NESTING!J:J)=G878),"OK","")</f>
        <v/>
      </c>
    </row>
    <row r="879" spans="1:9">
      <c r="A879" s="29"/>
      <c r="B879" s="29"/>
      <c r="C879" s="28"/>
      <c r="D879" s="28"/>
      <c r="E879" s="29"/>
      <c r="F879" s="29"/>
      <c r="G879" s="29"/>
      <c r="H879" s="28"/>
      <c r="I879" s="29" t="str">
        <f>IF(AND(A879&lt;&gt;"",SUMIF(NESTING!I:I,A879,NESTING!J:J)=G879),"OK","")</f>
        <v/>
      </c>
    </row>
    <row r="880" spans="1:9">
      <c r="A880" s="29"/>
      <c r="B880" s="29"/>
      <c r="C880" s="28"/>
      <c r="D880" s="28"/>
      <c r="E880" s="29"/>
      <c r="F880" s="29"/>
      <c r="G880" s="29"/>
      <c r="H880" s="28"/>
      <c r="I880" s="29" t="str">
        <f>IF(AND(A880&lt;&gt;"",SUMIF(NESTING!I:I,A880,NESTING!J:J)=G880),"OK","")</f>
        <v/>
      </c>
    </row>
    <row r="881" spans="1:9">
      <c r="A881" s="29"/>
      <c r="B881" s="29"/>
      <c r="C881" s="28"/>
      <c r="D881" s="28"/>
      <c r="E881" s="29"/>
      <c r="F881" s="29"/>
      <c r="G881" s="29"/>
      <c r="H881" s="28"/>
      <c r="I881" s="29" t="str">
        <f>IF(AND(A881&lt;&gt;"",SUMIF(NESTING!I:I,A881,NESTING!J:J)=G881),"OK","")</f>
        <v/>
      </c>
    </row>
    <row r="882" spans="1:9">
      <c r="A882" s="29"/>
      <c r="B882" s="29"/>
      <c r="C882" s="28"/>
      <c r="D882" s="28"/>
      <c r="E882" s="29"/>
      <c r="F882" s="29"/>
      <c r="G882" s="29"/>
      <c r="H882" s="28"/>
      <c r="I882" s="29" t="str">
        <f>IF(AND(A882&lt;&gt;"",SUMIF(NESTING!I:I,A882,NESTING!J:J)=G882),"OK","")</f>
        <v/>
      </c>
    </row>
    <row r="883" spans="1:9">
      <c r="A883" s="29"/>
      <c r="B883" s="29"/>
      <c r="C883" s="28"/>
      <c r="D883" s="28"/>
      <c r="E883" s="29"/>
      <c r="F883" s="29"/>
      <c r="G883" s="29"/>
      <c r="H883" s="28"/>
      <c r="I883" s="29" t="str">
        <f>IF(AND(A883&lt;&gt;"",SUMIF(NESTING!I:I,A883,NESTING!J:J)=G883),"OK","")</f>
        <v/>
      </c>
    </row>
    <row r="884" spans="1:9">
      <c r="A884" s="29"/>
      <c r="B884" s="29"/>
      <c r="C884" s="28"/>
      <c r="D884" s="28"/>
      <c r="E884" s="29"/>
      <c r="F884" s="29"/>
      <c r="G884" s="29"/>
      <c r="H884" s="28"/>
      <c r="I884" s="29" t="str">
        <f>IF(AND(A884&lt;&gt;"",SUMIF(NESTING!I:I,A884,NESTING!J:J)=G884),"OK","")</f>
        <v/>
      </c>
    </row>
    <row r="885" spans="1:9">
      <c r="A885" s="29"/>
      <c r="B885" s="29"/>
      <c r="C885" s="28"/>
      <c r="D885" s="28"/>
      <c r="E885" s="29"/>
      <c r="F885" s="29"/>
      <c r="G885" s="29"/>
      <c r="H885" s="28"/>
      <c r="I885" s="29" t="str">
        <f>IF(AND(A885&lt;&gt;"",SUMIF(NESTING!I:I,A885,NESTING!J:J)=G885),"OK","")</f>
        <v/>
      </c>
    </row>
    <row r="886" spans="1:9">
      <c r="A886" s="29"/>
      <c r="B886" s="29"/>
      <c r="C886" s="28"/>
      <c r="D886" s="28"/>
      <c r="E886" s="29"/>
      <c r="F886" s="29"/>
      <c r="G886" s="29"/>
      <c r="H886" s="28"/>
      <c r="I886" s="29" t="str">
        <f>IF(AND(A886&lt;&gt;"",SUMIF(NESTING!I:I,A886,NESTING!J:J)=G886),"OK","")</f>
        <v/>
      </c>
    </row>
    <row r="887" spans="1:9">
      <c r="A887" s="29"/>
      <c r="B887" s="29"/>
      <c r="C887" s="28"/>
      <c r="D887" s="28"/>
      <c r="E887" s="29"/>
      <c r="F887" s="29"/>
      <c r="G887" s="29"/>
      <c r="H887" s="28"/>
      <c r="I887" s="29" t="str">
        <f>IF(AND(A887&lt;&gt;"",SUMIF(NESTING!I:I,A887,NESTING!J:J)=G887),"OK","")</f>
        <v/>
      </c>
    </row>
    <row r="888" spans="1:9">
      <c r="A888" s="29"/>
      <c r="B888" s="29"/>
      <c r="C888" s="28"/>
      <c r="D888" s="28"/>
      <c r="E888" s="29"/>
      <c r="F888" s="29"/>
      <c r="G888" s="29"/>
      <c r="H888" s="28"/>
      <c r="I888" s="29" t="str">
        <f>IF(AND(A888&lt;&gt;"",SUMIF(NESTING!I:I,A888,NESTING!J:J)=G888),"OK","")</f>
        <v/>
      </c>
    </row>
    <row r="889" spans="1:9">
      <c r="A889" s="29"/>
      <c r="B889" s="29"/>
      <c r="C889" s="28"/>
      <c r="D889" s="28"/>
      <c r="E889" s="29"/>
      <c r="F889" s="29"/>
      <c r="G889" s="29"/>
      <c r="H889" s="28"/>
      <c r="I889" s="29" t="str">
        <f>IF(AND(A889&lt;&gt;"",SUMIF(NESTING!I:I,A889,NESTING!J:J)=G889),"OK","")</f>
        <v/>
      </c>
    </row>
    <row r="890" spans="1:9">
      <c r="A890" s="29"/>
      <c r="B890" s="29"/>
      <c r="C890" s="28"/>
      <c r="D890" s="28"/>
      <c r="E890" s="29"/>
      <c r="F890" s="29"/>
      <c r="G890" s="29"/>
      <c r="H890" s="28"/>
      <c r="I890" s="29" t="str">
        <f>IF(AND(A890&lt;&gt;"",SUMIF(NESTING!I:I,A890,NESTING!J:J)=G890),"OK","")</f>
        <v/>
      </c>
    </row>
    <row r="891" spans="1:9">
      <c r="A891" s="29"/>
      <c r="B891" s="29"/>
      <c r="C891" s="28"/>
      <c r="D891" s="28"/>
      <c r="E891" s="29"/>
      <c r="F891" s="29"/>
      <c r="G891" s="29"/>
      <c r="H891" s="28"/>
      <c r="I891" s="29" t="str">
        <f>IF(AND(A891&lt;&gt;"",SUMIF(NESTING!I:I,A891,NESTING!J:J)=G891),"OK","")</f>
        <v/>
      </c>
    </row>
    <row r="892" spans="1:9">
      <c r="A892" s="29"/>
      <c r="B892" s="29"/>
      <c r="C892" s="28"/>
      <c r="D892" s="28"/>
      <c r="E892" s="29"/>
      <c r="F892" s="29"/>
      <c r="G892" s="29"/>
      <c r="H892" s="28"/>
      <c r="I892" s="29" t="str">
        <f>IF(AND(A892&lt;&gt;"",SUMIF(NESTING!I:I,A892,NESTING!J:J)=G892),"OK","")</f>
        <v/>
      </c>
    </row>
    <row r="893" spans="1:9">
      <c r="A893" s="29"/>
      <c r="B893" s="29"/>
      <c r="C893" s="28"/>
      <c r="D893" s="28"/>
      <c r="E893" s="29"/>
      <c r="F893" s="29"/>
      <c r="G893" s="29"/>
      <c r="H893" s="28"/>
      <c r="I893" s="29" t="str">
        <f>IF(AND(A893&lt;&gt;"",SUMIF(NESTING!I:I,A893,NESTING!J:J)=G893),"OK","")</f>
        <v/>
      </c>
    </row>
    <row r="894" spans="1:9">
      <c r="A894" s="29"/>
      <c r="B894" s="29"/>
      <c r="C894" s="28"/>
      <c r="D894" s="28"/>
      <c r="E894" s="29"/>
      <c r="F894" s="29"/>
      <c r="G894" s="29"/>
      <c r="H894" s="28"/>
      <c r="I894" s="29" t="str">
        <f>IF(AND(A894&lt;&gt;"",SUMIF(NESTING!I:I,A894,NESTING!J:J)=G894),"OK","")</f>
        <v/>
      </c>
    </row>
    <row r="895" spans="1:9">
      <c r="A895" s="29"/>
      <c r="B895" s="29"/>
      <c r="C895" s="28"/>
      <c r="D895" s="28"/>
      <c r="E895" s="29"/>
      <c r="F895" s="29"/>
      <c r="G895" s="29"/>
      <c r="H895" s="28"/>
      <c r="I895" s="29" t="str">
        <f>IF(AND(A895&lt;&gt;"",SUMIF(NESTING!I:I,A895,NESTING!J:J)=G895),"OK","")</f>
        <v/>
      </c>
    </row>
    <row r="896" spans="1:9">
      <c r="A896" s="29"/>
      <c r="B896" s="29"/>
      <c r="C896" s="28"/>
      <c r="D896" s="28"/>
      <c r="E896" s="29"/>
      <c r="F896" s="29"/>
      <c r="G896" s="29"/>
      <c r="H896" s="28"/>
      <c r="I896" s="29" t="str">
        <f>IF(AND(A896&lt;&gt;"",SUMIF(NESTING!I:I,A896,NESTING!J:J)=G896),"OK","")</f>
        <v/>
      </c>
    </row>
    <row r="897" spans="1:9">
      <c r="A897" s="29"/>
      <c r="B897" s="29"/>
      <c r="C897" s="28"/>
      <c r="D897" s="28"/>
      <c r="E897" s="29"/>
      <c r="F897" s="29"/>
      <c r="G897" s="29"/>
      <c r="H897" s="28"/>
      <c r="I897" s="29" t="str">
        <f>IF(AND(A897&lt;&gt;"",SUMIF(NESTING!I:I,A897,NESTING!J:J)=G897),"OK","")</f>
        <v/>
      </c>
    </row>
    <row r="898" spans="1:9">
      <c r="A898" s="29"/>
      <c r="B898" s="29"/>
      <c r="C898" s="28"/>
      <c r="D898" s="28"/>
      <c r="E898" s="29"/>
      <c r="F898" s="29"/>
      <c r="G898" s="29"/>
      <c r="H898" s="28"/>
      <c r="I898" s="29" t="str">
        <f>IF(AND(A898&lt;&gt;"",SUMIF(NESTING!I:I,A898,NESTING!J:J)=G898),"OK","")</f>
        <v/>
      </c>
    </row>
    <row r="899" spans="1:9">
      <c r="A899" s="29"/>
      <c r="B899" s="29"/>
      <c r="C899" s="28"/>
      <c r="D899" s="28"/>
      <c r="E899" s="29"/>
      <c r="F899" s="29"/>
      <c r="G899" s="29"/>
      <c r="H899" s="28"/>
      <c r="I899" s="29" t="str">
        <f>IF(AND(A899&lt;&gt;"",SUMIF(NESTING!I:I,A899,NESTING!J:J)=G899),"OK","")</f>
        <v/>
      </c>
    </row>
    <row r="900" spans="1:9">
      <c r="A900" s="29"/>
      <c r="B900" s="29"/>
      <c r="C900" s="28"/>
      <c r="D900" s="28"/>
      <c r="E900" s="29"/>
      <c r="F900" s="29"/>
      <c r="G900" s="29"/>
      <c r="H900" s="28"/>
      <c r="I900" s="29" t="str">
        <f>IF(AND(A900&lt;&gt;"",SUMIF(NESTING!I:I,A900,NESTING!J:J)=G900),"OK","")</f>
        <v/>
      </c>
    </row>
    <row r="901" spans="1:9">
      <c r="A901" s="29"/>
      <c r="B901" s="29"/>
      <c r="C901" s="28"/>
      <c r="D901" s="28"/>
      <c r="E901" s="29"/>
      <c r="F901" s="29"/>
      <c r="G901" s="29"/>
      <c r="H901" s="28"/>
      <c r="I901" s="29" t="str">
        <f>IF(AND(A901&lt;&gt;"",SUMIF(NESTING!I:I,A901,NESTING!J:J)=G901),"OK","")</f>
        <v/>
      </c>
    </row>
    <row r="902" spans="1:9">
      <c r="A902" s="29"/>
      <c r="B902" s="29"/>
      <c r="C902" s="28"/>
      <c r="D902" s="28"/>
      <c r="E902" s="29"/>
      <c r="F902" s="29"/>
      <c r="G902" s="29"/>
      <c r="H902" s="28"/>
      <c r="I902" s="29" t="str">
        <f>IF(AND(A902&lt;&gt;"",SUMIF(NESTING!I:I,A902,NESTING!J:J)=G902),"OK","")</f>
        <v/>
      </c>
    </row>
    <row r="903" spans="1:9">
      <c r="A903" s="29"/>
      <c r="B903" s="29"/>
      <c r="C903" s="28"/>
      <c r="D903" s="28"/>
      <c r="E903" s="29"/>
      <c r="F903" s="29"/>
      <c r="G903" s="29"/>
      <c r="H903" s="28"/>
      <c r="I903" s="29" t="str">
        <f>IF(AND(A903&lt;&gt;"",SUMIF(NESTING!I:I,A903,NESTING!J:J)=G903),"OK","")</f>
        <v/>
      </c>
    </row>
    <row r="904" spans="1:9">
      <c r="A904" s="29"/>
      <c r="B904" s="29"/>
      <c r="C904" s="28"/>
      <c r="D904" s="28"/>
      <c r="E904" s="29"/>
      <c r="F904" s="29"/>
      <c r="G904" s="29"/>
      <c r="H904" s="28"/>
      <c r="I904" s="29" t="str">
        <f>IF(AND(A904&lt;&gt;"",SUMIF(NESTING!I:I,A904,NESTING!J:J)=G904),"OK","")</f>
        <v/>
      </c>
    </row>
    <row r="905" spans="1:9">
      <c r="A905" s="29"/>
      <c r="B905" s="29"/>
      <c r="C905" s="28"/>
      <c r="D905" s="28"/>
      <c r="E905" s="29"/>
      <c r="F905" s="29"/>
      <c r="G905" s="29"/>
      <c r="H905" s="28"/>
      <c r="I905" s="29" t="str">
        <f>IF(AND(A905&lt;&gt;"",SUMIF(NESTING!I:I,A905,NESTING!J:J)=G905),"OK","")</f>
        <v/>
      </c>
    </row>
    <row r="906" spans="1:9">
      <c r="A906" s="29"/>
      <c r="B906" s="29"/>
      <c r="C906" s="28"/>
      <c r="D906" s="28"/>
      <c r="E906" s="29"/>
      <c r="F906" s="29"/>
      <c r="G906" s="29"/>
      <c r="H906" s="28"/>
      <c r="I906" s="29" t="str">
        <f>IF(AND(A906&lt;&gt;"",SUMIF(NESTING!I:I,A906,NESTING!J:J)=G906),"OK","")</f>
        <v/>
      </c>
    </row>
    <row r="907" spans="1:9">
      <c r="A907" s="29"/>
      <c r="B907" s="29"/>
      <c r="C907" s="28"/>
      <c r="D907" s="28"/>
      <c r="E907" s="29"/>
      <c r="F907" s="29"/>
      <c r="G907" s="29"/>
      <c r="H907" s="28"/>
      <c r="I907" s="29" t="str">
        <f>IF(AND(A907&lt;&gt;"",SUMIF(NESTING!I:I,A907,NESTING!J:J)=G907),"OK","")</f>
        <v/>
      </c>
    </row>
    <row r="908" spans="1:9">
      <c r="A908" s="29"/>
      <c r="B908" s="29"/>
      <c r="C908" s="28"/>
      <c r="D908" s="28"/>
      <c r="E908" s="29"/>
      <c r="F908" s="29"/>
      <c r="G908" s="29"/>
      <c r="H908" s="28"/>
      <c r="I908" s="29" t="str">
        <f>IF(AND(A908&lt;&gt;"",SUMIF(NESTING!I:I,A908,NESTING!J:J)=G908),"OK","")</f>
        <v/>
      </c>
    </row>
    <row r="909" spans="1:9">
      <c r="A909" s="29"/>
      <c r="B909" s="29"/>
      <c r="C909" s="28"/>
      <c r="D909" s="28"/>
      <c r="E909" s="29"/>
      <c r="F909" s="29"/>
      <c r="G909" s="29"/>
      <c r="H909" s="28"/>
      <c r="I909" s="29" t="str">
        <f>IF(AND(A909&lt;&gt;"",SUMIF(NESTING!I:I,A909,NESTING!J:J)=G909),"OK","")</f>
        <v/>
      </c>
    </row>
    <row r="910" spans="1:9">
      <c r="A910" s="29"/>
      <c r="B910" s="29"/>
      <c r="C910" s="28"/>
      <c r="D910" s="28"/>
      <c r="E910" s="29"/>
      <c r="F910" s="29"/>
      <c r="G910" s="29"/>
      <c r="H910" s="28"/>
      <c r="I910" s="29" t="str">
        <f>IF(AND(A910&lt;&gt;"",SUMIF(NESTING!I:I,A910,NESTING!J:J)=G910),"OK","")</f>
        <v/>
      </c>
    </row>
    <row r="911" spans="1:9">
      <c r="A911" s="29"/>
      <c r="B911" s="29"/>
      <c r="C911" s="28"/>
      <c r="D911" s="28"/>
      <c r="E911" s="29"/>
      <c r="F911" s="29"/>
      <c r="G911" s="29"/>
      <c r="H911" s="28"/>
      <c r="I911" s="29" t="str">
        <f>IF(AND(A911&lt;&gt;"",SUMIF(NESTING!I:I,A911,NESTING!J:J)=G911),"OK","")</f>
        <v/>
      </c>
    </row>
    <row r="912" spans="1:9">
      <c r="A912" s="29"/>
      <c r="B912" s="29"/>
      <c r="C912" s="28"/>
      <c r="D912" s="28"/>
      <c r="E912" s="29"/>
      <c r="F912" s="29"/>
      <c r="G912" s="29"/>
      <c r="H912" s="28"/>
      <c r="I912" s="29" t="str">
        <f>IF(AND(A912&lt;&gt;"",SUMIF(NESTING!I:I,A912,NESTING!J:J)=G912),"OK","")</f>
        <v/>
      </c>
    </row>
    <row r="913" spans="1:9">
      <c r="A913" s="29"/>
      <c r="B913" s="29"/>
      <c r="C913" s="28"/>
      <c r="D913" s="28"/>
      <c r="E913" s="29"/>
      <c r="F913" s="29"/>
      <c r="G913" s="29"/>
      <c r="H913" s="28"/>
      <c r="I913" s="29" t="str">
        <f>IF(AND(A913&lt;&gt;"",SUMIF(NESTING!I:I,A913,NESTING!J:J)=G913),"OK","")</f>
        <v/>
      </c>
    </row>
    <row r="914" spans="1:9">
      <c r="A914" s="29"/>
      <c r="B914" s="29"/>
      <c r="C914" s="28"/>
      <c r="D914" s="28"/>
      <c r="E914" s="29"/>
      <c r="F914" s="29"/>
      <c r="G914" s="29"/>
      <c r="H914" s="28"/>
      <c r="I914" s="29" t="str">
        <f>IF(AND(A914&lt;&gt;"",SUMIF(NESTING!I:I,A914,NESTING!J:J)=G914),"OK","")</f>
        <v/>
      </c>
    </row>
    <row r="915" spans="1:9">
      <c r="A915" s="29"/>
      <c r="B915" s="29"/>
      <c r="C915" s="28"/>
      <c r="D915" s="28"/>
      <c r="E915" s="29"/>
      <c r="F915" s="29"/>
      <c r="G915" s="29"/>
      <c r="H915" s="28"/>
      <c r="I915" s="29" t="str">
        <f>IF(AND(A915&lt;&gt;"",SUMIF(NESTING!I:I,A915,NESTING!J:J)=G915),"OK","")</f>
        <v/>
      </c>
    </row>
    <row r="916" spans="1:9">
      <c r="A916" s="29"/>
      <c r="B916" s="29"/>
      <c r="C916" s="28"/>
      <c r="D916" s="28"/>
      <c r="E916" s="29"/>
      <c r="F916" s="29"/>
      <c r="G916" s="29"/>
      <c r="H916" s="28"/>
      <c r="I916" s="29" t="str">
        <f>IF(AND(A916&lt;&gt;"",SUMIF(NESTING!I:I,A916,NESTING!J:J)=G916),"OK","")</f>
        <v/>
      </c>
    </row>
    <row r="917" spans="1:9">
      <c r="A917" s="29"/>
      <c r="B917" s="29"/>
      <c r="C917" s="28"/>
      <c r="D917" s="28"/>
      <c r="E917" s="29"/>
      <c r="F917" s="29"/>
      <c r="G917" s="29"/>
      <c r="H917" s="28"/>
      <c r="I917" s="29" t="str">
        <f>IF(AND(A917&lt;&gt;"",SUMIF(NESTING!I:I,A917,NESTING!J:J)=G917),"OK","")</f>
        <v/>
      </c>
    </row>
    <row r="918" spans="1:9">
      <c r="A918" s="29"/>
      <c r="B918" s="29"/>
      <c r="C918" s="28"/>
      <c r="D918" s="28"/>
      <c r="E918" s="29"/>
      <c r="F918" s="29"/>
      <c r="G918" s="29"/>
      <c r="H918" s="28"/>
      <c r="I918" s="29" t="str">
        <f>IF(AND(A918&lt;&gt;"",SUMIF(NESTING!I:I,A918,NESTING!J:J)=G918),"OK","")</f>
        <v/>
      </c>
    </row>
    <row r="919" spans="1:9">
      <c r="A919" s="29"/>
      <c r="B919" s="29"/>
      <c r="C919" s="28"/>
      <c r="D919" s="28"/>
      <c r="E919" s="29"/>
      <c r="F919" s="29"/>
      <c r="G919" s="29"/>
      <c r="H919" s="28"/>
      <c r="I919" s="29" t="str">
        <f>IF(AND(A919&lt;&gt;"",SUMIF(NESTING!I:I,A919,NESTING!J:J)=G919),"OK","")</f>
        <v/>
      </c>
    </row>
    <row r="920" spans="1:9">
      <c r="A920" s="29"/>
      <c r="B920" s="29"/>
      <c r="C920" s="28"/>
      <c r="D920" s="28"/>
      <c r="E920" s="29"/>
      <c r="F920" s="29"/>
      <c r="G920" s="29"/>
      <c r="H920" s="28"/>
      <c r="I920" s="29" t="str">
        <f>IF(AND(A920&lt;&gt;"",SUMIF(NESTING!I:I,A920,NESTING!J:J)=G920),"OK","")</f>
        <v/>
      </c>
    </row>
    <row r="921" spans="1:9">
      <c r="A921" s="29"/>
      <c r="B921" s="29"/>
      <c r="C921" s="28"/>
      <c r="D921" s="28"/>
      <c r="E921" s="29"/>
      <c r="F921" s="29"/>
      <c r="G921" s="29"/>
      <c r="H921" s="28"/>
      <c r="I921" s="29" t="str">
        <f>IF(AND(A921&lt;&gt;"",SUMIF(NESTING!I:I,A921,NESTING!J:J)=G921),"OK","")</f>
        <v/>
      </c>
    </row>
    <row r="922" spans="1:9">
      <c r="A922" s="29"/>
      <c r="B922" s="29"/>
      <c r="C922" s="28"/>
      <c r="D922" s="28"/>
      <c r="E922" s="29"/>
      <c r="F922" s="29"/>
      <c r="G922" s="29"/>
      <c r="H922" s="28"/>
      <c r="I922" s="29" t="str">
        <f>IF(AND(A922&lt;&gt;"",SUMIF(NESTING!I:I,A922,NESTING!J:J)=G922),"OK","")</f>
        <v/>
      </c>
    </row>
    <row r="923" spans="1:9">
      <c r="A923" s="29"/>
      <c r="B923" s="29"/>
      <c r="C923" s="28"/>
      <c r="D923" s="28"/>
      <c r="E923" s="29"/>
      <c r="F923" s="29"/>
      <c r="G923" s="29"/>
      <c r="H923" s="28"/>
      <c r="I923" s="29" t="str">
        <f>IF(AND(A923&lt;&gt;"",SUMIF(NESTING!I:I,A923,NESTING!J:J)=G923),"OK","")</f>
        <v/>
      </c>
    </row>
    <row r="924" spans="1:9">
      <c r="A924" s="29"/>
      <c r="B924" s="29"/>
      <c r="C924" s="28"/>
      <c r="D924" s="28"/>
      <c r="E924" s="29"/>
      <c r="F924" s="29"/>
      <c r="G924" s="29"/>
      <c r="H924" s="28"/>
      <c r="I924" s="29" t="str">
        <f>IF(AND(A924&lt;&gt;"",SUMIF(NESTING!I:I,A924,NESTING!J:J)=G924),"OK","")</f>
        <v/>
      </c>
    </row>
    <row r="925" spans="1:9">
      <c r="A925" s="29"/>
      <c r="B925" s="29"/>
      <c r="C925" s="28"/>
      <c r="D925" s="28"/>
      <c r="E925" s="29"/>
      <c r="F925" s="29"/>
      <c r="G925" s="29"/>
      <c r="H925" s="28"/>
      <c r="I925" s="29" t="str">
        <f>IF(AND(A925&lt;&gt;"",SUMIF(NESTING!I:I,A925,NESTING!J:J)=G925),"OK","")</f>
        <v/>
      </c>
    </row>
    <row r="926" spans="1:9">
      <c r="A926" s="29"/>
      <c r="B926" s="29"/>
      <c r="C926" s="28"/>
      <c r="D926" s="28"/>
      <c r="E926" s="29"/>
      <c r="F926" s="29"/>
      <c r="G926" s="29"/>
      <c r="H926" s="28"/>
      <c r="I926" s="29" t="str">
        <f>IF(AND(A926&lt;&gt;"",SUMIF(NESTING!I:I,A926,NESTING!J:J)=G926),"OK","")</f>
        <v/>
      </c>
    </row>
    <row r="927" spans="1:9">
      <c r="A927" s="29"/>
      <c r="B927" s="29"/>
      <c r="C927" s="28"/>
      <c r="D927" s="28"/>
      <c r="E927" s="29"/>
      <c r="F927" s="29"/>
      <c r="G927" s="29"/>
      <c r="H927" s="28"/>
      <c r="I927" s="29" t="str">
        <f>IF(AND(A927&lt;&gt;"",SUMIF(NESTING!I:I,A927,NESTING!J:J)=G927),"OK","")</f>
        <v/>
      </c>
    </row>
    <row r="928" spans="1:9">
      <c r="A928" s="29"/>
      <c r="B928" s="29"/>
      <c r="C928" s="28"/>
      <c r="D928" s="28"/>
      <c r="E928" s="29"/>
      <c r="F928" s="29"/>
      <c r="G928" s="29"/>
      <c r="H928" s="28"/>
      <c r="I928" s="29" t="str">
        <f>IF(AND(A928&lt;&gt;"",SUMIF(NESTING!I:I,A928,NESTING!J:J)=G928),"OK","")</f>
        <v/>
      </c>
    </row>
    <row r="929" spans="1:9">
      <c r="A929" s="29"/>
      <c r="B929" s="29"/>
      <c r="C929" s="28"/>
      <c r="D929" s="28"/>
      <c r="E929" s="29"/>
      <c r="F929" s="29"/>
      <c r="G929" s="29"/>
      <c r="H929" s="28"/>
      <c r="I929" s="29" t="str">
        <f>IF(AND(A929&lt;&gt;"",SUMIF(NESTING!I:I,A929,NESTING!J:J)=G929),"OK","")</f>
        <v/>
      </c>
    </row>
    <row r="930" spans="1:9">
      <c r="A930" s="29"/>
      <c r="B930" s="29"/>
      <c r="C930" s="28"/>
      <c r="D930" s="28"/>
      <c r="E930" s="29"/>
      <c r="F930" s="29"/>
      <c r="G930" s="29"/>
      <c r="H930" s="28"/>
      <c r="I930" s="29" t="str">
        <f>IF(AND(A930&lt;&gt;"",SUMIF(NESTING!I:I,A930,NESTING!J:J)=G930),"OK","")</f>
        <v/>
      </c>
    </row>
    <row r="931" spans="1:9">
      <c r="A931" s="29"/>
      <c r="B931" s="29"/>
      <c r="C931" s="28"/>
      <c r="D931" s="28"/>
      <c r="E931" s="29"/>
      <c r="F931" s="29"/>
      <c r="G931" s="29"/>
      <c r="H931" s="28"/>
      <c r="I931" s="29" t="str">
        <f>IF(AND(A931&lt;&gt;"",SUMIF(NESTING!I:I,A931,NESTING!J:J)=G931),"OK","")</f>
        <v/>
      </c>
    </row>
    <row r="932" spans="1:9">
      <c r="A932" s="29"/>
      <c r="B932" s="29"/>
      <c r="C932" s="28"/>
      <c r="D932" s="28"/>
      <c r="E932" s="29"/>
      <c r="F932" s="29"/>
      <c r="G932" s="29"/>
      <c r="H932" s="28"/>
      <c r="I932" s="29" t="str">
        <f>IF(AND(A932&lt;&gt;"",SUMIF(NESTING!I:I,A932,NESTING!J:J)=G932),"OK","")</f>
        <v/>
      </c>
    </row>
    <row r="933" spans="1:9">
      <c r="A933" s="29"/>
      <c r="B933" s="29"/>
      <c r="C933" s="28"/>
      <c r="D933" s="28"/>
      <c r="E933" s="29"/>
      <c r="F933" s="29"/>
      <c r="G933" s="29"/>
      <c r="H933" s="28"/>
      <c r="I933" s="29" t="str">
        <f>IF(AND(A933&lt;&gt;"",SUMIF(NESTING!I:I,A933,NESTING!J:J)=G933),"OK","")</f>
        <v/>
      </c>
    </row>
    <row r="934" spans="1:9">
      <c r="A934" s="29"/>
      <c r="B934" s="29"/>
      <c r="C934" s="28"/>
      <c r="D934" s="28"/>
      <c r="E934" s="29"/>
      <c r="F934" s="29"/>
      <c r="G934" s="29"/>
      <c r="H934" s="28"/>
      <c r="I934" s="29" t="str">
        <f>IF(AND(A934&lt;&gt;"",SUMIF(NESTING!I:I,A934,NESTING!J:J)=G934),"OK","")</f>
        <v/>
      </c>
    </row>
    <row r="935" spans="1:9">
      <c r="A935" s="29"/>
      <c r="B935" s="29"/>
      <c r="C935" s="28"/>
      <c r="D935" s="28"/>
      <c r="E935" s="29"/>
      <c r="F935" s="29"/>
      <c r="G935" s="29"/>
      <c r="H935" s="28"/>
      <c r="I935" s="29" t="str">
        <f>IF(AND(A935&lt;&gt;"",SUMIF(NESTING!I:I,A935,NESTING!J:J)=G935),"OK","")</f>
        <v/>
      </c>
    </row>
    <row r="936" spans="1:9">
      <c r="A936" s="29"/>
      <c r="B936" s="29"/>
      <c r="C936" s="28"/>
      <c r="D936" s="28"/>
      <c r="E936" s="29"/>
      <c r="F936" s="29"/>
      <c r="G936" s="29"/>
      <c r="H936" s="28"/>
      <c r="I936" s="29" t="str">
        <f>IF(AND(A936&lt;&gt;"",SUMIF(NESTING!I:I,A936,NESTING!J:J)=G936),"OK","")</f>
        <v/>
      </c>
    </row>
    <row r="937" spans="1:9">
      <c r="A937" s="29"/>
      <c r="B937" s="29"/>
      <c r="C937" s="28"/>
      <c r="D937" s="28"/>
      <c r="E937" s="29"/>
      <c r="F937" s="29"/>
      <c r="G937" s="29"/>
      <c r="H937" s="28"/>
      <c r="I937" s="29" t="str">
        <f>IF(AND(A937&lt;&gt;"",SUMIF(NESTING!I:I,A937,NESTING!J:J)=G937),"OK","")</f>
        <v/>
      </c>
    </row>
    <row r="938" spans="1:9">
      <c r="A938" s="29"/>
      <c r="B938" s="29"/>
      <c r="C938" s="28"/>
      <c r="D938" s="28"/>
      <c r="E938" s="29"/>
      <c r="F938" s="29"/>
      <c r="G938" s="29"/>
      <c r="H938" s="28"/>
      <c r="I938" s="29" t="str">
        <f>IF(AND(A938&lt;&gt;"",SUMIF(NESTING!I:I,A938,NESTING!J:J)=G938),"OK","")</f>
        <v/>
      </c>
    </row>
    <row r="939" spans="1:9">
      <c r="A939" s="29"/>
      <c r="B939" s="29"/>
      <c r="C939" s="28"/>
      <c r="D939" s="28"/>
      <c r="E939" s="29"/>
      <c r="F939" s="29"/>
      <c r="G939" s="29"/>
      <c r="H939" s="28"/>
      <c r="I939" s="29" t="str">
        <f>IF(AND(A939&lt;&gt;"",SUMIF(NESTING!I:I,A939,NESTING!J:J)=G939),"OK","")</f>
        <v/>
      </c>
    </row>
    <row r="940" spans="1:9">
      <c r="A940" s="29"/>
      <c r="B940" s="29"/>
      <c r="C940" s="28"/>
      <c r="D940" s="28"/>
      <c r="E940" s="29"/>
      <c r="F940" s="29"/>
      <c r="G940" s="29"/>
      <c r="H940" s="28"/>
      <c r="I940" s="29" t="str">
        <f>IF(AND(A940&lt;&gt;"",SUMIF(NESTING!I:I,A940,NESTING!J:J)=G940),"OK","")</f>
        <v/>
      </c>
    </row>
    <row r="941" spans="1:9">
      <c r="A941" s="29"/>
      <c r="B941" s="29"/>
      <c r="C941" s="28"/>
      <c r="D941" s="28"/>
      <c r="E941" s="29"/>
      <c r="F941" s="29"/>
      <c r="G941" s="29"/>
      <c r="H941" s="28"/>
      <c r="I941" s="29" t="str">
        <f>IF(AND(A941&lt;&gt;"",SUMIF(NESTING!I:I,A941,NESTING!J:J)=G941),"OK","")</f>
        <v/>
      </c>
    </row>
    <row r="942" spans="1:9">
      <c r="A942" s="29"/>
      <c r="B942" s="29"/>
      <c r="C942" s="28"/>
      <c r="D942" s="28"/>
      <c r="E942" s="29"/>
      <c r="F942" s="29"/>
      <c r="G942" s="29"/>
      <c r="H942" s="28"/>
      <c r="I942" s="29" t="str">
        <f>IF(AND(A942&lt;&gt;"",SUMIF(NESTING!I:I,A942,NESTING!J:J)=G942),"OK","")</f>
        <v/>
      </c>
    </row>
    <row r="943" spans="1:9">
      <c r="A943" s="29"/>
      <c r="B943" s="29"/>
      <c r="C943" s="28"/>
      <c r="D943" s="28"/>
      <c r="E943" s="29"/>
      <c r="F943" s="29"/>
      <c r="G943" s="29"/>
      <c r="H943" s="28"/>
      <c r="I943" s="29" t="str">
        <f>IF(AND(A943&lt;&gt;"",SUMIF(NESTING!I:I,A943,NESTING!J:J)=G943),"OK","")</f>
        <v/>
      </c>
    </row>
    <row r="944" spans="1:9">
      <c r="A944" s="29"/>
      <c r="B944" s="29"/>
      <c r="C944" s="28"/>
      <c r="D944" s="28"/>
      <c r="E944" s="29"/>
      <c r="F944" s="29"/>
      <c r="G944" s="29"/>
      <c r="H944" s="28"/>
      <c r="I944" s="29" t="str">
        <f>IF(AND(A944&lt;&gt;"",SUMIF(NESTING!I:I,A944,NESTING!J:J)=G944),"OK","")</f>
        <v/>
      </c>
    </row>
    <row r="945" spans="1:9">
      <c r="A945" s="29"/>
      <c r="B945" s="29"/>
      <c r="C945" s="28"/>
      <c r="D945" s="28"/>
      <c r="E945" s="29"/>
      <c r="F945" s="29"/>
      <c r="G945" s="29"/>
      <c r="H945" s="28"/>
      <c r="I945" s="29" t="str">
        <f>IF(AND(A945&lt;&gt;"",SUMIF(NESTING!I:I,A945,NESTING!J:J)=G945),"OK","")</f>
        <v/>
      </c>
    </row>
    <row r="946" spans="1:9">
      <c r="A946" s="29"/>
      <c r="B946" s="29"/>
      <c r="C946" s="28"/>
      <c r="D946" s="28"/>
      <c r="E946" s="29"/>
      <c r="F946" s="29"/>
      <c r="G946" s="29"/>
      <c r="H946" s="28"/>
      <c r="I946" s="29" t="str">
        <f>IF(AND(A946&lt;&gt;"",SUMIF(NESTING!I:I,A946,NESTING!J:J)=G946),"OK","")</f>
        <v/>
      </c>
    </row>
    <row r="947" spans="1:9">
      <c r="A947" s="29"/>
      <c r="B947" s="29"/>
      <c r="C947" s="28"/>
      <c r="D947" s="28"/>
      <c r="E947" s="29"/>
      <c r="F947" s="29"/>
      <c r="G947" s="29"/>
      <c r="H947" s="28"/>
      <c r="I947" s="29" t="str">
        <f>IF(AND(A947&lt;&gt;"",SUMIF(NESTING!I:I,A947,NESTING!J:J)=G947),"OK","")</f>
        <v/>
      </c>
    </row>
    <row r="948" spans="1:9">
      <c r="A948" s="29"/>
      <c r="B948" s="29"/>
      <c r="C948" s="28"/>
      <c r="D948" s="28"/>
      <c r="E948" s="29"/>
      <c r="F948" s="29"/>
      <c r="G948" s="29"/>
      <c r="H948" s="28"/>
      <c r="I948" s="29" t="str">
        <f>IF(AND(A948&lt;&gt;"",SUMIF(NESTING!I:I,A948,NESTING!J:J)=G948),"OK","")</f>
        <v/>
      </c>
    </row>
    <row r="949" spans="1:9">
      <c r="A949" s="29"/>
      <c r="B949" s="29"/>
      <c r="C949" s="28"/>
      <c r="D949" s="28"/>
      <c r="E949" s="29"/>
      <c r="F949" s="29"/>
      <c r="G949" s="29"/>
      <c r="H949" s="28"/>
      <c r="I949" s="29" t="str">
        <f>IF(AND(A949&lt;&gt;"",SUMIF(NESTING!I:I,A949,NESTING!J:J)=G949),"OK","")</f>
        <v/>
      </c>
    </row>
    <row r="950" spans="1:9">
      <c r="A950" s="29"/>
      <c r="B950" s="29"/>
      <c r="C950" s="28"/>
      <c r="D950" s="28"/>
      <c r="E950" s="29"/>
      <c r="F950" s="29"/>
      <c r="G950" s="29"/>
      <c r="H950" s="28"/>
      <c r="I950" s="29" t="str">
        <f>IF(AND(A950&lt;&gt;"",SUMIF(NESTING!I:I,A950,NESTING!J:J)=G950),"OK","")</f>
        <v/>
      </c>
    </row>
    <row r="951" spans="1:9">
      <c r="A951" s="29"/>
      <c r="B951" s="29"/>
      <c r="C951" s="28"/>
      <c r="D951" s="28"/>
      <c r="E951" s="29"/>
      <c r="F951" s="29"/>
      <c r="G951" s="29"/>
      <c r="H951" s="28"/>
      <c r="I951" s="29" t="str">
        <f>IF(AND(A951&lt;&gt;"",SUMIF(NESTING!I:I,A951,NESTING!J:J)=G951),"OK","")</f>
        <v/>
      </c>
    </row>
    <row r="952" spans="1:9">
      <c r="A952" s="29"/>
      <c r="B952" s="29"/>
      <c r="C952" s="28"/>
      <c r="D952" s="28"/>
      <c r="E952" s="29"/>
      <c r="F952" s="29"/>
      <c r="G952" s="29"/>
      <c r="H952" s="28"/>
      <c r="I952" s="29" t="str">
        <f>IF(AND(A952&lt;&gt;"",SUMIF(NESTING!I:I,A952,NESTING!J:J)=G952),"OK","")</f>
        <v/>
      </c>
    </row>
    <row r="953" spans="1:9">
      <c r="A953" s="29"/>
      <c r="B953" s="29"/>
      <c r="C953" s="28"/>
      <c r="D953" s="28"/>
      <c r="E953" s="29"/>
      <c r="F953" s="29"/>
      <c r="G953" s="29"/>
      <c r="H953" s="28"/>
      <c r="I953" s="29" t="str">
        <f>IF(AND(A953&lt;&gt;"",SUMIF(NESTING!I:I,A953,NESTING!J:J)=G953),"OK","")</f>
        <v/>
      </c>
    </row>
    <row r="954" spans="1:9">
      <c r="A954" s="29"/>
      <c r="B954" s="29"/>
      <c r="C954" s="28"/>
      <c r="D954" s="28"/>
      <c r="E954" s="29"/>
      <c r="F954" s="29"/>
      <c r="G954" s="29"/>
      <c r="H954" s="28"/>
      <c r="I954" s="29" t="str">
        <f>IF(AND(A954&lt;&gt;"",SUMIF(NESTING!I:I,A954,NESTING!J:J)=G954),"OK","")</f>
        <v/>
      </c>
    </row>
    <row r="955" spans="1:9">
      <c r="A955" s="29"/>
      <c r="B955" s="29"/>
      <c r="C955" s="28"/>
      <c r="D955" s="28"/>
      <c r="E955" s="29"/>
      <c r="F955" s="29"/>
      <c r="G955" s="29"/>
      <c r="H955" s="28"/>
      <c r="I955" s="29" t="str">
        <f>IF(AND(A955&lt;&gt;"",SUMIF(NESTING!I:I,A955,NESTING!J:J)=G955),"OK","")</f>
        <v/>
      </c>
    </row>
    <row r="956" spans="1:9">
      <c r="A956" s="29"/>
      <c r="B956" s="29"/>
      <c r="C956" s="28"/>
      <c r="D956" s="28"/>
      <c r="E956" s="29"/>
      <c r="F956" s="29"/>
      <c r="G956" s="29"/>
      <c r="H956" s="28"/>
      <c r="I956" s="29" t="str">
        <f>IF(AND(A956&lt;&gt;"",SUMIF(NESTING!I:I,A956,NESTING!J:J)=G956),"OK","")</f>
        <v/>
      </c>
    </row>
    <row r="957" spans="1:9">
      <c r="A957" s="29"/>
      <c r="B957" s="29"/>
      <c r="C957" s="28"/>
      <c r="D957" s="28"/>
      <c r="E957" s="29"/>
      <c r="F957" s="29"/>
      <c r="G957" s="29"/>
      <c r="H957" s="28"/>
      <c r="I957" s="29" t="str">
        <f>IF(AND(A957&lt;&gt;"",SUMIF(NESTING!I:I,A957,NESTING!J:J)=G957),"OK","")</f>
        <v/>
      </c>
    </row>
    <row r="958" spans="1:9">
      <c r="A958" s="29"/>
      <c r="B958" s="29"/>
      <c r="C958" s="28"/>
      <c r="D958" s="28"/>
      <c r="E958" s="29"/>
      <c r="F958" s="29"/>
      <c r="G958" s="29"/>
      <c r="H958" s="28"/>
      <c r="I958" s="29" t="str">
        <f>IF(AND(A958&lt;&gt;"",SUMIF(NESTING!I:I,A958,NESTING!J:J)=G958),"OK","")</f>
        <v/>
      </c>
    </row>
    <row r="959" spans="1:9">
      <c r="A959" s="29"/>
      <c r="B959" s="29"/>
      <c r="C959" s="28"/>
      <c r="D959" s="28"/>
      <c r="E959" s="29"/>
      <c r="F959" s="29"/>
      <c r="G959" s="29"/>
      <c r="H959" s="28"/>
      <c r="I959" s="29" t="str">
        <f>IF(AND(A959&lt;&gt;"",SUMIF(NESTING!I:I,A959,NESTING!J:J)=G959),"OK","")</f>
        <v/>
      </c>
    </row>
    <row r="960" spans="1:9">
      <c r="A960" s="29"/>
      <c r="B960" s="29"/>
      <c r="C960" s="28"/>
      <c r="D960" s="28"/>
      <c r="E960" s="29"/>
      <c r="F960" s="29"/>
      <c r="G960" s="29"/>
      <c r="H960" s="28"/>
      <c r="I960" s="29" t="str">
        <f>IF(AND(A960&lt;&gt;"",SUMIF(NESTING!I:I,A960,NESTING!J:J)=G960),"OK","")</f>
        <v/>
      </c>
    </row>
    <row r="961" spans="1:9">
      <c r="A961" s="29"/>
      <c r="B961" s="29"/>
      <c r="C961" s="28"/>
      <c r="D961" s="28"/>
      <c r="E961" s="29"/>
      <c r="F961" s="29"/>
      <c r="G961" s="29"/>
      <c r="H961" s="28"/>
      <c r="I961" s="29" t="str">
        <f>IF(AND(A961&lt;&gt;"",SUMIF(NESTING!I:I,A961,NESTING!J:J)=G961),"OK","")</f>
        <v/>
      </c>
    </row>
    <row r="962" spans="1:9">
      <c r="A962" s="29"/>
      <c r="B962" s="29"/>
      <c r="C962" s="28"/>
      <c r="D962" s="28"/>
      <c r="E962" s="29"/>
      <c r="F962" s="29"/>
      <c r="G962" s="29"/>
      <c r="H962" s="28"/>
      <c r="I962" s="29" t="str">
        <f>IF(AND(A962&lt;&gt;"",SUMIF(NESTING!I:I,A962,NESTING!J:J)=G962),"OK","")</f>
        <v/>
      </c>
    </row>
    <row r="963" spans="1:9">
      <c r="A963" s="29"/>
      <c r="B963" s="29"/>
      <c r="C963" s="28"/>
      <c r="D963" s="28"/>
      <c r="E963" s="29"/>
      <c r="F963" s="29"/>
      <c r="G963" s="29"/>
      <c r="H963" s="28"/>
      <c r="I963" s="29" t="str">
        <f>IF(AND(A963&lt;&gt;"",SUMIF(NESTING!I:I,A963,NESTING!J:J)=G963),"OK","")</f>
        <v/>
      </c>
    </row>
    <row r="964" spans="1:9">
      <c r="A964" s="29"/>
      <c r="B964" s="29"/>
      <c r="C964" s="28"/>
      <c r="D964" s="28"/>
      <c r="E964" s="29"/>
      <c r="F964" s="29"/>
      <c r="G964" s="29"/>
      <c r="H964" s="28"/>
      <c r="I964" s="29" t="str">
        <f>IF(AND(A964&lt;&gt;"",SUMIF(NESTING!I:I,A964,NESTING!J:J)=G964),"OK","")</f>
        <v/>
      </c>
    </row>
    <row r="965" spans="1:9">
      <c r="A965" s="29"/>
      <c r="B965" s="29"/>
      <c r="C965" s="28"/>
      <c r="D965" s="28"/>
      <c r="E965" s="29"/>
      <c r="F965" s="29"/>
      <c r="G965" s="29"/>
      <c r="H965" s="28"/>
      <c r="I965" s="29" t="str">
        <f>IF(AND(A965&lt;&gt;"",SUMIF(NESTING!I:I,A965,NESTING!J:J)=G965),"OK","")</f>
        <v/>
      </c>
    </row>
    <row r="966" spans="1:9">
      <c r="A966" s="29"/>
      <c r="B966" s="29"/>
      <c r="C966" s="28"/>
      <c r="D966" s="28"/>
      <c r="E966" s="29"/>
      <c r="F966" s="29"/>
      <c r="G966" s="29"/>
      <c r="H966" s="28"/>
      <c r="I966" s="29" t="str">
        <f>IF(AND(A966&lt;&gt;"",SUMIF(NESTING!I:I,A966,NESTING!J:J)=G966),"OK","")</f>
        <v/>
      </c>
    </row>
    <row r="967" spans="1:9">
      <c r="A967" s="29"/>
      <c r="B967" s="29"/>
      <c r="C967" s="28"/>
      <c r="D967" s="28"/>
      <c r="E967" s="29"/>
      <c r="F967" s="29"/>
      <c r="G967" s="29"/>
      <c r="H967" s="28"/>
      <c r="I967" s="29" t="str">
        <f>IF(AND(A967&lt;&gt;"",SUMIF(NESTING!I:I,A967,NESTING!J:J)=G967),"OK","")</f>
        <v/>
      </c>
    </row>
    <row r="968" spans="1:9">
      <c r="A968" s="29"/>
      <c r="B968" s="29"/>
      <c r="C968" s="28"/>
      <c r="D968" s="28"/>
      <c r="E968" s="29"/>
      <c r="F968" s="29"/>
      <c r="G968" s="29"/>
      <c r="H968" s="28"/>
      <c r="I968" s="29" t="str">
        <f>IF(AND(A968&lt;&gt;"",SUMIF(NESTING!I:I,A968,NESTING!J:J)=G968),"OK","")</f>
        <v/>
      </c>
    </row>
    <row r="969" spans="1:9">
      <c r="A969" s="29"/>
      <c r="B969" s="29"/>
      <c r="C969" s="28"/>
      <c r="D969" s="28"/>
      <c r="E969" s="29"/>
      <c r="F969" s="29"/>
      <c r="G969" s="29"/>
      <c r="H969" s="28"/>
      <c r="I969" s="29" t="str">
        <f>IF(AND(A969&lt;&gt;"",SUMIF(NESTING!I:I,A969,NESTING!J:J)=G969),"OK","")</f>
        <v/>
      </c>
    </row>
    <row r="970" spans="1:9">
      <c r="A970" s="29"/>
      <c r="B970" s="29"/>
      <c r="C970" s="28"/>
      <c r="D970" s="28"/>
      <c r="E970" s="29"/>
      <c r="F970" s="29"/>
      <c r="G970" s="29"/>
      <c r="H970" s="28"/>
      <c r="I970" s="29" t="str">
        <f>IF(AND(A970&lt;&gt;"",SUMIF(NESTING!I:I,A970,NESTING!J:J)=G970),"OK","")</f>
        <v/>
      </c>
    </row>
    <row r="971" spans="1:9">
      <c r="A971" s="29"/>
      <c r="B971" s="29"/>
      <c r="C971" s="28"/>
      <c r="D971" s="28"/>
      <c r="E971" s="29"/>
      <c r="F971" s="29"/>
      <c r="G971" s="29"/>
      <c r="H971" s="28"/>
      <c r="I971" s="29" t="str">
        <f>IF(AND(A971&lt;&gt;"",SUMIF(NESTING!I:I,A971,NESTING!J:J)=G971),"OK","")</f>
        <v/>
      </c>
    </row>
    <row r="972" spans="1:9">
      <c r="A972" s="29"/>
      <c r="B972" s="29"/>
      <c r="C972" s="28"/>
      <c r="D972" s="28"/>
      <c r="E972" s="29"/>
      <c r="F972" s="29"/>
      <c r="G972" s="29"/>
      <c r="H972" s="28"/>
      <c r="I972" s="29" t="str">
        <f>IF(AND(A972&lt;&gt;"",SUMIF(NESTING!I:I,A972,NESTING!J:J)=G972),"OK","")</f>
        <v/>
      </c>
    </row>
    <row r="973" spans="1:9">
      <c r="A973" s="29"/>
      <c r="B973" s="29"/>
      <c r="C973" s="28"/>
      <c r="D973" s="28"/>
      <c r="E973" s="29"/>
      <c r="F973" s="29"/>
      <c r="G973" s="29"/>
      <c r="H973" s="28"/>
      <c r="I973" s="29" t="str">
        <f>IF(AND(A973&lt;&gt;"",SUMIF(NESTING!I:I,A973,NESTING!J:J)=G973),"OK","")</f>
        <v/>
      </c>
    </row>
    <row r="974" spans="1:9">
      <c r="A974" s="29"/>
      <c r="B974" s="29"/>
      <c r="C974" s="28"/>
      <c r="D974" s="28"/>
      <c r="E974" s="29"/>
      <c r="F974" s="29"/>
      <c r="G974" s="29"/>
      <c r="H974" s="28"/>
      <c r="I974" s="29" t="str">
        <f>IF(AND(A974&lt;&gt;"",SUMIF(NESTING!I:I,A974,NESTING!J:J)=G974),"OK","")</f>
        <v/>
      </c>
    </row>
    <row r="975" spans="1:9">
      <c r="A975" s="29"/>
      <c r="B975" s="29"/>
      <c r="C975" s="28"/>
      <c r="D975" s="28"/>
      <c r="E975" s="29"/>
      <c r="F975" s="29"/>
      <c r="G975" s="29"/>
      <c r="H975" s="28"/>
      <c r="I975" s="29" t="str">
        <f>IF(AND(A975&lt;&gt;"",SUMIF(NESTING!I:I,A975,NESTING!J:J)=G975),"OK","")</f>
        <v/>
      </c>
    </row>
    <row r="976" spans="1:9">
      <c r="A976" s="29"/>
      <c r="B976" s="29"/>
      <c r="C976" s="28"/>
      <c r="D976" s="28"/>
      <c r="E976" s="29"/>
      <c r="F976" s="29"/>
      <c r="G976" s="29"/>
      <c r="H976" s="28"/>
      <c r="I976" s="29" t="str">
        <f>IF(AND(A976&lt;&gt;"",SUMIF(NESTING!I:I,A976,NESTING!J:J)=G976),"OK","")</f>
        <v/>
      </c>
    </row>
    <row r="977" spans="1:9">
      <c r="A977" s="29"/>
      <c r="B977" s="29"/>
      <c r="C977" s="28"/>
      <c r="D977" s="28"/>
      <c r="E977" s="29"/>
      <c r="F977" s="29"/>
      <c r="G977" s="29"/>
      <c r="H977" s="28"/>
      <c r="I977" s="29" t="str">
        <f>IF(AND(A977&lt;&gt;"",SUMIF(NESTING!I:I,A977,NESTING!J:J)=G977),"OK","")</f>
        <v/>
      </c>
    </row>
    <row r="978" spans="1:9">
      <c r="A978" s="29"/>
      <c r="B978" s="29"/>
      <c r="C978" s="28"/>
      <c r="D978" s="28"/>
      <c r="E978" s="29"/>
      <c r="F978" s="29"/>
      <c r="G978" s="29"/>
      <c r="H978" s="28"/>
      <c r="I978" s="29" t="str">
        <f>IF(AND(A978&lt;&gt;"",SUMIF(NESTING!I:I,A978,NESTING!J:J)=G978),"OK","")</f>
        <v/>
      </c>
    </row>
    <row r="979" spans="1:9">
      <c r="A979" s="29"/>
      <c r="B979" s="29"/>
      <c r="C979" s="28"/>
      <c r="D979" s="28"/>
      <c r="E979" s="29"/>
      <c r="F979" s="29"/>
      <c r="G979" s="29"/>
      <c r="H979" s="28"/>
      <c r="I979" s="29" t="str">
        <f>IF(AND(A979&lt;&gt;"",SUMIF(NESTING!I:I,A979,NESTING!J:J)=G979),"OK","")</f>
        <v/>
      </c>
    </row>
    <row r="980" spans="1:9">
      <c r="A980" s="29"/>
      <c r="B980" s="29"/>
      <c r="C980" s="28"/>
      <c r="D980" s="28"/>
      <c r="E980" s="29"/>
      <c r="F980" s="29"/>
      <c r="G980" s="29"/>
      <c r="H980" s="28"/>
      <c r="I980" s="29" t="str">
        <f>IF(AND(A980&lt;&gt;"",SUMIF(NESTING!I:I,A980,NESTING!J:J)=G980),"OK","")</f>
        <v/>
      </c>
    </row>
    <row r="981" spans="1:9">
      <c r="A981" s="29"/>
      <c r="B981" s="29"/>
      <c r="C981" s="28"/>
      <c r="D981" s="28"/>
      <c r="E981" s="29"/>
      <c r="F981" s="29"/>
      <c r="G981" s="29"/>
      <c r="H981" s="28"/>
      <c r="I981" s="29" t="str">
        <f>IF(AND(A981&lt;&gt;"",SUMIF(NESTING!I:I,A981,NESTING!J:J)=G981),"OK","")</f>
        <v/>
      </c>
    </row>
    <row r="982" spans="1:9">
      <c r="A982" s="29"/>
      <c r="B982" s="29"/>
      <c r="C982" s="28"/>
      <c r="D982" s="28"/>
      <c r="E982" s="29"/>
      <c r="F982" s="29"/>
      <c r="G982" s="29"/>
      <c r="H982" s="28"/>
      <c r="I982" s="29" t="str">
        <f>IF(AND(A982&lt;&gt;"",SUMIF(NESTING!I:I,A982,NESTING!J:J)=G982),"OK","")</f>
        <v/>
      </c>
    </row>
    <row r="983" spans="1:9">
      <c r="A983" s="29"/>
      <c r="B983" s="29"/>
      <c r="C983" s="28"/>
      <c r="D983" s="28"/>
      <c r="E983" s="29"/>
      <c r="F983" s="29"/>
      <c r="G983" s="29"/>
      <c r="H983" s="28"/>
      <c r="I983" s="29" t="str">
        <f>IF(AND(A983&lt;&gt;"",SUMIF(NESTING!I:I,A983,NESTING!J:J)=G983),"OK","")</f>
        <v/>
      </c>
    </row>
    <row r="984" spans="1:9">
      <c r="A984" s="29"/>
      <c r="B984" s="29"/>
      <c r="C984" s="28"/>
      <c r="D984" s="28"/>
      <c r="E984" s="29"/>
      <c r="F984" s="29"/>
      <c r="G984" s="29"/>
      <c r="H984" s="28"/>
      <c r="I984" s="29" t="str">
        <f>IF(AND(A984&lt;&gt;"",SUMIF(NESTING!I:I,A984,NESTING!J:J)=G984),"OK","")</f>
        <v/>
      </c>
    </row>
    <row r="985" spans="1:9">
      <c r="A985" s="29"/>
      <c r="B985" s="29"/>
      <c r="C985" s="28"/>
      <c r="D985" s="28"/>
      <c r="E985" s="29"/>
      <c r="F985" s="29"/>
      <c r="G985" s="29"/>
      <c r="H985" s="28"/>
      <c r="I985" s="29" t="str">
        <f>IF(AND(A985&lt;&gt;"",SUMIF(NESTING!I:I,A985,NESTING!J:J)=G985),"OK","")</f>
        <v/>
      </c>
    </row>
    <row r="986" spans="1:9">
      <c r="A986" s="29"/>
      <c r="B986" s="29"/>
      <c r="C986" s="28"/>
      <c r="D986" s="28"/>
      <c r="E986" s="29"/>
      <c r="F986" s="29"/>
      <c r="G986" s="29"/>
      <c r="H986" s="28"/>
      <c r="I986" s="29" t="str">
        <f>IF(AND(A986&lt;&gt;"",SUMIF(NESTING!I:I,A986,NESTING!J:J)=G986),"OK","")</f>
        <v/>
      </c>
    </row>
    <row r="987" spans="1:9">
      <c r="A987" s="29"/>
      <c r="B987" s="29"/>
      <c r="C987" s="28"/>
      <c r="D987" s="28"/>
      <c r="E987" s="29"/>
      <c r="F987" s="29"/>
      <c r="G987" s="29"/>
      <c r="H987" s="28"/>
      <c r="I987" s="29" t="str">
        <f>IF(AND(A987&lt;&gt;"",SUMIF(NESTING!I:I,A987,NESTING!J:J)=G987),"OK","")</f>
        <v/>
      </c>
    </row>
    <row r="988" spans="1:9">
      <c r="A988" s="29"/>
      <c r="B988" s="29"/>
      <c r="C988" s="28"/>
      <c r="D988" s="28"/>
      <c r="E988" s="29"/>
      <c r="F988" s="29"/>
      <c r="G988" s="29"/>
      <c r="H988" s="28"/>
      <c r="I988" s="29" t="str">
        <f>IF(AND(A988&lt;&gt;"",SUMIF(NESTING!I:I,A988,NESTING!J:J)=G988),"OK","")</f>
        <v/>
      </c>
    </row>
    <row r="989" spans="1:9">
      <c r="A989" s="29"/>
      <c r="B989" s="29"/>
      <c r="C989" s="28"/>
      <c r="D989" s="28"/>
      <c r="E989" s="29"/>
      <c r="F989" s="29"/>
      <c r="G989" s="29"/>
      <c r="H989" s="28"/>
      <c r="I989" s="29" t="str">
        <f>IF(AND(A989&lt;&gt;"",SUMIF(NESTING!I:I,A989,NESTING!J:J)=G989),"OK","")</f>
        <v/>
      </c>
    </row>
    <row r="990" spans="1:9">
      <c r="A990" s="29"/>
      <c r="B990" s="29"/>
      <c r="C990" s="28"/>
      <c r="D990" s="28"/>
      <c r="E990" s="29"/>
      <c r="F990" s="29"/>
      <c r="G990" s="29"/>
      <c r="H990" s="28"/>
      <c r="I990" s="29" t="str">
        <f>IF(AND(A990&lt;&gt;"",SUMIF(NESTING!I:I,A990,NESTING!J:J)=G990),"OK","")</f>
        <v/>
      </c>
    </row>
    <row r="991" spans="1:9">
      <c r="A991" s="29"/>
      <c r="B991" s="29"/>
      <c r="C991" s="28"/>
      <c r="D991" s="28"/>
      <c r="E991" s="29"/>
      <c r="F991" s="29"/>
      <c r="G991" s="29"/>
      <c r="H991" s="28"/>
      <c r="I991" s="29" t="str">
        <f>IF(AND(A991&lt;&gt;"",SUMIF(NESTING!I:I,A991,NESTING!J:J)=G991),"OK","")</f>
        <v/>
      </c>
    </row>
    <row r="992" spans="1:9">
      <c r="A992" s="29"/>
      <c r="B992" s="29"/>
      <c r="C992" s="28"/>
      <c r="D992" s="28"/>
      <c r="E992" s="29"/>
      <c r="F992" s="29"/>
      <c r="G992" s="29"/>
      <c r="H992" s="28"/>
      <c r="I992" s="29" t="str">
        <f>IF(AND(A992&lt;&gt;"",SUMIF(NESTING!I:I,A992,NESTING!J:J)=G992),"OK","")</f>
        <v/>
      </c>
    </row>
    <row r="993" spans="9:9">
      <c r="I993" s="29" t="str">
        <f>IF(AND(A993&lt;&gt;"",SUMIF(NESTING!I:I,A993,NESTING!J:J)=G993),"OK","")</f>
        <v/>
      </c>
    </row>
    <row r="994" spans="9:9">
      <c r="I994" s="29" t="str">
        <f>IF(AND(A994&lt;&gt;"",SUMIF(NESTING!I:I,A994,NESTING!J:J)=G994),"OK","")</f>
        <v/>
      </c>
    </row>
    <row r="995" spans="9:9">
      <c r="I995" s="29" t="str">
        <f>IF(AND(A995&lt;&gt;"",SUMIF(NESTING!I:I,A995,NESTING!J:J)=G995),"OK","")</f>
        <v/>
      </c>
    </row>
    <row r="996" spans="9:9">
      <c r="I996" s="29" t="str">
        <f>IF(AND(A996&lt;&gt;"",SUMIF(NESTING!I:I,A996,NESTING!J:J)=G996),"OK","")</f>
        <v/>
      </c>
    </row>
    <row r="997" spans="9:9">
      <c r="I997" s="29" t="str">
        <f>IF(AND(A997&lt;&gt;"",SUMIF(NESTING!I:I,A997,NESTING!J:J)=G997),"OK","")</f>
        <v/>
      </c>
    </row>
    <row r="998" spans="9:9">
      <c r="I998" s="29" t="str">
        <f>IF(AND(A998&lt;&gt;"",SUMIF(NESTING!I:I,A998,NESTING!J:J)=G998),"OK","")</f>
        <v/>
      </c>
    </row>
    <row r="999" spans="9:9">
      <c r="I999" s="29" t="str">
        <f>IF(AND(A999&lt;&gt;"",SUMIF(NESTING!I:I,A999,NESTING!J:J)=G999),"OK","")</f>
        <v/>
      </c>
    </row>
    <row r="1000" spans="9:9">
      <c r="I1000" s="29" t="str">
        <f>IF(AND(A1000&lt;&gt;"",SUMIF(NESTING!I:I,A1000,NESTING!J:J)=G1000),"OK","")</f>
        <v/>
      </c>
    </row>
    <row r="1047579" spans="6:7">
      <c r="F1047579" s="29"/>
      <c r="G1047579" s="28"/>
    </row>
    <row r="1047581" spans="6:7">
      <c r="F1047581" s="29"/>
      <c r="G1047581" s="28"/>
    </row>
  </sheetData>
  <autoFilter ref="A1:AG993" xr:uid="{00000000-0009-0000-0000-000000000000}"/>
  <sortState xmlns:xlrd2="http://schemas.microsoft.com/office/spreadsheetml/2017/richdata2" ref="L1:L2000">
    <sortCondition descending="1" ref="L1:L2000"/>
  </sortState>
  <phoneticPr fontId="40" type="noConversion"/>
  <conditionalFormatting sqref="D1 D993:D1048576">
    <cfRule type="containsText" dxfId="2707" priority="151" operator="containsText" text="540">
      <formula>NOT(ISERROR(SEARCH("540",D1)))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B050"/>
  </sheetPr>
  <dimension ref="A1:P31"/>
  <sheetViews>
    <sheetView workbookViewId="0">
      <selection activeCell="B1" sqref="B1"/>
    </sheetView>
  </sheetViews>
  <sheetFormatPr defaultColWidth="4.5703125" defaultRowHeight="15"/>
  <cols>
    <col min="1" max="1" width="2" bestFit="1" customWidth="1"/>
    <col min="2" max="3" width="41.7109375" bestFit="1" customWidth="1"/>
    <col min="4" max="4" width="41.85546875" bestFit="1" customWidth="1"/>
    <col min="5" max="5" width="41.7109375" bestFit="1" customWidth="1"/>
    <col min="6" max="6" width="36" bestFit="1" customWidth="1"/>
    <col min="7" max="7" width="32.85546875" bestFit="1" customWidth="1"/>
    <col min="8" max="8" width="36.5703125" bestFit="1" customWidth="1"/>
    <col min="9" max="9" width="45.28515625" bestFit="1" customWidth="1"/>
    <col min="10" max="10" width="44.5703125" bestFit="1" customWidth="1"/>
    <col min="11" max="11" width="44.7109375" bestFit="1" customWidth="1"/>
    <col min="12" max="12" width="44.5703125" bestFit="1" customWidth="1"/>
    <col min="13" max="13" width="44.7109375" bestFit="1" customWidth="1"/>
    <col min="14" max="14" width="44.5703125" bestFit="1" customWidth="1"/>
    <col min="15" max="15" width="32.85546875" bestFit="1" customWidth="1"/>
    <col min="16" max="16" width="45.28515625" bestFit="1" customWidth="1"/>
    <col min="17" max="17" width="40.85546875" bestFit="1" customWidth="1"/>
    <col min="18" max="18" width="32.85546875" bestFit="1" customWidth="1"/>
    <col min="19" max="19" width="40.85546875" bestFit="1" customWidth="1"/>
    <col min="20" max="20" width="32.85546875" bestFit="1" customWidth="1"/>
    <col min="21" max="21" width="40.85546875" bestFit="1" customWidth="1"/>
    <col min="22" max="22" width="32.85546875" bestFit="1" customWidth="1"/>
    <col min="23" max="23" width="40.85546875" bestFit="1" customWidth="1"/>
    <col min="24" max="24" width="32.85546875" bestFit="1" customWidth="1"/>
  </cols>
  <sheetData>
    <row r="1" spans="1:16">
      <c r="A1">
        <v>1</v>
      </c>
      <c r="B1" t="s">
        <v>1898</v>
      </c>
      <c r="C1" t="s">
        <v>1899</v>
      </c>
    </row>
    <row r="2" spans="1:16">
      <c r="A2">
        <v>1</v>
      </c>
      <c r="B2" t="s">
        <v>1895</v>
      </c>
      <c r="C2" t="s">
        <v>1896</v>
      </c>
      <c r="D2" t="s">
        <v>1897</v>
      </c>
    </row>
    <row r="3" spans="1:16">
      <c r="A3">
        <v>1</v>
      </c>
      <c r="B3" t="s">
        <v>1892</v>
      </c>
      <c r="C3" t="s">
        <v>1893</v>
      </c>
      <c r="D3" t="s">
        <v>1894</v>
      </c>
    </row>
    <row r="4" spans="1:16">
      <c r="A4">
        <v>1</v>
      </c>
      <c r="B4" t="s">
        <v>1889</v>
      </c>
      <c r="C4" t="s">
        <v>1890</v>
      </c>
      <c r="D4" t="s">
        <v>1891</v>
      </c>
      <c r="E4" t="s">
        <v>1921</v>
      </c>
      <c r="F4" t="s">
        <v>1910</v>
      </c>
    </row>
    <row r="5" spans="1:16">
      <c r="A5">
        <v>1</v>
      </c>
      <c r="B5" t="s">
        <v>1886</v>
      </c>
      <c r="C5" t="s">
        <v>1887</v>
      </c>
      <c r="D5" t="s">
        <v>1888</v>
      </c>
      <c r="E5" t="s">
        <v>1918</v>
      </c>
      <c r="F5" t="s">
        <v>1902</v>
      </c>
    </row>
    <row r="6" spans="1:16">
      <c r="A6">
        <v>1</v>
      </c>
      <c r="B6" t="s">
        <v>1927</v>
      </c>
      <c r="C6" t="s">
        <v>1926</v>
      </c>
      <c r="D6" t="s">
        <v>1925</v>
      </c>
      <c r="E6" t="s">
        <v>1943</v>
      </c>
      <c r="F6" t="s">
        <v>1944</v>
      </c>
    </row>
    <row r="7" spans="1:16">
      <c r="A7">
        <v>1</v>
      </c>
      <c r="B7" t="s">
        <v>1885</v>
      </c>
      <c r="C7" t="s">
        <v>1929</v>
      </c>
      <c r="D7" t="s">
        <v>1928</v>
      </c>
      <c r="E7" t="s">
        <v>1924</v>
      </c>
    </row>
    <row r="8" spans="1:16">
      <c r="A8">
        <v>1</v>
      </c>
      <c r="B8" t="s">
        <v>1950</v>
      </c>
      <c r="C8" t="s">
        <v>1945</v>
      </c>
      <c r="D8" t="s">
        <v>1920</v>
      </c>
      <c r="E8" t="s">
        <v>1948</v>
      </c>
      <c r="F8" t="s">
        <v>1901</v>
      </c>
    </row>
    <row r="9" spans="1:16">
      <c r="A9">
        <v>1</v>
      </c>
      <c r="B9" t="s">
        <v>1937</v>
      </c>
      <c r="C9" t="s">
        <v>1884</v>
      </c>
      <c r="D9" t="s">
        <v>1952</v>
      </c>
      <c r="E9" t="s">
        <v>1873</v>
      </c>
    </row>
    <row r="10" spans="1:16">
      <c r="A10">
        <v>1</v>
      </c>
      <c r="B10" t="s">
        <v>1941</v>
      </c>
      <c r="C10" t="s">
        <v>1883</v>
      </c>
      <c r="D10" t="s">
        <v>1904</v>
      </c>
      <c r="E10" t="s">
        <v>1872</v>
      </c>
    </row>
    <row r="11" spans="1:16">
      <c r="A11">
        <v>1</v>
      </c>
      <c r="B11" t="s">
        <v>1946</v>
      </c>
      <c r="C11" t="s">
        <v>1923</v>
      </c>
      <c r="D11" t="s">
        <v>1939</v>
      </c>
      <c r="E11" t="s">
        <v>1933</v>
      </c>
    </row>
    <row r="12" spans="1:16">
      <c r="A12">
        <v>1</v>
      </c>
      <c r="B12" t="s">
        <v>1903</v>
      </c>
      <c r="C12" t="s">
        <v>1949</v>
      </c>
      <c r="D12" t="s">
        <v>1938</v>
      </c>
    </row>
    <row r="13" spans="1:16">
      <c r="A13">
        <v>1</v>
      </c>
      <c r="B13" t="s">
        <v>1900</v>
      </c>
      <c r="C13" t="s">
        <v>1931</v>
      </c>
      <c r="D13" t="s">
        <v>1871</v>
      </c>
    </row>
    <row r="14" spans="1:16">
      <c r="A14">
        <v>1</v>
      </c>
      <c r="B14" t="s">
        <v>1922</v>
      </c>
      <c r="C14" t="s">
        <v>1940</v>
      </c>
      <c r="D14" t="s">
        <v>1858</v>
      </c>
      <c r="E14" t="s">
        <v>1947</v>
      </c>
      <c r="F14" t="s">
        <v>1863</v>
      </c>
      <c r="G14" t="s">
        <v>1864</v>
      </c>
      <c r="H14" t="s">
        <v>1865</v>
      </c>
      <c r="I14" t="s">
        <v>1866</v>
      </c>
      <c r="J14" t="s">
        <v>1867</v>
      </c>
      <c r="K14" t="s">
        <v>1868</v>
      </c>
      <c r="L14" t="s">
        <v>1869</v>
      </c>
      <c r="M14" t="s">
        <v>1870</v>
      </c>
    </row>
    <row r="15" spans="1:16">
      <c r="A15">
        <v>1</v>
      </c>
      <c r="B15" t="s">
        <v>1919</v>
      </c>
      <c r="C15" t="s">
        <v>1911</v>
      </c>
      <c r="D15" t="s">
        <v>1877</v>
      </c>
      <c r="E15" t="s">
        <v>1880</v>
      </c>
      <c r="F15" t="s">
        <v>1935</v>
      </c>
      <c r="G15" t="s">
        <v>1915</v>
      </c>
      <c r="H15" t="s">
        <v>1914</v>
      </c>
      <c r="I15" t="s">
        <v>1932</v>
      </c>
      <c r="J15" t="s">
        <v>1882</v>
      </c>
      <c r="K15" t="s">
        <v>1856</v>
      </c>
      <c r="L15" t="s">
        <v>1876</v>
      </c>
      <c r="M15" t="s">
        <v>1859</v>
      </c>
      <c r="N15" t="s">
        <v>1860</v>
      </c>
      <c r="O15" t="s">
        <v>1861</v>
      </c>
      <c r="P15" t="s">
        <v>1862</v>
      </c>
    </row>
    <row r="16" spans="1:16">
      <c r="A16">
        <v>1</v>
      </c>
      <c r="B16" t="s">
        <v>1875</v>
      </c>
      <c r="C16" t="s">
        <v>1881</v>
      </c>
      <c r="D16" t="s">
        <v>1857</v>
      </c>
    </row>
    <row r="17" spans="1:4">
      <c r="A17">
        <v>1</v>
      </c>
      <c r="B17" t="s">
        <v>1942</v>
      </c>
      <c r="C17" t="s">
        <v>1909</v>
      </c>
      <c r="D17" t="s">
        <v>1951</v>
      </c>
    </row>
    <row r="18" spans="1:4">
      <c r="A18">
        <v>1</v>
      </c>
      <c r="B18" t="s">
        <v>1917</v>
      </c>
    </row>
    <row r="19" spans="1:4">
      <c r="A19">
        <v>1</v>
      </c>
      <c r="B19" t="s">
        <v>1936</v>
      </c>
    </row>
    <row r="20" spans="1:4">
      <c r="A20">
        <v>1</v>
      </c>
      <c r="B20" t="s">
        <v>1878</v>
      </c>
    </row>
    <row r="21" spans="1:4">
      <c r="A21">
        <v>1</v>
      </c>
      <c r="B21" t="s">
        <v>1934</v>
      </c>
    </row>
    <row r="22" spans="1:4">
      <c r="A22">
        <v>1</v>
      </c>
      <c r="B22" t="s">
        <v>1906</v>
      </c>
    </row>
    <row r="23" spans="1:4">
      <c r="A23">
        <v>1</v>
      </c>
      <c r="B23" t="s">
        <v>1913</v>
      </c>
    </row>
    <row r="24" spans="1:4">
      <c r="A24">
        <v>1</v>
      </c>
      <c r="B24" t="s">
        <v>1908</v>
      </c>
    </row>
    <row r="25" spans="1:4">
      <c r="A25">
        <v>1</v>
      </c>
      <c r="B25" t="s">
        <v>1905</v>
      </c>
    </row>
    <row r="26" spans="1:4">
      <c r="A26">
        <v>1</v>
      </c>
      <c r="B26" t="s">
        <v>1916</v>
      </c>
    </row>
    <row r="27" spans="1:4">
      <c r="A27">
        <v>1</v>
      </c>
      <c r="B27" t="s">
        <v>1912</v>
      </c>
    </row>
    <row r="28" spans="1:4">
      <c r="A28">
        <v>1</v>
      </c>
      <c r="B28" t="s">
        <v>1874</v>
      </c>
    </row>
    <row r="29" spans="1:4">
      <c r="A29">
        <v>1</v>
      </c>
      <c r="B29" t="s">
        <v>1879</v>
      </c>
    </row>
    <row r="30" spans="1:4">
      <c r="A30">
        <v>1</v>
      </c>
      <c r="B30" t="s">
        <v>1907</v>
      </c>
    </row>
    <row r="31" spans="1:4">
      <c r="A31">
        <v>1</v>
      </c>
      <c r="B31" t="s">
        <v>1930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0000"/>
  </sheetPr>
  <dimension ref="A1:AG3020"/>
  <sheetViews>
    <sheetView zoomScale="70" zoomScaleNormal="70" workbookViewId="0">
      <selection activeCell="I16" sqref="I16"/>
    </sheetView>
  </sheetViews>
  <sheetFormatPr defaultRowHeight="15"/>
  <cols>
    <col min="1" max="1" width="4.42578125" bestFit="1" customWidth="1"/>
    <col min="2" max="2" width="9.140625" bestFit="1" customWidth="1"/>
    <col min="3" max="3" width="7.7109375" bestFit="1" customWidth="1"/>
    <col min="4" max="4" width="5.85546875" customWidth="1"/>
    <col min="7" max="7" width="4.140625" bestFit="1" customWidth="1"/>
    <col min="8" max="8" width="5.5703125" bestFit="1" customWidth="1"/>
    <col min="9" max="9" width="31.5703125" bestFit="1" customWidth="1"/>
    <col min="12" max="12" width="10.140625" customWidth="1"/>
    <col min="13" max="13" width="15.42578125" bestFit="1" customWidth="1"/>
    <col min="14" max="15" width="9.140625" style="15"/>
    <col min="16" max="16" width="40.28515625" style="15" bestFit="1" customWidth="1"/>
    <col min="17" max="21" width="9.140625" style="15"/>
    <col min="22" max="28" width="9.140625" style="2"/>
    <col min="29" max="33" width="9.140625" style="15"/>
  </cols>
  <sheetData>
    <row r="1" spans="1:33" ht="15.75" customHeight="1">
      <c r="A1" s="76" t="s">
        <v>4</v>
      </c>
      <c r="B1" s="76"/>
      <c r="C1" s="76"/>
      <c r="D1" s="76"/>
      <c r="E1" s="76"/>
      <c r="F1" s="76"/>
      <c r="G1" s="76"/>
      <c r="H1" s="76"/>
      <c r="I1" s="77" t="s">
        <v>5</v>
      </c>
      <c r="J1" s="77"/>
      <c r="K1" s="75" t="s">
        <v>22</v>
      </c>
      <c r="L1" s="75"/>
      <c r="M1" s="75"/>
      <c r="N1" s="14"/>
      <c r="T1"/>
      <c r="U1"/>
      <c r="V1"/>
      <c r="W1"/>
      <c r="X1"/>
      <c r="Y1"/>
      <c r="Z1"/>
      <c r="AA1"/>
      <c r="AB1"/>
      <c r="AC1"/>
      <c r="AD1"/>
      <c r="AE1"/>
      <c r="AF1"/>
      <c r="AG1"/>
    </row>
    <row r="2" spans="1:33" ht="15.75" customHeight="1">
      <c r="A2" s="76"/>
      <c r="B2" s="76"/>
      <c r="C2" s="76"/>
      <c r="D2" s="76"/>
      <c r="E2" s="76"/>
      <c r="F2" s="76"/>
      <c r="G2" s="76"/>
      <c r="H2" s="76"/>
      <c r="I2" s="75" t="s">
        <v>6</v>
      </c>
      <c r="J2" s="75"/>
      <c r="K2" s="75" t="s">
        <v>21</v>
      </c>
      <c r="L2" s="75"/>
      <c r="M2" s="75"/>
      <c r="N2" s="14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ht="15.75">
      <c r="A3" s="73" t="s">
        <v>24</v>
      </c>
      <c r="B3" s="73"/>
      <c r="C3" s="73"/>
      <c r="D3" s="17">
        <f>SUM(D5:D712)</f>
        <v>1</v>
      </c>
      <c r="E3" s="74" t="s">
        <v>7</v>
      </c>
      <c r="F3" s="74"/>
      <c r="G3" s="74"/>
      <c r="H3" s="17">
        <f>SUM(J5:J712)</f>
        <v>1</v>
      </c>
      <c r="I3" s="75" t="s">
        <v>8</v>
      </c>
      <c r="J3" s="75"/>
      <c r="K3" s="75" t="s">
        <v>260</v>
      </c>
      <c r="L3" s="75"/>
      <c r="M3" s="75"/>
      <c r="N3" s="16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ht="30" customHeight="1">
      <c r="A4" s="3" t="s">
        <v>9</v>
      </c>
      <c r="B4" s="3" t="s">
        <v>10</v>
      </c>
      <c r="C4" s="3" t="s">
        <v>11</v>
      </c>
      <c r="D4" s="3" t="s">
        <v>3</v>
      </c>
      <c r="E4" s="4" t="s">
        <v>41</v>
      </c>
      <c r="F4" s="4" t="s">
        <v>12</v>
      </c>
      <c r="G4" s="3" t="s">
        <v>13</v>
      </c>
      <c r="H4" s="3" t="s">
        <v>14</v>
      </c>
      <c r="I4" s="3" t="s">
        <v>1103</v>
      </c>
      <c r="J4" s="3" t="s">
        <v>16</v>
      </c>
      <c r="K4" s="3" t="s">
        <v>17</v>
      </c>
      <c r="L4" s="3" t="s">
        <v>18</v>
      </c>
      <c r="M4" s="3" t="s">
        <v>19</v>
      </c>
      <c r="N4" s="16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 s="2" customFormat="1">
      <c r="A5" s="18">
        <v>1</v>
      </c>
      <c r="B5" s="19">
        <v>0</v>
      </c>
      <c r="C5" s="18">
        <v>0</v>
      </c>
      <c r="D5" s="18">
        <v>1</v>
      </c>
      <c r="E5" s="20">
        <v>11500</v>
      </c>
      <c r="F5" s="20">
        <v>-26</v>
      </c>
      <c r="G5" s="18"/>
      <c r="H5" s="18">
        <v>1</v>
      </c>
      <c r="I5" s="21" t="s">
        <v>1851</v>
      </c>
      <c r="J5" s="18">
        <v>1</v>
      </c>
      <c r="K5" s="18">
        <v>11500</v>
      </c>
      <c r="L5" s="22"/>
      <c r="M5" s="18"/>
      <c r="N5" s="23"/>
      <c r="O5"/>
    </row>
    <row r="6" spans="1:33" s="2" customFormat="1">
      <c r="A6" s="18"/>
      <c r="B6" s="18"/>
      <c r="C6" s="18"/>
      <c r="D6" s="18"/>
      <c r="E6" s="20"/>
      <c r="F6" s="20"/>
      <c r="G6" s="18"/>
      <c r="H6" s="18"/>
      <c r="I6" s="21"/>
      <c r="J6" s="18"/>
      <c r="K6" s="18"/>
      <c r="L6" s="22"/>
      <c r="M6" s="18"/>
      <c r="O6"/>
      <c r="P6" s="15"/>
      <c r="Q6" s="15"/>
    </row>
    <row r="7" spans="1:33" s="2" customFormat="1">
      <c r="A7" s="18"/>
      <c r="B7" s="18"/>
      <c r="C7" s="18"/>
      <c r="D7" s="18"/>
      <c r="E7" s="20"/>
      <c r="F7" s="20"/>
      <c r="G7" s="18"/>
      <c r="H7" s="18"/>
      <c r="I7" s="21"/>
      <c r="J7" s="18"/>
      <c r="K7" s="18"/>
      <c r="L7" s="22"/>
      <c r="M7" s="18"/>
      <c r="O7"/>
      <c r="P7" s="15"/>
      <c r="Q7" s="15"/>
    </row>
    <row r="8" spans="1:33" s="2" customFormat="1">
      <c r="A8" s="18"/>
      <c r="B8" s="24"/>
      <c r="C8" s="18"/>
      <c r="D8" s="18"/>
      <c r="E8" s="20"/>
      <c r="F8" s="20"/>
      <c r="G8" s="18"/>
      <c r="H8" s="18"/>
      <c r="I8" s="21"/>
      <c r="J8" s="18"/>
      <c r="K8" s="18"/>
      <c r="L8" s="22"/>
      <c r="M8" s="18"/>
      <c r="O8"/>
      <c r="P8" s="15"/>
      <c r="Q8" s="15"/>
    </row>
    <row r="9" spans="1:33" s="2" customFormat="1">
      <c r="A9" s="18"/>
      <c r="B9" s="18"/>
      <c r="C9" s="18"/>
      <c r="D9" s="18"/>
      <c r="E9" s="20"/>
      <c r="F9" s="20"/>
      <c r="G9" s="18"/>
      <c r="H9" s="18"/>
      <c r="I9" s="21"/>
      <c r="J9" s="18"/>
      <c r="K9" s="18"/>
      <c r="L9" s="22"/>
      <c r="M9" s="18"/>
      <c r="O9"/>
      <c r="P9" s="15"/>
      <c r="Q9" s="15"/>
    </row>
    <row r="10" spans="1:33" s="2" customFormat="1">
      <c r="A10" s="18"/>
      <c r="B10" s="24"/>
      <c r="C10" s="18"/>
      <c r="D10" s="18"/>
      <c r="E10" s="20"/>
      <c r="F10" s="20"/>
      <c r="G10" s="18"/>
      <c r="H10" s="18"/>
      <c r="I10" s="21"/>
      <c r="J10" s="18"/>
      <c r="K10" s="18"/>
      <c r="L10" s="22"/>
      <c r="M10" s="18"/>
      <c r="O10"/>
      <c r="P10" s="15"/>
      <c r="Q10" s="15"/>
    </row>
    <row r="11" spans="1:33">
      <c r="A11" s="18"/>
      <c r="B11" s="19"/>
      <c r="C11" s="18"/>
      <c r="D11" s="18"/>
      <c r="E11" s="20"/>
      <c r="F11" s="20"/>
      <c r="G11" s="18"/>
      <c r="H11" s="18"/>
      <c r="I11" s="21"/>
      <c r="J11" s="18"/>
      <c r="K11" s="18"/>
      <c r="L11" s="22"/>
      <c r="M11" s="18"/>
      <c r="N11" s="2"/>
      <c r="O11"/>
      <c r="R11" s="2"/>
      <c r="T11"/>
      <c r="U11"/>
      <c r="V11"/>
      <c r="W11"/>
      <c r="X11"/>
      <c r="Y11"/>
      <c r="Z11"/>
      <c r="AB11"/>
      <c r="AC11"/>
      <c r="AD11"/>
      <c r="AE11"/>
      <c r="AF11"/>
      <c r="AG11"/>
    </row>
    <row r="12" spans="1:33">
      <c r="A12" s="18"/>
      <c r="B12" s="18"/>
      <c r="C12" s="18"/>
      <c r="D12" s="18"/>
      <c r="E12" s="20"/>
      <c r="F12" s="20"/>
      <c r="G12" s="18"/>
      <c r="H12" s="18"/>
      <c r="I12" s="21"/>
      <c r="J12" s="18"/>
      <c r="K12" s="18"/>
      <c r="L12" s="22"/>
      <c r="M12" s="18"/>
      <c r="N12" s="2"/>
      <c r="O12"/>
      <c r="R12" s="2"/>
      <c r="T12"/>
      <c r="U12"/>
      <c r="V12"/>
      <c r="W12"/>
      <c r="X12"/>
      <c r="Y12"/>
      <c r="Z12"/>
      <c r="AB12"/>
      <c r="AC12"/>
      <c r="AD12"/>
      <c r="AE12"/>
      <c r="AF12"/>
      <c r="AG12"/>
    </row>
    <row r="13" spans="1:33">
      <c r="A13" s="18"/>
      <c r="B13" s="18"/>
      <c r="C13" s="18"/>
      <c r="D13" s="18"/>
      <c r="E13" s="20"/>
      <c r="F13" s="20"/>
      <c r="G13" s="18"/>
      <c r="H13" s="18"/>
      <c r="I13" s="21"/>
      <c r="J13" s="18"/>
      <c r="K13" s="18"/>
      <c r="L13" s="22"/>
      <c r="M13" s="18"/>
      <c r="N13" s="2"/>
      <c r="O13"/>
      <c r="R13" s="2"/>
      <c r="T13"/>
      <c r="U13"/>
      <c r="V13"/>
      <c r="W13"/>
      <c r="X13"/>
      <c r="Y13"/>
      <c r="Z13"/>
      <c r="AB13"/>
      <c r="AC13"/>
      <c r="AD13"/>
      <c r="AE13"/>
      <c r="AF13"/>
      <c r="AG13"/>
    </row>
    <row r="14" spans="1:33">
      <c r="A14" s="18"/>
      <c r="B14" s="18"/>
      <c r="C14" s="18"/>
      <c r="D14" s="18"/>
      <c r="E14" s="20"/>
      <c r="F14" s="20"/>
      <c r="G14" s="18"/>
      <c r="H14" s="18"/>
      <c r="I14" s="21"/>
      <c r="J14" s="18"/>
      <c r="K14" s="18"/>
      <c r="L14" s="22"/>
      <c r="M14" s="18"/>
      <c r="N14" s="2"/>
      <c r="O14"/>
      <c r="R14" s="2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>
      <c r="A15" s="18"/>
      <c r="B15" s="18"/>
      <c r="C15" s="18"/>
      <c r="D15" s="18"/>
      <c r="E15" s="20"/>
      <c r="F15" s="20"/>
      <c r="G15" s="18"/>
      <c r="H15" s="18"/>
      <c r="I15" s="21"/>
      <c r="J15" s="18"/>
      <c r="K15" s="18"/>
      <c r="L15" s="22"/>
      <c r="M15" s="18"/>
      <c r="N15" s="2"/>
      <c r="O15"/>
      <c r="R15" s="2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>
      <c r="A16" s="18"/>
      <c r="B16" s="18"/>
      <c r="C16" s="18"/>
      <c r="D16" s="18"/>
      <c r="E16" s="20"/>
      <c r="F16" s="20"/>
      <c r="G16" s="18"/>
      <c r="H16" s="18"/>
      <c r="I16" s="21"/>
      <c r="J16" s="18"/>
      <c r="K16" s="18"/>
      <c r="L16" s="22"/>
      <c r="M16" s="18"/>
      <c r="N16" s="2"/>
      <c r="O16"/>
      <c r="R16" s="2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19" customFormat="1">
      <c r="A17" s="18"/>
      <c r="B17" s="18"/>
      <c r="C17" s="18"/>
      <c r="D17" s="18"/>
      <c r="E17" s="20"/>
      <c r="F17" s="20"/>
      <c r="G17" s="18"/>
      <c r="H17" s="18"/>
      <c r="I17" s="21"/>
      <c r="J17" s="18"/>
      <c r="K17" s="18"/>
      <c r="L17" s="22"/>
      <c r="M17" s="18"/>
      <c r="N17" s="2"/>
      <c r="P17" s="15"/>
      <c r="Q17" s="15"/>
      <c r="R17" s="2"/>
      <c r="S17" s="15"/>
    </row>
    <row r="18" spans="1:19" customFormat="1">
      <c r="A18" s="18"/>
      <c r="B18" s="18"/>
      <c r="C18" s="18"/>
      <c r="D18" s="18"/>
      <c r="E18" s="20"/>
      <c r="F18" s="20"/>
      <c r="G18" s="18"/>
      <c r="H18" s="18"/>
      <c r="I18" s="21"/>
      <c r="J18" s="18"/>
      <c r="K18" s="18"/>
      <c r="L18" s="22"/>
      <c r="M18" s="18"/>
      <c r="N18" s="2"/>
      <c r="P18" s="15"/>
      <c r="Q18" s="15"/>
      <c r="R18" s="2"/>
      <c r="S18" s="15"/>
    </row>
    <row r="19" spans="1:19" customFormat="1">
      <c r="A19" s="18"/>
      <c r="B19" s="18"/>
      <c r="C19" s="18"/>
      <c r="D19" s="18"/>
      <c r="E19" s="20"/>
      <c r="F19" s="20"/>
      <c r="G19" s="18"/>
      <c r="H19" s="18"/>
      <c r="I19" s="21"/>
      <c r="J19" s="18"/>
      <c r="K19" s="18"/>
      <c r="L19" s="22"/>
      <c r="M19" s="18"/>
      <c r="N19" s="2"/>
      <c r="P19" s="15"/>
      <c r="Q19" s="15"/>
      <c r="R19" s="2"/>
      <c r="S19" s="15"/>
    </row>
    <row r="20" spans="1:19" customFormat="1">
      <c r="A20" s="5"/>
      <c r="B20" s="5"/>
      <c r="C20" s="5"/>
      <c r="D20" s="5"/>
      <c r="E20" s="6"/>
      <c r="F20" s="6"/>
      <c r="G20" s="5"/>
      <c r="H20" s="5"/>
      <c r="I20" s="7"/>
      <c r="J20" s="5"/>
      <c r="K20" s="5"/>
      <c r="L20" s="8"/>
      <c r="M20" s="5"/>
      <c r="N20" s="2"/>
      <c r="P20" s="15"/>
      <c r="Q20" s="15"/>
      <c r="R20" s="2"/>
      <c r="S20" s="15"/>
    </row>
    <row r="21" spans="1:19" customFormat="1">
      <c r="A21" s="5"/>
      <c r="B21" s="5"/>
      <c r="C21" s="5"/>
      <c r="D21" s="5"/>
      <c r="E21" s="6"/>
      <c r="F21" s="6"/>
      <c r="G21" s="5"/>
      <c r="H21" s="5"/>
      <c r="I21" s="7"/>
      <c r="J21" s="5"/>
      <c r="K21" s="5"/>
      <c r="L21" s="8"/>
      <c r="M21" s="18"/>
      <c r="N21" s="2"/>
      <c r="P21" s="15"/>
      <c r="Q21" s="15"/>
      <c r="R21" s="2"/>
      <c r="S21" s="15"/>
    </row>
    <row r="22" spans="1:19" customFormat="1">
      <c r="A22" s="5"/>
      <c r="B22" s="5"/>
      <c r="C22" s="5"/>
      <c r="D22" s="5"/>
      <c r="E22" s="6"/>
      <c r="F22" s="6"/>
      <c r="G22" s="5"/>
      <c r="H22" s="5"/>
      <c r="I22" s="7"/>
      <c r="J22" s="5"/>
      <c r="K22" s="5"/>
      <c r="L22" s="8"/>
      <c r="M22" s="5"/>
      <c r="N22" s="2"/>
      <c r="P22" s="15"/>
      <c r="Q22" s="15"/>
      <c r="R22" s="2"/>
      <c r="S22" s="15"/>
    </row>
    <row r="23" spans="1:19" customFormat="1">
      <c r="A23" s="5"/>
      <c r="B23" s="5"/>
      <c r="C23" s="5"/>
      <c r="D23" s="5"/>
      <c r="E23" s="6"/>
      <c r="F23" s="6"/>
      <c r="G23" s="5"/>
      <c r="H23" s="5"/>
      <c r="I23" s="7"/>
      <c r="J23" s="5"/>
      <c r="K23" s="5"/>
      <c r="L23" s="8"/>
      <c r="M23" s="5"/>
      <c r="N23" s="2"/>
      <c r="P23" s="15"/>
      <c r="Q23" s="15"/>
      <c r="R23" s="2"/>
      <c r="S23" s="15"/>
    </row>
    <row r="24" spans="1:19" customFormat="1">
      <c r="A24" s="5"/>
      <c r="B24" s="5"/>
      <c r="C24" s="5"/>
      <c r="D24" s="5"/>
      <c r="E24" s="6"/>
      <c r="F24" s="6"/>
      <c r="G24" s="5"/>
      <c r="H24" s="5"/>
      <c r="I24" s="7"/>
      <c r="J24" s="5"/>
      <c r="K24" s="5"/>
      <c r="L24" s="8"/>
      <c r="M24" s="5"/>
      <c r="N24" s="2"/>
      <c r="P24" s="15"/>
      <c r="Q24" s="15"/>
      <c r="R24" s="2"/>
      <c r="S24" s="15"/>
    </row>
    <row r="25" spans="1:19" customFormat="1">
      <c r="A25" s="5"/>
      <c r="B25" s="5"/>
      <c r="C25" s="5"/>
      <c r="D25" s="5"/>
      <c r="E25" s="6"/>
      <c r="F25" s="6"/>
      <c r="G25" s="5"/>
      <c r="H25" s="5"/>
      <c r="I25" s="7"/>
      <c r="J25" s="5"/>
      <c r="K25" s="5"/>
      <c r="L25" s="8"/>
      <c r="M25" s="5"/>
      <c r="N25" s="2"/>
      <c r="P25" s="15"/>
      <c r="Q25" s="15"/>
      <c r="R25" s="2"/>
      <c r="S25" s="15"/>
    </row>
    <row r="26" spans="1:19" customFormat="1">
      <c r="A26" s="5"/>
      <c r="B26" s="5"/>
      <c r="C26" s="5"/>
      <c r="D26" s="5"/>
      <c r="E26" s="6"/>
      <c r="F26" s="6"/>
      <c r="G26" s="5"/>
      <c r="H26" s="5"/>
      <c r="I26" s="7"/>
      <c r="J26" s="5"/>
      <c r="K26" s="5"/>
      <c r="L26" s="8"/>
      <c r="M26" s="5"/>
      <c r="N26" s="2"/>
      <c r="P26" s="15"/>
      <c r="Q26" s="15"/>
      <c r="R26" s="2"/>
      <c r="S26" s="15"/>
    </row>
    <row r="27" spans="1:19" customFormat="1">
      <c r="A27" s="5"/>
      <c r="B27" s="5"/>
      <c r="C27" s="5"/>
      <c r="D27" s="5"/>
      <c r="E27" s="6"/>
      <c r="F27" s="6"/>
      <c r="G27" s="5"/>
      <c r="H27" s="5"/>
      <c r="I27" s="7"/>
      <c r="J27" s="5"/>
      <c r="K27" s="5"/>
      <c r="L27" s="8"/>
      <c r="M27" s="5"/>
      <c r="N27" s="2"/>
      <c r="P27" s="15"/>
      <c r="Q27" s="15"/>
      <c r="R27" s="2"/>
      <c r="S27" s="15"/>
    </row>
    <row r="28" spans="1:19" customFormat="1">
      <c r="A28" s="5"/>
      <c r="B28" s="5"/>
      <c r="C28" s="5"/>
      <c r="D28" s="5"/>
      <c r="E28" s="6"/>
      <c r="F28" s="6"/>
      <c r="G28" s="5"/>
      <c r="H28" s="5"/>
      <c r="I28" s="7"/>
      <c r="J28" s="5"/>
      <c r="K28" s="5"/>
      <c r="L28" s="8"/>
      <c r="M28" s="5"/>
      <c r="N28" s="2"/>
      <c r="P28" s="15"/>
      <c r="Q28" s="15"/>
      <c r="R28" s="2"/>
      <c r="S28" s="15"/>
    </row>
    <row r="29" spans="1:19" customFormat="1">
      <c r="A29" s="5"/>
      <c r="B29" s="5"/>
      <c r="C29" s="5"/>
      <c r="D29" s="5"/>
      <c r="E29" s="6"/>
      <c r="F29" s="6"/>
      <c r="G29" s="5"/>
      <c r="H29" s="5"/>
      <c r="I29" s="7"/>
      <c r="J29" s="5"/>
      <c r="K29" s="5"/>
      <c r="L29" s="8"/>
      <c r="M29" s="5"/>
      <c r="N29" s="2"/>
      <c r="P29" s="15"/>
      <c r="Q29" s="15"/>
      <c r="R29" s="2"/>
      <c r="S29" s="15"/>
    </row>
    <row r="30" spans="1:19" customFormat="1">
      <c r="A30" s="5"/>
      <c r="B30" s="5"/>
      <c r="C30" s="5"/>
      <c r="D30" s="5"/>
      <c r="E30" s="6"/>
      <c r="F30" s="6"/>
      <c r="G30" s="5"/>
      <c r="H30" s="5"/>
      <c r="I30" s="7"/>
      <c r="J30" s="5"/>
      <c r="K30" s="5"/>
      <c r="L30" s="8"/>
      <c r="M30" s="5"/>
      <c r="N30" s="2"/>
      <c r="P30" s="15"/>
      <c r="Q30" s="15"/>
      <c r="R30" s="2"/>
      <c r="S30" s="15"/>
    </row>
    <row r="31" spans="1:19" customFormat="1">
      <c r="A31" s="5"/>
      <c r="B31" s="5"/>
      <c r="C31" s="5"/>
      <c r="D31" s="5"/>
      <c r="E31" s="6"/>
      <c r="F31" s="6"/>
      <c r="G31" s="5"/>
      <c r="H31" s="5"/>
      <c r="I31" s="7"/>
      <c r="J31" s="5"/>
      <c r="K31" s="5"/>
      <c r="L31" s="8"/>
      <c r="M31" s="5"/>
      <c r="N31" s="2"/>
      <c r="P31" s="15"/>
      <c r="Q31" s="15"/>
      <c r="R31" s="2"/>
      <c r="S31" s="15"/>
    </row>
    <row r="32" spans="1:19" customFormat="1">
      <c r="A32" s="5"/>
      <c r="B32" s="5"/>
      <c r="C32" s="5"/>
      <c r="D32" s="5"/>
      <c r="E32" s="6"/>
      <c r="F32" s="6"/>
      <c r="G32" s="5"/>
      <c r="H32" s="5"/>
      <c r="I32" s="7"/>
      <c r="J32" s="5"/>
      <c r="K32" s="5"/>
      <c r="L32" s="8"/>
      <c r="M32" s="5"/>
      <c r="N32" s="2"/>
      <c r="P32" s="15"/>
      <c r="Q32" s="15"/>
      <c r="R32" s="2"/>
      <c r="S32" s="15"/>
    </row>
    <row r="33" spans="1:19" customFormat="1">
      <c r="A33" s="5"/>
      <c r="B33" s="5"/>
      <c r="C33" s="5"/>
      <c r="D33" s="5"/>
      <c r="E33" s="6"/>
      <c r="F33" s="6"/>
      <c r="G33" s="5"/>
      <c r="H33" s="5"/>
      <c r="I33" s="7"/>
      <c r="J33" s="5"/>
      <c r="K33" s="5"/>
      <c r="L33" s="8"/>
      <c r="M33" s="5"/>
      <c r="N33" s="2"/>
      <c r="P33" s="15"/>
      <c r="Q33" s="15"/>
      <c r="R33" s="2"/>
      <c r="S33" s="15"/>
    </row>
    <row r="34" spans="1:19" customFormat="1">
      <c r="A34" s="5"/>
      <c r="B34" s="5"/>
      <c r="C34" s="5"/>
      <c r="D34" s="5"/>
      <c r="E34" s="6"/>
      <c r="F34" s="6"/>
      <c r="G34" s="5"/>
      <c r="H34" s="5"/>
      <c r="I34" s="7"/>
      <c r="J34" s="5"/>
      <c r="K34" s="5"/>
      <c r="L34" s="8"/>
      <c r="M34" s="5"/>
      <c r="N34" s="2"/>
      <c r="P34" s="15"/>
      <c r="Q34" s="15"/>
      <c r="R34" s="2"/>
      <c r="S34" s="15"/>
    </row>
    <row r="35" spans="1:19" customFormat="1">
      <c r="A35" s="5"/>
      <c r="B35" s="5"/>
      <c r="C35" s="5"/>
      <c r="D35" s="5"/>
      <c r="E35" s="6"/>
      <c r="F35" s="6"/>
      <c r="G35" s="5"/>
      <c r="H35" s="5"/>
      <c r="I35" s="7"/>
      <c r="J35" s="5"/>
      <c r="K35" s="5"/>
      <c r="L35" s="8"/>
      <c r="M35" s="5"/>
      <c r="N35" s="2"/>
      <c r="P35" s="15"/>
      <c r="Q35" s="15"/>
      <c r="R35" s="2"/>
      <c r="S35" s="15"/>
    </row>
    <row r="36" spans="1:19" customFormat="1">
      <c r="A36" s="5"/>
      <c r="B36" s="5"/>
      <c r="C36" s="5"/>
      <c r="D36" s="5"/>
      <c r="E36" s="6"/>
      <c r="F36" s="6"/>
      <c r="G36" s="5"/>
      <c r="H36" s="5"/>
      <c r="I36" s="7"/>
      <c r="J36" s="5"/>
      <c r="K36" s="5"/>
      <c r="L36" s="8"/>
      <c r="M36" s="5"/>
      <c r="N36" s="2"/>
      <c r="P36" s="15"/>
      <c r="Q36" s="15"/>
      <c r="R36" s="2"/>
      <c r="S36" s="15"/>
    </row>
    <row r="37" spans="1:19" customFormat="1">
      <c r="A37" s="5"/>
      <c r="B37" s="5"/>
      <c r="C37" s="5"/>
      <c r="D37" s="5"/>
      <c r="E37" s="6"/>
      <c r="F37" s="6"/>
      <c r="G37" s="5"/>
      <c r="H37" s="5"/>
      <c r="I37" s="7"/>
      <c r="J37" s="5"/>
      <c r="K37" s="5"/>
      <c r="L37" s="8"/>
      <c r="M37" s="5"/>
      <c r="N37" s="2"/>
      <c r="P37" s="15"/>
      <c r="Q37" s="15"/>
      <c r="R37" s="2"/>
      <c r="S37" s="15"/>
    </row>
    <row r="38" spans="1:19" customFormat="1">
      <c r="A38" s="5"/>
      <c r="B38" s="5"/>
      <c r="C38" s="5"/>
      <c r="D38" s="5"/>
      <c r="E38" s="6"/>
      <c r="F38" s="6"/>
      <c r="G38" s="5"/>
      <c r="H38" s="5"/>
      <c r="I38" s="7"/>
      <c r="J38" s="5"/>
      <c r="K38" s="5"/>
      <c r="L38" s="8"/>
      <c r="M38" s="5"/>
      <c r="N38" s="2"/>
      <c r="P38" s="15"/>
      <c r="Q38" s="15"/>
      <c r="R38" s="2"/>
      <c r="S38" s="15"/>
    </row>
    <row r="39" spans="1:19" customFormat="1">
      <c r="A39" s="5"/>
      <c r="B39" s="5"/>
      <c r="C39" s="5"/>
      <c r="D39" s="5"/>
      <c r="E39" s="6"/>
      <c r="F39" s="6"/>
      <c r="G39" s="5"/>
      <c r="H39" s="5"/>
      <c r="I39" s="7"/>
      <c r="J39" s="5"/>
      <c r="K39" s="5"/>
      <c r="L39" s="8"/>
      <c r="M39" s="5"/>
      <c r="N39" s="2"/>
      <c r="P39" s="15"/>
      <c r="Q39" s="15"/>
      <c r="R39" s="2"/>
      <c r="S39" s="15"/>
    </row>
    <row r="40" spans="1:19" customFormat="1">
      <c r="A40" s="5"/>
      <c r="B40" s="5"/>
      <c r="C40" s="5"/>
      <c r="D40" s="5"/>
      <c r="E40" s="6"/>
      <c r="F40" s="6"/>
      <c r="G40" s="5"/>
      <c r="H40" s="5"/>
      <c r="I40" s="7"/>
      <c r="J40" s="5"/>
      <c r="K40" s="5"/>
      <c r="L40" s="8"/>
      <c r="M40" s="5"/>
      <c r="N40" s="2"/>
      <c r="P40" s="15"/>
      <c r="Q40" s="15"/>
      <c r="R40" s="2"/>
      <c r="S40" s="15"/>
    </row>
    <row r="41" spans="1:19" customFormat="1">
      <c r="A41" s="5"/>
      <c r="B41" s="5"/>
      <c r="C41" s="5"/>
      <c r="D41" s="5"/>
      <c r="E41" s="6"/>
      <c r="F41" s="6"/>
      <c r="G41" s="5"/>
      <c r="H41" s="5"/>
      <c r="I41" s="7"/>
      <c r="J41" s="5"/>
      <c r="K41" s="5"/>
      <c r="L41" s="8"/>
      <c r="M41" s="5"/>
      <c r="N41" s="2"/>
      <c r="P41" s="15"/>
      <c r="Q41" s="15"/>
      <c r="R41" s="2"/>
      <c r="S41" s="15"/>
    </row>
    <row r="42" spans="1:19" customFormat="1">
      <c r="A42" s="5"/>
      <c r="B42" s="5"/>
      <c r="C42" s="5"/>
      <c r="D42" s="5"/>
      <c r="E42" s="6"/>
      <c r="F42" s="6"/>
      <c r="G42" s="5"/>
      <c r="H42" s="5"/>
      <c r="I42" s="7"/>
      <c r="J42" s="5"/>
      <c r="K42" s="5"/>
      <c r="L42" s="8"/>
      <c r="M42" s="5"/>
      <c r="N42" s="2"/>
      <c r="P42" s="15"/>
      <c r="Q42" s="15"/>
      <c r="R42" s="2"/>
      <c r="S42" s="15"/>
    </row>
    <row r="43" spans="1:19" customFormat="1">
      <c r="A43" s="5"/>
      <c r="B43" s="5"/>
      <c r="C43" s="5"/>
      <c r="D43" s="5"/>
      <c r="E43" s="6"/>
      <c r="F43" s="6"/>
      <c r="G43" s="5"/>
      <c r="H43" s="5"/>
      <c r="I43" s="7"/>
      <c r="J43" s="5"/>
      <c r="K43" s="5"/>
      <c r="L43" s="8"/>
      <c r="M43" s="5"/>
      <c r="N43" s="2"/>
      <c r="P43" s="15"/>
      <c r="Q43" s="15"/>
      <c r="R43" s="2"/>
      <c r="S43" s="15"/>
    </row>
    <row r="44" spans="1:19" customFormat="1">
      <c r="A44" s="5"/>
      <c r="B44" s="5"/>
      <c r="C44" s="5"/>
      <c r="D44" s="5"/>
      <c r="E44" s="6"/>
      <c r="F44" s="6"/>
      <c r="G44" s="5"/>
      <c r="H44" s="5"/>
      <c r="I44" s="7"/>
      <c r="J44" s="5"/>
      <c r="K44" s="5"/>
      <c r="L44" s="8"/>
      <c r="M44" s="5"/>
      <c r="N44" s="2"/>
      <c r="P44" s="15"/>
      <c r="Q44" s="15"/>
      <c r="R44" s="2"/>
      <c r="S44" s="15"/>
    </row>
    <row r="45" spans="1:19" customFormat="1">
      <c r="A45" s="5"/>
      <c r="B45" s="5"/>
      <c r="C45" s="5"/>
      <c r="D45" s="5"/>
      <c r="E45" s="6"/>
      <c r="F45" s="6"/>
      <c r="G45" s="5"/>
      <c r="H45" s="5"/>
      <c r="I45" s="7"/>
      <c r="J45" s="5"/>
      <c r="K45" s="5"/>
      <c r="L45" s="8"/>
      <c r="M45" s="5"/>
      <c r="N45" s="2"/>
      <c r="P45" s="15"/>
      <c r="Q45" s="15"/>
      <c r="R45" s="2"/>
      <c r="S45" s="15"/>
    </row>
    <row r="46" spans="1:19" customFormat="1">
      <c r="A46" s="5"/>
      <c r="B46" s="5"/>
      <c r="C46" s="5"/>
      <c r="D46" s="5"/>
      <c r="E46" s="6"/>
      <c r="F46" s="6"/>
      <c r="G46" s="5"/>
      <c r="H46" s="5"/>
      <c r="I46" s="7"/>
      <c r="J46" s="5"/>
      <c r="K46" s="5"/>
      <c r="L46" s="8"/>
      <c r="M46" s="5"/>
      <c r="N46" s="2"/>
      <c r="P46" s="15"/>
      <c r="Q46" s="15"/>
      <c r="R46" s="2"/>
      <c r="S46" s="15"/>
    </row>
    <row r="47" spans="1:19" customFormat="1">
      <c r="A47" s="5"/>
      <c r="B47" s="5"/>
      <c r="C47" s="5"/>
      <c r="D47" s="5"/>
      <c r="E47" s="6"/>
      <c r="F47" s="6"/>
      <c r="G47" s="5"/>
      <c r="H47" s="5"/>
      <c r="I47" s="7"/>
      <c r="J47" s="5"/>
      <c r="K47" s="5"/>
      <c r="L47" s="8"/>
      <c r="M47" s="5"/>
      <c r="N47" s="2"/>
      <c r="P47" s="15"/>
      <c r="Q47" s="15"/>
      <c r="R47" s="2"/>
      <c r="S47" s="15"/>
    </row>
    <row r="48" spans="1:19" customFormat="1">
      <c r="A48" s="5"/>
      <c r="B48" s="5"/>
      <c r="C48" s="5"/>
      <c r="D48" s="5"/>
      <c r="E48" s="6"/>
      <c r="F48" s="6"/>
      <c r="G48" s="5"/>
      <c r="H48" s="5"/>
      <c r="I48" s="7"/>
      <c r="J48" s="5"/>
      <c r="K48" s="5"/>
      <c r="L48" s="8"/>
      <c r="M48" s="5"/>
      <c r="N48" s="2"/>
      <c r="P48" s="15"/>
      <c r="Q48" s="15"/>
      <c r="R48" s="2"/>
      <c r="S48" s="15"/>
    </row>
    <row r="49" spans="1:19" customFormat="1">
      <c r="A49" s="5"/>
      <c r="B49" s="5"/>
      <c r="C49" s="5"/>
      <c r="D49" s="5"/>
      <c r="E49" s="6"/>
      <c r="F49" s="6"/>
      <c r="G49" s="5"/>
      <c r="H49" s="5"/>
      <c r="I49" s="7"/>
      <c r="J49" s="5"/>
      <c r="K49" s="5"/>
      <c r="L49" s="8"/>
      <c r="M49" s="5"/>
      <c r="N49" s="2"/>
      <c r="P49" s="15"/>
      <c r="Q49" s="15"/>
      <c r="R49" s="2"/>
      <c r="S49" s="15"/>
    </row>
    <row r="50" spans="1:19" customFormat="1">
      <c r="A50" s="5"/>
      <c r="B50" s="5"/>
      <c r="C50" s="5"/>
      <c r="D50" s="5"/>
      <c r="E50" s="6"/>
      <c r="F50" s="6"/>
      <c r="G50" s="5"/>
      <c r="H50" s="5"/>
      <c r="I50" s="7"/>
      <c r="J50" s="5"/>
      <c r="K50" s="5"/>
      <c r="L50" s="8"/>
      <c r="M50" s="5"/>
      <c r="N50" s="2"/>
      <c r="P50" s="15"/>
      <c r="Q50" s="15"/>
      <c r="R50" s="2"/>
      <c r="S50" s="15"/>
    </row>
    <row r="51" spans="1:19" customFormat="1">
      <c r="A51" s="5"/>
      <c r="B51" s="5"/>
      <c r="C51" s="5"/>
      <c r="D51" s="5"/>
      <c r="E51" s="6"/>
      <c r="F51" s="6"/>
      <c r="G51" s="5"/>
      <c r="H51" s="5"/>
      <c r="I51" s="7"/>
      <c r="J51" s="5"/>
      <c r="K51" s="5"/>
      <c r="L51" s="8"/>
      <c r="M51" s="5"/>
      <c r="N51" s="2"/>
      <c r="P51" s="15"/>
      <c r="Q51" s="15"/>
      <c r="R51" s="2"/>
      <c r="S51" s="15"/>
    </row>
    <row r="52" spans="1:19" customFormat="1">
      <c r="A52" s="5"/>
      <c r="B52" s="5"/>
      <c r="C52" s="5"/>
      <c r="D52" s="5"/>
      <c r="E52" s="6"/>
      <c r="F52" s="6"/>
      <c r="G52" s="5"/>
      <c r="H52" s="5"/>
      <c r="I52" s="7"/>
      <c r="J52" s="5"/>
      <c r="K52" s="5"/>
      <c r="L52" s="8"/>
      <c r="M52" s="5"/>
      <c r="N52" s="2"/>
      <c r="P52" s="15"/>
      <c r="Q52" s="15"/>
      <c r="R52" s="2"/>
      <c r="S52" s="15"/>
    </row>
    <row r="53" spans="1:19" customFormat="1">
      <c r="A53" s="5"/>
      <c r="B53" s="5"/>
      <c r="C53" s="5"/>
      <c r="D53" s="5"/>
      <c r="E53" s="6"/>
      <c r="F53" s="6"/>
      <c r="G53" s="5"/>
      <c r="H53" s="5"/>
      <c r="I53" s="7"/>
      <c r="J53" s="5"/>
      <c r="K53" s="5"/>
      <c r="L53" s="8"/>
      <c r="M53" s="5"/>
      <c r="N53" s="2"/>
      <c r="P53" s="15"/>
      <c r="Q53" s="15"/>
      <c r="R53" s="2"/>
      <c r="S53" s="15"/>
    </row>
    <row r="54" spans="1:19" customFormat="1">
      <c r="A54" s="5"/>
      <c r="B54" s="5"/>
      <c r="C54" s="5"/>
      <c r="D54" s="5"/>
      <c r="E54" s="6"/>
      <c r="F54" s="6"/>
      <c r="G54" s="5"/>
      <c r="H54" s="5"/>
      <c r="I54" s="7"/>
      <c r="J54" s="5"/>
      <c r="K54" s="5"/>
      <c r="L54" s="8"/>
      <c r="M54" s="5"/>
      <c r="N54" s="2"/>
      <c r="P54" s="15"/>
      <c r="Q54" s="15"/>
      <c r="R54" s="2"/>
      <c r="S54" s="15"/>
    </row>
    <row r="55" spans="1:19" customFormat="1">
      <c r="A55" s="5"/>
      <c r="B55" s="5"/>
      <c r="C55" s="5"/>
      <c r="D55" s="5"/>
      <c r="E55" s="6"/>
      <c r="F55" s="6"/>
      <c r="G55" s="5"/>
      <c r="H55" s="5"/>
      <c r="I55" s="7"/>
      <c r="J55" s="5"/>
      <c r="K55" s="5"/>
      <c r="L55" s="8"/>
      <c r="M55" s="5"/>
      <c r="N55" s="2"/>
      <c r="P55" s="15"/>
      <c r="Q55" s="15"/>
      <c r="R55" s="2"/>
      <c r="S55" s="15"/>
    </row>
    <row r="56" spans="1:19" customFormat="1">
      <c r="A56" s="5"/>
      <c r="B56" s="5"/>
      <c r="C56" s="5"/>
      <c r="D56" s="5"/>
      <c r="E56" s="6"/>
      <c r="F56" s="6"/>
      <c r="G56" s="5"/>
      <c r="H56" s="5"/>
      <c r="I56" s="7"/>
      <c r="J56" s="5"/>
      <c r="K56" s="5"/>
      <c r="L56" s="8"/>
      <c r="M56" s="5"/>
      <c r="N56" s="2"/>
      <c r="P56" s="15"/>
      <c r="Q56" s="15"/>
      <c r="R56" s="2"/>
      <c r="S56" s="15"/>
    </row>
    <row r="57" spans="1:19" customFormat="1">
      <c r="A57" s="5"/>
      <c r="B57" s="5"/>
      <c r="C57" s="5"/>
      <c r="D57" s="5"/>
      <c r="E57" s="6"/>
      <c r="F57" s="6"/>
      <c r="G57" s="5"/>
      <c r="H57" s="5"/>
      <c r="I57" s="7"/>
      <c r="J57" s="5"/>
      <c r="K57" s="5"/>
      <c r="L57" s="8"/>
      <c r="M57" s="5"/>
      <c r="N57" s="2"/>
      <c r="P57" s="15"/>
      <c r="Q57" s="15"/>
      <c r="R57" s="2"/>
      <c r="S57" s="15"/>
    </row>
    <row r="58" spans="1:19" customFormat="1">
      <c r="A58" s="5"/>
      <c r="B58" s="5"/>
      <c r="C58" s="5"/>
      <c r="D58" s="5"/>
      <c r="E58" s="6"/>
      <c r="F58" s="6"/>
      <c r="G58" s="5"/>
      <c r="H58" s="5"/>
      <c r="I58" s="7"/>
      <c r="J58" s="5"/>
      <c r="K58" s="5"/>
      <c r="L58" s="8"/>
      <c r="M58" s="5"/>
      <c r="N58" s="2"/>
      <c r="P58" s="15"/>
      <c r="Q58" s="15"/>
      <c r="R58" s="2"/>
      <c r="S58" s="15"/>
    </row>
    <row r="59" spans="1:19" customFormat="1">
      <c r="A59" s="5"/>
      <c r="B59" s="5"/>
      <c r="C59" s="5"/>
      <c r="D59" s="5"/>
      <c r="E59" s="6"/>
      <c r="F59" s="6"/>
      <c r="G59" s="5"/>
      <c r="H59" s="5"/>
      <c r="I59" s="7"/>
      <c r="J59" s="5"/>
      <c r="K59" s="5"/>
      <c r="L59" s="8"/>
      <c r="M59" s="5"/>
      <c r="N59" s="2"/>
      <c r="P59" s="15"/>
      <c r="Q59" s="15"/>
      <c r="R59" s="2"/>
      <c r="S59" s="15"/>
    </row>
    <row r="60" spans="1:19" customFormat="1">
      <c r="A60" s="5"/>
      <c r="B60" s="5"/>
      <c r="C60" s="5"/>
      <c r="D60" s="5"/>
      <c r="E60" s="6"/>
      <c r="F60" s="6"/>
      <c r="G60" s="5"/>
      <c r="H60" s="5"/>
      <c r="I60" s="7"/>
      <c r="J60" s="5"/>
      <c r="K60" s="5"/>
      <c r="L60" s="8"/>
      <c r="M60" s="5"/>
      <c r="N60" s="2"/>
      <c r="P60" s="15"/>
      <c r="Q60" s="15"/>
      <c r="R60" s="2"/>
      <c r="S60" s="15"/>
    </row>
    <row r="61" spans="1:19" customFormat="1">
      <c r="A61" s="5"/>
      <c r="B61" s="5"/>
      <c r="C61" s="5"/>
      <c r="D61" s="5"/>
      <c r="E61" s="6"/>
      <c r="F61" s="6"/>
      <c r="G61" s="5"/>
      <c r="H61" s="5"/>
      <c r="I61" s="7"/>
      <c r="J61" s="5"/>
      <c r="K61" s="5"/>
      <c r="L61" s="8"/>
      <c r="M61" s="5"/>
      <c r="N61" s="2"/>
      <c r="P61" s="15"/>
      <c r="Q61" s="15"/>
      <c r="R61" s="2"/>
      <c r="S61" s="15"/>
    </row>
    <row r="62" spans="1:19" customFormat="1">
      <c r="A62" s="5"/>
      <c r="B62" s="5"/>
      <c r="C62" s="5"/>
      <c r="D62" s="5"/>
      <c r="E62" s="6"/>
      <c r="F62" s="6"/>
      <c r="G62" s="5"/>
      <c r="H62" s="5"/>
      <c r="I62" s="7"/>
      <c r="J62" s="5"/>
      <c r="K62" s="5"/>
      <c r="L62" s="8"/>
      <c r="M62" s="5"/>
      <c r="N62" s="2"/>
      <c r="P62" s="15"/>
      <c r="Q62" s="15"/>
      <c r="R62" s="2"/>
      <c r="S62" s="15"/>
    </row>
    <row r="63" spans="1:19" customFormat="1">
      <c r="A63" s="5"/>
      <c r="B63" s="5"/>
      <c r="C63" s="5"/>
      <c r="D63" s="5"/>
      <c r="E63" s="6"/>
      <c r="F63" s="6"/>
      <c r="G63" s="5"/>
      <c r="H63" s="5"/>
      <c r="I63" s="7"/>
      <c r="J63" s="5"/>
      <c r="K63" s="5"/>
      <c r="L63" s="8"/>
      <c r="M63" s="5"/>
      <c r="N63" s="2"/>
      <c r="P63" s="15"/>
      <c r="Q63" s="15"/>
      <c r="R63" s="2"/>
      <c r="S63" s="15"/>
    </row>
    <row r="64" spans="1:19" customFormat="1">
      <c r="A64" s="5"/>
      <c r="B64" s="5"/>
      <c r="C64" s="5"/>
      <c r="D64" s="5"/>
      <c r="E64" s="6"/>
      <c r="F64" s="6"/>
      <c r="G64" s="5"/>
      <c r="H64" s="5"/>
      <c r="I64" s="7"/>
      <c r="J64" s="5"/>
      <c r="K64" s="5"/>
      <c r="L64" s="8"/>
      <c r="M64" s="5"/>
      <c r="N64" s="2"/>
      <c r="P64" s="15"/>
      <c r="Q64" s="15"/>
      <c r="R64" s="2"/>
      <c r="S64" s="15"/>
    </row>
    <row r="65" spans="1:33">
      <c r="A65" s="5"/>
      <c r="B65" s="5"/>
      <c r="C65" s="5"/>
      <c r="D65" s="5"/>
      <c r="E65" s="6"/>
      <c r="F65" s="6"/>
      <c r="G65" s="5"/>
      <c r="H65" s="5"/>
      <c r="I65" s="7"/>
      <c r="J65" s="5"/>
      <c r="K65" s="5"/>
      <c r="L65" s="8"/>
      <c r="M65" s="5"/>
      <c r="N65" s="2"/>
      <c r="O65"/>
      <c r="R65" s="2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>
      <c r="A66" s="5"/>
      <c r="B66" s="5"/>
      <c r="C66" s="5"/>
      <c r="D66" s="5"/>
      <c r="E66" s="6"/>
      <c r="F66" s="6"/>
      <c r="G66" s="5"/>
      <c r="H66" s="5"/>
      <c r="I66" s="7"/>
      <c r="J66" s="5"/>
      <c r="K66" s="5"/>
      <c r="L66" s="8"/>
      <c r="M66" s="5"/>
      <c r="N66" s="2"/>
      <c r="O66"/>
      <c r="R66" s="2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>
      <c r="A67" s="5"/>
      <c r="B67" s="5"/>
      <c r="C67" s="5"/>
      <c r="D67" s="5"/>
      <c r="E67" s="6"/>
      <c r="F67" s="6"/>
      <c r="G67" s="5"/>
      <c r="H67" s="5"/>
      <c r="I67" s="7"/>
      <c r="J67" s="5"/>
      <c r="K67" s="5"/>
      <c r="L67" s="8"/>
      <c r="M67" s="5"/>
      <c r="N67" s="2"/>
      <c r="O67"/>
      <c r="R67" s="2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>
      <c r="A68" s="5"/>
      <c r="B68" s="5"/>
      <c r="C68" s="5"/>
      <c r="D68" s="5"/>
      <c r="E68" s="6"/>
      <c r="F68" s="6"/>
      <c r="G68" s="5"/>
      <c r="H68" s="5"/>
      <c r="I68" s="7"/>
      <c r="J68" s="5"/>
      <c r="K68" s="5"/>
      <c r="L68" s="8"/>
      <c r="M68" s="5"/>
      <c r="N68" s="2"/>
      <c r="O68"/>
      <c r="R68" s="2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>
      <c r="A69" s="5"/>
      <c r="B69" s="5"/>
      <c r="C69" s="5"/>
      <c r="D69" s="5"/>
      <c r="E69" s="6"/>
      <c r="F69" s="6"/>
      <c r="G69" s="5"/>
      <c r="H69" s="5"/>
      <c r="I69" s="7"/>
      <c r="J69" s="5"/>
      <c r="K69" s="5"/>
      <c r="L69" s="8"/>
      <c r="M69" s="5"/>
      <c r="N69" s="2"/>
      <c r="O69"/>
      <c r="R69" s="2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>
      <c r="A70" s="5"/>
      <c r="B70" s="5"/>
      <c r="C70" s="5"/>
      <c r="D70" s="5"/>
      <c r="E70" s="6"/>
      <c r="F70" s="6"/>
      <c r="G70" s="5"/>
      <c r="H70" s="5"/>
      <c r="I70" s="7"/>
      <c r="J70" s="5"/>
      <c r="K70" s="5"/>
      <c r="L70" s="8"/>
      <c r="M70" s="5"/>
      <c r="N70" s="2"/>
      <c r="O70"/>
      <c r="R70" s="2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>
      <c r="A71" s="5"/>
      <c r="B71" s="5"/>
      <c r="C71" s="5"/>
      <c r="D71" s="5"/>
      <c r="E71" s="6"/>
      <c r="F71" s="6"/>
      <c r="G71" s="5"/>
      <c r="H71" s="5"/>
      <c r="I71" s="7"/>
      <c r="J71" s="5"/>
      <c r="K71" s="5"/>
      <c r="L71" s="8"/>
      <c r="M71" s="5"/>
      <c r="N71" s="2"/>
      <c r="O71"/>
      <c r="R71" s="2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>
      <c r="A72" s="5"/>
      <c r="B72" s="5"/>
      <c r="C72" s="5"/>
      <c r="D72" s="5"/>
      <c r="E72" s="6"/>
      <c r="F72" s="6"/>
      <c r="G72" s="5"/>
      <c r="H72" s="5"/>
      <c r="I72" s="7"/>
      <c r="J72" s="5"/>
      <c r="K72" s="5"/>
      <c r="L72" s="8"/>
      <c r="M72" s="5"/>
      <c r="N72" s="2"/>
      <c r="O72"/>
      <c r="R72" s="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>
      <c r="A73" s="5"/>
      <c r="B73" s="5"/>
      <c r="C73" s="5"/>
      <c r="D73" s="5"/>
      <c r="E73" s="6"/>
      <c r="F73" s="6"/>
      <c r="G73" s="5"/>
      <c r="H73" s="5"/>
      <c r="I73" s="7"/>
      <c r="J73" s="5"/>
      <c r="K73" s="5"/>
      <c r="L73" s="8"/>
      <c r="M73" s="5"/>
      <c r="N73" s="2"/>
      <c r="O73"/>
      <c r="R73" s="2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>
      <c r="A74" s="5"/>
      <c r="B74" s="5"/>
      <c r="C74" s="5"/>
      <c r="D74" s="5"/>
      <c r="E74" s="6"/>
      <c r="F74" s="6"/>
      <c r="G74" s="5"/>
      <c r="H74" s="5"/>
      <c r="I74" s="7"/>
      <c r="J74" s="5"/>
      <c r="K74" s="5"/>
      <c r="L74" s="8"/>
      <c r="M74" s="5"/>
      <c r="N74" s="2"/>
      <c r="O74"/>
      <c r="R74" s="2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>
      <c r="A75" s="5"/>
      <c r="B75" s="5"/>
      <c r="C75" s="5"/>
      <c r="D75" s="5"/>
      <c r="E75" s="6"/>
      <c r="F75" s="6"/>
      <c r="G75" s="5"/>
      <c r="H75" s="5"/>
      <c r="I75" s="7"/>
      <c r="J75" s="5"/>
      <c r="K75" s="5"/>
      <c r="L75" s="8"/>
      <c r="M75" s="5"/>
      <c r="N75" s="2"/>
      <c r="O75"/>
      <c r="R75" s="2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>
      <c r="A76" s="5"/>
      <c r="B76" s="5"/>
      <c r="C76" s="5"/>
      <c r="D76" s="5"/>
      <c r="E76" s="6"/>
      <c r="F76" s="6"/>
      <c r="G76" s="5"/>
      <c r="H76" s="5"/>
      <c r="I76" s="7"/>
      <c r="J76" s="5"/>
      <c r="K76" s="5"/>
      <c r="L76" s="8"/>
      <c r="M76" s="5"/>
      <c r="N76" s="2"/>
      <c r="O76"/>
      <c r="R76" s="2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>
      <c r="A77" s="5"/>
      <c r="B77" s="5"/>
      <c r="C77" s="5"/>
      <c r="D77" s="5"/>
      <c r="E77" s="6"/>
      <c r="F77" s="6"/>
      <c r="G77" s="5"/>
      <c r="H77" s="5"/>
      <c r="I77" s="7"/>
      <c r="J77" s="5"/>
      <c r="K77" s="5"/>
      <c r="L77" s="8"/>
      <c r="M77" s="5"/>
      <c r="N77" s="2"/>
      <c r="O77"/>
      <c r="R77" s="2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>
      <c r="A78" s="5"/>
      <c r="B78" s="5"/>
      <c r="C78" s="5"/>
      <c r="D78" s="5"/>
      <c r="E78" s="6"/>
      <c r="F78" s="6"/>
      <c r="G78" s="5"/>
      <c r="H78" s="5"/>
      <c r="I78" s="7"/>
      <c r="J78" s="5"/>
      <c r="K78" s="5"/>
      <c r="L78" s="8"/>
      <c r="M78" s="5"/>
      <c r="N78" s="2"/>
      <c r="O78"/>
      <c r="R78" s="2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>
      <c r="A79" s="5"/>
      <c r="B79" s="5"/>
      <c r="C79" s="5"/>
      <c r="D79" s="5"/>
      <c r="E79" s="6"/>
      <c r="F79" s="6"/>
      <c r="G79" s="5"/>
      <c r="H79" s="5"/>
      <c r="I79" s="7"/>
      <c r="J79" s="5"/>
      <c r="K79" s="5"/>
      <c r="L79" s="8"/>
      <c r="M79" s="5"/>
      <c r="N79" s="2"/>
      <c r="O79"/>
      <c r="R79" s="2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>
      <c r="A80" s="5"/>
      <c r="B80" s="5"/>
      <c r="C80" s="5"/>
      <c r="D80" s="5"/>
      <c r="E80" s="6"/>
      <c r="F80" s="6"/>
      <c r="G80" s="5"/>
      <c r="H80" s="5"/>
      <c r="I80" s="7"/>
      <c r="J80" s="5"/>
      <c r="K80" s="5"/>
      <c r="L80" s="8"/>
      <c r="M80" s="5"/>
      <c r="N80" s="2"/>
      <c r="O80"/>
      <c r="R80" s="2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>
      <c r="A81" s="5"/>
      <c r="B81" s="5"/>
      <c r="C81" s="5"/>
      <c r="D81" s="5"/>
      <c r="E81" s="6"/>
      <c r="F81" s="6"/>
      <c r="G81" s="5"/>
      <c r="H81" s="5"/>
      <c r="I81" s="7"/>
      <c r="J81" s="5"/>
      <c r="K81" s="5"/>
      <c r="L81" s="8"/>
      <c r="M81" s="5"/>
      <c r="N81" s="2"/>
      <c r="O81"/>
      <c r="R81" s="2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>
      <c r="A82" s="5"/>
      <c r="B82" s="5"/>
      <c r="C82" s="5"/>
      <c r="D82" s="5"/>
      <c r="E82" s="6"/>
      <c r="F82" s="6"/>
      <c r="G82" s="5"/>
      <c r="H82" s="5"/>
      <c r="I82" s="7"/>
      <c r="J82" s="5"/>
      <c r="K82" s="5"/>
      <c r="L82" s="8"/>
      <c r="M82" s="5"/>
      <c r="N82" s="2"/>
      <c r="O82"/>
      <c r="R82" s="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>
      <c r="A83" s="5"/>
      <c r="B83" s="5"/>
      <c r="C83" s="5"/>
      <c r="D83" s="5"/>
      <c r="E83" s="6"/>
      <c r="F83" s="6"/>
      <c r="G83" s="5"/>
      <c r="H83" s="5"/>
      <c r="I83" s="7"/>
      <c r="J83" s="5"/>
      <c r="K83" s="5"/>
      <c r="L83" s="8"/>
      <c r="M83" s="5"/>
      <c r="N83" s="2"/>
      <c r="O83"/>
      <c r="R83" s="2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1:33">
      <c r="A84" s="5"/>
      <c r="B84" s="5"/>
      <c r="C84" s="5"/>
      <c r="D84" s="5"/>
      <c r="E84" s="6"/>
      <c r="F84" s="6"/>
      <c r="G84" s="5"/>
      <c r="H84" s="5"/>
      <c r="I84" s="7"/>
      <c r="J84" s="5"/>
      <c r="K84" s="5"/>
      <c r="L84" s="8"/>
      <c r="M84" s="5"/>
      <c r="N84" s="2"/>
      <c r="O84"/>
      <c r="R84" s="2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1:33">
      <c r="A85" s="5"/>
      <c r="B85" s="5"/>
      <c r="C85" s="5"/>
      <c r="D85" s="5"/>
      <c r="E85" s="6"/>
      <c r="F85" s="6"/>
      <c r="G85" s="5"/>
      <c r="H85" s="5"/>
      <c r="I85" s="7"/>
      <c r="J85" s="5"/>
      <c r="K85" s="5"/>
      <c r="L85" s="8"/>
      <c r="M85" s="5"/>
      <c r="N85" s="2"/>
      <c r="O85"/>
      <c r="R85" s="2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1:33">
      <c r="A86" s="5"/>
      <c r="B86" s="5"/>
      <c r="C86" s="5"/>
      <c r="D86" s="5"/>
      <c r="E86" s="6"/>
      <c r="F86" s="6"/>
      <c r="G86" s="5"/>
      <c r="H86" s="5"/>
      <c r="I86" s="7"/>
      <c r="J86" s="5"/>
      <c r="K86" s="5"/>
      <c r="L86" s="8"/>
      <c r="M86" s="5"/>
      <c r="N86" s="2"/>
      <c r="O86"/>
      <c r="R86" s="2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1:33">
      <c r="A87" s="5"/>
      <c r="B87" s="5"/>
      <c r="C87" s="5"/>
      <c r="D87" s="5"/>
      <c r="E87" s="6"/>
      <c r="F87" s="6"/>
      <c r="G87" s="5"/>
      <c r="H87" s="5"/>
      <c r="I87" s="7"/>
      <c r="J87" s="5"/>
      <c r="K87" s="5"/>
      <c r="L87" s="8"/>
      <c r="M87" s="5"/>
      <c r="N87" s="2"/>
      <c r="O87"/>
      <c r="R87" s="2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</row>
    <row r="88" spans="1:33">
      <c r="A88" s="5"/>
      <c r="B88" s="5"/>
      <c r="C88" s="5"/>
      <c r="D88" s="5"/>
      <c r="E88" s="6"/>
      <c r="F88" s="6"/>
      <c r="G88" s="5"/>
      <c r="H88" s="5"/>
      <c r="I88" s="7"/>
      <c r="J88" s="5"/>
      <c r="K88" s="5"/>
      <c r="L88" s="8"/>
      <c r="M88" s="5"/>
      <c r="N88" s="2"/>
      <c r="O88"/>
      <c r="R88" s="2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1:33">
      <c r="A89" s="5"/>
      <c r="B89" s="5"/>
      <c r="C89" s="5"/>
      <c r="D89" s="5"/>
      <c r="E89" s="6"/>
      <c r="F89" s="6"/>
      <c r="G89" s="5"/>
      <c r="H89" s="5"/>
      <c r="I89" s="7"/>
      <c r="J89" s="5"/>
      <c r="K89" s="5"/>
      <c r="L89" s="8"/>
      <c r="M89" s="5"/>
      <c r="N89" s="2"/>
      <c r="O89"/>
      <c r="R89" s="2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</row>
    <row r="90" spans="1:33">
      <c r="A90" s="5"/>
      <c r="B90" s="5"/>
      <c r="C90" s="5"/>
      <c r="D90" s="5"/>
      <c r="E90" s="6"/>
      <c r="F90" s="6"/>
      <c r="G90" s="5"/>
      <c r="H90" s="5"/>
      <c r="I90" s="7"/>
      <c r="J90" s="5"/>
      <c r="K90" s="5"/>
      <c r="L90" s="8"/>
      <c r="M90" s="5"/>
      <c r="N90" s="2"/>
      <c r="O90"/>
      <c r="R90" s="2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1:33">
      <c r="A91" s="5"/>
      <c r="B91" s="5"/>
      <c r="C91" s="5"/>
      <c r="D91" s="5"/>
      <c r="E91" s="6"/>
      <c r="F91" s="6"/>
      <c r="G91" s="5"/>
      <c r="H91" s="5"/>
      <c r="I91" s="7"/>
      <c r="J91" s="5"/>
      <c r="K91" s="5"/>
      <c r="L91" s="8"/>
      <c r="M91" s="5"/>
      <c r="N91" s="2"/>
      <c r="O91"/>
      <c r="R91" s="2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</row>
    <row r="92" spans="1:33">
      <c r="A92" s="5"/>
      <c r="B92" s="5"/>
      <c r="C92" s="5"/>
      <c r="D92" s="5"/>
      <c r="E92" s="6"/>
      <c r="F92" s="6"/>
      <c r="G92" s="5"/>
      <c r="H92" s="5"/>
      <c r="I92" s="7"/>
      <c r="J92" s="5"/>
      <c r="K92" s="5"/>
      <c r="L92" s="8"/>
      <c r="M92" s="5"/>
      <c r="N92" s="2"/>
      <c r="O92"/>
      <c r="R92" s="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>
      <c r="A93" s="5"/>
      <c r="B93" s="5"/>
      <c r="C93" s="5"/>
      <c r="D93" s="5"/>
      <c r="E93" s="6"/>
      <c r="F93" s="6"/>
      <c r="G93" s="5"/>
      <c r="H93" s="5"/>
      <c r="I93" s="7"/>
      <c r="J93" s="5"/>
      <c r="K93" s="5"/>
      <c r="L93" s="8"/>
      <c r="M93" s="5"/>
      <c r="N93" s="2"/>
      <c r="O93"/>
      <c r="R93" s="2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>
      <c r="A94" s="5"/>
      <c r="B94" s="5"/>
      <c r="C94" s="5"/>
      <c r="D94" s="5"/>
      <c r="E94" s="6"/>
      <c r="F94" s="6"/>
      <c r="G94" s="5"/>
      <c r="H94" s="5"/>
      <c r="I94" s="7"/>
      <c r="J94" s="5"/>
      <c r="K94" s="5"/>
      <c r="L94" s="8"/>
      <c r="M94" s="5"/>
      <c r="N94" s="2"/>
      <c r="O94"/>
      <c r="R94" s="2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>
      <c r="A95" s="5"/>
      <c r="B95" s="5"/>
      <c r="C95" s="5"/>
      <c r="D95" s="5"/>
      <c r="E95" s="6"/>
      <c r="F95" s="6"/>
      <c r="G95" s="5"/>
      <c r="H95" s="5"/>
      <c r="I95" s="7"/>
      <c r="J95" s="5"/>
      <c r="K95" s="5"/>
      <c r="L95" s="8"/>
      <c r="M95" s="5"/>
      <c r="N95" s="2"/>
      <c r="O95"/>
      <c r="R95" s="2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>
      <c r="A96" s="5"/>
      <c r="B96" s="5"/>
      <c r="C96" s="5"/>
      <c r="D96" s="5"/>
      <c r="E96" s="6"/>
      <c r="F96" s="6"/>
      <c r="G96" s="5"/>
      <c r="H96" s="5"/>
      <c r="I96" s="7"/>
      <c r="J96" s="5"/>
      <c r="K96" s="5"/>
      <c r="L96" s="8"/>
      <c r="M96" s="5"/>
      <c r="N96" s="2"/>
      <c r="O96"/>
      <c r="R96" s="2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>
      <c r="A97" s="5"/>
      <c r="B97" s="5"/>
      <c r="C97" s="5"/>
      <c r="D97" s="5"/>
      <c r="E97" s="6"/>
      <c r="F97" s="6"/>
      <c r="G97" s="5"/>
      <c r="H97" s="5"/>
      <c r="I97" s="7"/>
      <c r="J97" s="5"/>
      <c r="K97" s="5"/>
      <c r="L97" s="8"/>
      <c r="M97" s="5"/>
      <c r="N97" s="2"/>
      <c r="O97"/>
      <c r="R97" s="2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>
      <c r="A98" s="5"/>
      <c r="B98" s="5"/>
      <c r="C98" s="5"/>
      <c r="D98" s="5"/>
      <c r="E98" s="6"/>
      <c r="F98" s="6"/>
      <c r="G98" s="5"/>
      <c r="H98" s="5"/>
      <c r="I98" s="7"/>
      <c r="J98" s="5"/>
      <c r="K98" s="5"/>
      <c r="L98" s="8"/>
      <c r="M98" s="5"/>
      <c r="N98" s="2"/>
      <c r="O98"/>
      <c r="R98" s="2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>
      <c r="A99" s="5"/>
      <c r="B99" s="5"/>
      <c r="C99" s="5"/>
      <c r="D99" s="5"/>
      <c r="E99" s="6"/>
      <c r="F99" s="6"/>
      <c r="G99" s="5"/>
      <c r="H99" s="5"/>
      <c r="I99" s="7"/>
      <c r="J99" s="5"/>
      <c r="K99" s="5"/>
      <c r="L99" s="8"/>
      <c r="M99" s="5"/>
      <c r="N99" s="2"/>
      <c r="O99"/>
      <c r="R99" s="2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>
      <c r="A100" s="5"/>
      <c r="B100" s="5"/>
      <c r="C100" s="5"/>
      <c r="D100" s="5"/>
      <c r="E100" s="6"/>
      <c r="F100" s="6"/>
      <c r="G100" s="5"/>
      <c r="H100" s="5"/>
      <c r="I100" s="7"/>
      <c r="J100" s="5"/>
      <c r="K100" s="5"/>
      <c r="L100" s="8"/>
      <c r="M100" s="5"/>
      <c r="N100" s="2"/>
      <c r="O100"/>
      <c r="R100" s="2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>
      <c r="A101" s="5"/>
      <c r="B101" s="5"/>
      <c r="C101" s="5"/>
      <c r="D101" s="5"/>
      <c r="E101" s="6"/>
      <c r="F101" s="6"/>
      <c r="G101" s="5"/>
      <c r="H101" s="5"/>
      <c r="I101" s="7"/>
      <c r="J101" s="5"/>
      <c r="K101" s="5"/>
      <c r="L101" s="8"/>
      <c r="M101" s="5"/>
      <c r="N101" s="2"/>
      <c r="O101"/>
      <c r="R101" s="2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>
      <c r="A102" s="5"/>
      <c r="B102" s="5"/>
      <c r="C102" s="5"/>
      <c r="D102" s="5"/>
      <c r="E102" s="6"/>
      <c r="F102" s="6"/>
      <c r="G102" s="5"/>
      <c r="H102" s="5"/>
      <c r="I102" s="7"/>
      <c r="J102" s="5"/>
      <c r="K102" s="5"/>
      <c r="L102" s="8"/>
      <c r="M102" s="5"/>
      <c r="N102" s="2"/>
      <c r="O102"/>
      <c r="R102" s="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>
      <c r="A103" s="5"/>
      <c r="B103" s="5"/>
      <c r="C103" s="5"/>
      <c r="D103" s="5"/>
      <c r="E103" s="6"/>
      <c r="F103" s="6"/>
      <c r="G103" s="5"/>
      <c r="H103" s="5"/>
      <c r="I103" s="7"/>
      <c r="J103" s="5"/>
      <c r="K103" s="5"/>
      <c r="L103" s="8"/>
      <c r="M103" s="5"/>
      <c r="N103" s="2"/>
      <c r="O103"/>
      <c r="R103" s="2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>
      <c r="A104" s="5"/>
      <c r="B104" s="5"/>
      <c r="C104" s="5"/>
      <c r="D104" s="5"/>
      <c r="E104" s="6"/>
      <c r="F104" s="6"/>
      <c r="G104" s="5"/>
      <c r="H104" s="5"/>
      <c r="I104" s="7"/>
      <c r="J104" s="5"/>
      <c r="K104" s="5"/>
      <c r="L104" s="8"/>
      <c r="M104" s="5"/>
      <c r="N104" s="2"/>
      <c r="O104"/>
      <c r="R104" s="2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>
      <c r="A105" s="5"/>
      <c r="B105" s="5"/>
      <c r="C105" s="5"/>
      <c r="D105" s="5"/>
      <c r="E105" s="6"/>
      <c r="F105" s="6"/>
      <c r="G105" s="5"/>
      <c r="H105" s="5"/>
      <c r="I105" s="7"/>
      <c r="J105" s="5"/>
      <c r="K105" s="5"/>
      <c r="L105" s="8"/>
      <c r="M105" s="5"/>
      <c r="N105" s="2"/>
      <c r="O105"/>
      <c r="R105" s="2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>
      <c r="A106" s="5"/>
      <c r="B106" s="5"/>
      <c r="C106" s="5"/>
      <c r="D106" s="5"/>
      <c r="E106" s="6"/>
      <c r="F106" s="6"/>
      <c r="G106" s="5"/>
      <c r="H106" s="5"/>
      <c r="I106" s="7"/>
      <c r="J106" s="5"/>
      <c r="K106" s="5"/>
      <c r="L106" s="8"/>
      <c r="M106" s="5"/>
      <c r="N106" s="2"/>
      <c r="O106"/>
      <c r="R106" s="2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>
      <c r="A107" s="5"/>
      <c r="B107" s="5"/>
      <c r="C107" s="5"/>
      <c r="D107" s="5"/>
      <c r="E107" s="6"/>
      <c r="F107" s="6"/>
      <c r="G107" s="5"/>
      <c r="H107" s="5"/>
      <c r="I107" s="7"/>
      <c r="J107" s="5"/>
      <c r="K107" s="5"/>
      <c r="L107" s="8"/>
      <c r="M107" s="5"/>
      <c r="N107" s="2"/>
      <c r="O107"/>
      <c r="R107" s="2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>
      <c r="A108" s="5"/>
      <c r="B108" s="5"/>
      <c r="C108" s="5"/>
      <c r="D108" s="5"/>
      <c r="E108" s="6"/>
      <c r="F108" s="6"/>
      <c r="G108" s="5"/>
      <c r="H108" s="5"/>
      <c r="I108" s="7"/>
      <c r="J108" s="5"/>
      <c r="K108" s="5"/>
      <c r="L108" s="8"/>
      <c r="M108" s="5"/>
      <c r="N108" s="2"/>
      <c r="O108"/>
      <c r="R108" s="2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>
      <c r="A109" s="5"/>
      <c r="B109" s="5"/>
      <c r="C109" s="5"/>
      <c r="D109" s="5"/>
      <c r="E109" s="6"/>
      <c r="F109" s="6"/>
      <c r="G109" s="5"/>
      <c r="H109" s="5"/>
      <c r="I109" s="7"/>
      <c r="J109" s="5"/>
      <c r="K109" s="5"/>
      <c r="L109" s="8"/>
      <c r="M109" s="5"/>
      <c r="N109" s="2"/>
      <c r="O109"/>
      <c r="R109" s="2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>
      <c r="A110" s="5"/>
      <c r="B110" s="5"/>
      <c r="C110" s="5"/>
      <c r="D110" s="5"/>
      <c r="E110" s="6"/>
      <c r="F110" s="6"/>
      <c r="G110" s="5"/>
      <c r="H110" s="5"/>
      <c r="I110" s="7"/>
      <c r="J110" s="5"/>
      <c r="K110" s="5"/>
      <c r="L110" s="8"/>
      <c r="M110" s="5"/>
      <c r="N110" s="2"/>
      <c r="O110"/>
      <c r="R110" s="2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>
      <c r="A111" s="5"/>
      <c r="B111" s="5"/>
      <c r="C111" s="5"/>
      <c r="D111" s="5"/>
      <c r="E111" s="6"/>
      <c r="F111" s="6"/>
      <c r="G111" s="5"/>
      <c r="H111" s="5"/>
      <c r="I111" s="7"/>
      <c r="J111" s="5"/>
      <c r="K111" s="5"/>
      <c r="L111" s="8"/>
      <c r="M111" s="5"/>
      <c r="N111" s="2"/>
      <c r="O111"/>
      <c r="R111" s="2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>
      <c r="A112" s="5"/>
      <c r="B112" s="5"/>
      <c r="C112" s="5"/>
      <c r="D112" s="5"/>
      <c r="E112" s="6"/>
      <c r="F112" s="6"/>
      <c r="G112" s="5"/>
      <c r="H112" s="5"/>
      <c r="I112" s="7"/>
      <c r="J112" s="5"/>
      <c r="K112" s="5"/>
      <c r="L112" s="8"/>
      <c r="M112" s="5"/>
      <c r="N112" s="2"/>
      <c r="O112"/>
      <c r="R112" s="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>
      <c r="A113" s="5"/>
      <c r="B113" s="5"/>
      <c r="C113" s="5"/>
      <c r="D113" s="5"/>
      <c r="E113" s="6"/>
      <c r="F113" s="6"/>
      <c r="G113" s="5"/>
      <c r="H113" s="5"/>
      <c r="I113" s="7"/>
      <c r="J113" s="5"/>
      <c r="K113" s="5"/>
      <c r="L113" s="8"/>
      <c r="M113" s="5"/>
      <c r="N113" s="2"/>
      <c r="O113"/>
      <c r="R113" s="2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>
      <c r="A114" s="5"/>
      <c r="B114" s="5"/>
      <c r="C114" s="5"/>
      <c r="D114" s="5"/>
      <c r="E114" s="6"/>
      <c r="F114" s="6"/>
      <c r="G114" s="5"/>
      <c r="H114" s="5"/>
      <c r="I114" s="7"/>
      <c r="J114" s="5"/>
      <c r="K114" s="5"/>
      <c r="L114" s="8"/>
      <c r="M114" s="5"/>
      <c r="N114" s="2"/>
      <c r="O114"/>
      <c r="R114" s="2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>
      <c r="A115" s="5"/>
      <c r="B115" s="5"/>
      <c r="C115" s="5"/>
      <c r="D115" s="5"/>
      <c r="E115" s="6"/>
      <c r="F115" s="6"/>
      <c r="G115" s="5"/>
      <c r="H115" s="5"/>
      <c r="I115" s="7"/>
      <c r="J115" s="5"/>
      <c r="K115" s="5"/>
      <c r="L115" s="8"/>
      <c r="M115" s="5"/>
      <c r="N115" s="2"/>
      <c r="O115"/>
      <c r="R115" s="2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>
      <c r="A116" s="5"/>
      <c r="B116" s="5"/>
      <c r="C116" s="5"/>
      <c r="D116" s="5"/>
      <c r="E116" s="6"/>
      <c r="F116" s="6"/>
      <c r="G116" s="5"/>
      <c r="H116" s="5"/>
      <c r="I116" s="7"/>
      <c r="J116" s="5"/>
      <c r="K116" s="5"/>
      <c r="L116" s="8"/>
      <c r="M116" s="5"/>
      <c r="N116" s="2"/>
      <c r="O116"/>
      <c r="R116" s="2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>
      <c r="A117" s="5"/>
      <c r="B117" s="5"/>
      <c r="C117" s="5"/>
      <c r="D117" s="5"/>
      <c r="E117" s="6"/>
      <c r="F117" s="6"/>
      <c r="G117" s="5"/>
      <c r="H117" s="5"/>
      <c r="I117" s="7"/>
      <c r="J117" s="5"/>
      <c r="K117" s="5"/>
      <c r="L117" s="8"/>
      <c r="M117" s="5"/>
      <c r="N117" s="2"/>
      <c r="O117"/>
      <c r="R117" s="2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>
      <c r="A118" s="5"/>
      <c r="B118" s="5"/>
      <c r="C118" s="5"/>
      <c r="D118" s="5"/>
      <c r="E118" s="6"/>
      <c r="F118" s="6"/>
      <c r="G118" s="5"/>
      <c r="H118" s="5"/>
      <c r="I118" s="7"/>
      <c r="J118" s="5"/>
      <c r="K118" s="5"/>
      <c r="L118" s="8"/>
      <c r="M118" s="5"/>
      <c r="N118" s="2"/>
      <c r="O118"/>
      <c r="R118" s="2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>
      <c r="A119" s="5"/>
      <c r="B119" s="5"/>
      <c r="C119" s="5"/>
      <c r="D119" s="5"/>
      <c r="E119" s="6"/>
      <c r="F119" s="6"/>
      <c r="G119" s="5"/>
      <c r="H119" s="5"/>
      <c r="I119" s="7"/>
      <c r="J119" s="5"/>
      <c r="K119" s="5"/>
      <c r="L119" s="8"/>
      <c r="M119" s="5"/>
      <c r="N119" s="2"/>
      <c r="O119"/>
      <c r="R119" s="2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>
      <c r="A120" s="5"/>
      <c r="B120" s="5"/>
      <c r="C120" s="5"/>
      <c r="D120" s="5"/>
      <c r="E120" s="6"/>
      <c r="F120" s="6"/>
      <c r="G120" s="5"/>
      <c r="H120" s="5"/>
      <c r="I120" s="7"/>
      <c r="J120" s="5"/>
      <c r="K120" s="5"/>
      <c r="L120" s="8"/>
      <c r="M120" s="5"/>
      <c r="N120" s="2"/>
      <c r="O120"/>
      <c r="R120" s="2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>
      <c r="A121" s="5"/>
      <c r="B121" s="5"/>
      <c r="C121" s="5"/>
      <c r="D121" s="5"/>
      <c r="E121" s="6"/>
      <c r="F121" s="6"/>
      <c r="G121" s="5"/>
      <c r="H121" s="5"/>
      <c r="I121" s="7"/>
      <c r="J121" s="5"/>
      <c r="K121" s="5"/>
      <c r="L121" s="8"/>
      <c r="M121" s="5"/>
      <c r="N121" s="2"/>
      <c r="O121"/>
      <c r="R121" s="2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>
      <c r="A122" s="5"/>
      <c r="B122" s="5"/>
      <c r="C122" s="5"/>
      <c r="D122" s="5"/>
      <c r="E122" s="6"/>
      <c r="F122" s="6"/>
      <c r="G122" s="5"/>
      <c r="H122" s="5"/>
      <c r="I122" s="7"/>
      <c r="J122" s="5"/>
      <c r="K122" s="5"/>
      <c r="L122" s="8"/>
      <c r="M122" s="5"/>
      <c r="N122" s="2"/>
      <c r="O122"/>
      <c r="R122" s="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>
      <c r="A123" s="5"/>
      <c r="B123" s="5"/>
      <c r="C123" s="5"/>
      <c r="D123" s="5"/>
      <c r="E123" s="6"/>
      <c r="F123" s="6"/>
      <c r="G123" s="5"/>
      <c r="H123" s="5"/>
      <c r="I123" s="7"/>
      <c r="J123" s="5"/>
      <c r="K123" s="5"/>
      <c r="L123" s="8"/>
      <c r="M123" s="5"/>
      <c r="N123" s="2"/>
      <c r="O123"/>
      <c r="R123" s="2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>
      <c r="A124" s="5"/>
      <c r="B124" s="5"/>
      <c r="C124" s="5"/>
      <c r="D124" s="5"/>
      <c r="E124" s="6"/>
      <c r="F124" s="6"/>
      <c r="G124" s="5"/>
      <c r="H124" s="5"/>
      <c r="I124" s="7"/>
      <c r="J124" s="5"/>
      <c r="K124" s="5"/>
      <c r="L124" s="8"/>
      <c r="M124" s="5"/>
      <c r="N124" s="2"/>
      <c r="O124"/>
      <c r="R124" s="2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>
      <c r="A125" s="5"/>
      <c r="B125" s="5"/>
      <c r="C125" s="5"/>
      <c r="D125" s="5"/>
      <c r="E125" s="6"/>
      <c r="F125" s="6"/>
      <c r="G125" s="5"/>
      <c r="H125" s="5"/>
      <c r="I125" s="7"/>
      <c r="J125" s="5"/>
      <c r="K125" s="5"/>
      <c r="L125" s="8"/>
      <c r="M125" s="5"/>
      <c r="N125" s="2"/>
      <c r="O125"/>
      <c r="R125" s="2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>
      <c r="A126" s="5"/>
      <c r="B126" s="5"/>
      <c r="C126" s="5"/>
      <c r="D126" s="5"/>
      <c r="E126" s="6"/>
      <c r="F126" s="6"/>
      <c r="G126" s="5"/>
      <c r="H126" s="5"/>
      <c r="I126" s="7"/>
      <c r="J126" s="5"/>
      <c r="K126" s="5"/>
      <c r="L126" s="8"/>
      <c r="M126" s="5"/>
      <c r="N126" s="2"/>
      <c r="O126"/>
      <c r="R126" s="2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>
      <c r="A127" s="5"/>
      <c r="B127" s="5"/>
      <c r="C127" s="5"/>
      <c r="D127" s="5"/>
      <c r="E127" s="6"/>
      <c r="F127" s="6"/>
      <c r="G127" s="5"/>
      <c r="H127" s="5"/>
      <c r="I127" s="7"/>
      <c r="J127" s="5"/>
      <c r="K127" s="5"/>
      <c r="L127" s="8"/>
      <c r="M127" s="5"/>
      <c r="N127" s="2"/>
      <c r="O127"/>
      <c r="R127" s="2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>
      <c r="A128" s="5"/>
      <c r="B128" s="5"/>
      <c r="C128" s="5"/>
      <c r="D128" s="5"/>
      <c r="E128" s="6"/>
      <c r="F128" s="6"/>
      <c r="G128" s="5"/>
      <c r="H128" s="5"/>
      <c r="I128" s="7"/>
      <c r="J128" s="5"/>
      <c r="K128" s="5"/>
      <c r="L128" s="8"/>
      <c r="M128" s="5"/>
      <c r="N128" s="2"/>
      <c r="O128"/>
      <c r="R128" s="2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>
      <c r="A129" s="5"/>
      <c r="B129" s="5"/>
      <c r="C129" s="5"/>
      <c r="D129" s="5"/>
      <c r="E129" s="6"/>
      <c r="F129" s="6"/>
      <c r="G129" s="5"/>
      <c r="H129" s="5"/>
      <c r="I129" s="7"/>
      <c r="J129" s="5"/>
      <c r="K129" s="5"/>
      <c r="L129" s="8"/>
      <c r="M129" s="5"/>
      <c r="N129" s="2"/>
      <c r="O129"/>
      <c r="R129" s="2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>
      <c r="A130" s="5"/>
      <c r="B130" s="5"/>
      <c r="C130" s="5"/>
      <c r="D130" s="5"/>
      <c r="E130" s="6"/>
      <c r="F130" s="6"/>
      <c r="G130" s="5"/>
      <c r="H130" s="5"/>
      <c r="I130" s="7"/>
      <c r="J130" s="5"/>
      <c r="K130" s="5"/>
      <c r="L130" s="8"/>
      <c r="M130" s="5"/>
      <c r="N130" s="2"/>
      <c r="O130"/>
      <c r="R130" s="2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>
      <c r="A131" s="5"/>
      <c r="B131" s="5"/>
      <c r="C131" s="5"/>
      <c r="D131" s="5"/>
      <c r="E131" s="6"/>
      <c r="F131" s="6"/>
      <c r="G131" s="5"/>
      <c r="H131" s="5"/>
      <c r="I131" s="7"/>
      <c r="J131" s="5"/>
      <c r="K131" s="5"/>
      <c r="L131" s="8"/>
      <c r="M131" s="5"/>
      <c r="N131" s="2"/>
      <c r="O131"/>
      <c r="R131" s="2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>
      <c r="A132" s="5"/>
      <c r="B132" s="5"/>
      <c r="C132" s="5"/>
      <c r="D132" s="5"/>
      <c r="E132" s="6"/>
      <c r="F132" s="6"/>
      <c r="G132" s="5"/>
      <c r="H132" s="5"/>
      <c r="I132" s="7"/>
      <c r="J132" s="5"/>
      <c r="K132" s="5"/>
      <c r="L132" s="8"/>
      <c r="M132" s="5"/>
      <c r="N132" s="2"/>
      <c r="O132"/>
      <c r="R132" s="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>
      <c r="A133" s="5"/>
      <c r="B133" s="5"/>
      <c r="C133" s="5"/>
      <c r="D133" s="5"/>
      <c r="E133" s="6"/>
      <c r="F133" s="6"/>
      <c r="G133" s="5"/>
      <c r="H133" s="5"/>
      <c r="I133" s="7"/>
      <c r="J133" s="5"/>
      <c r="K133" s="5"/>
      <c r="L133" s="8"/>
      <c r="M133" s="5"/>
      <c r="N133" s="2"/>
      <c r="O133"/>
      <c r="R133" s="2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>
      <c r="A134" s="5"/>
      <c r="B134" s="5"/>
      <c r="C134" s="5"/>
      <c r="D134" s="5"/>
      <c r="E134" s="6"/>
      <c r="F134" s="6"/>
      <c r="G134" s="5"/>
      <c r="H134" s="5"/>
      <c r="I134" s="7"/>
      <c r="J134" s="5"/>
      <c r="K134" s="5"/>
      <c r="L134" s="8"/>
      <c r="M134" s="5"/>
      <c r="N134" s="2"/>
      <c r="O134"/>
      <c r="R134" s="2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>
      <c r="A135" s="5"/>
      <c r="B135" s="5"/>
      <c r="C135" s="5"/>
      <c r="D135" s="5"/>
      <c r="E135" s="6"/>
      <c r="F135" s="6"/>
      <c r="G135" s="5"/>
      <c r="H135" s="5"/>
      <c r="I135" s="7"/>
      <c r="J135" s="5"/>
      <c r="K135" s="5"/>
      <c r="L135" s="8"/>
      <c r="M135" s="5"/>
      <c r="N135" s="2"/>
      <c r="O135"/>
      <c r="R135" s="2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>
      <c r="A136" s="5"/>
      <c r="B136" s="5"/>
      <c r="C136" s="5"/>
      <c r="D136" s="5"/>
      <c r="E136" s="6"/>
      <c r="F136" s="6"/>
      <c r="G136" s="5"/>
      <c r="H136" s="5"/>
      <c r="I136" s="7"/>
      <c r="J136" s="5"/>
      <c r="K136" s="5"/>
      <c r="L136" s="8"/>
      <c r="M136" s="5"/>
      <c r="N136" s="2"/>
      <c r="O136"/>
      <c r="R136" s="2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>
      <c r="A137" s="5"/>
      <c r="B137" s="5"/>
      <c r="C137" s="5"/>
      <c r="D137" s="5"/>
      <c r="E137" s="6"/>
      <c r="F137" s="6"/>
      <c r="G137" s="5"/>
      <c r="H137" s="5"/>
      <c r="I137" s="7"/>
      <c r="J137" s="5"/>
      <c r="K137" s="5"/>
      <c r="L137" s="8"/>
      <c r="M137" s="5"/>
      <c r="N137" s="2"/>
      <c r="O137"/>
      <c r="R137" s="2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>
      <c r="A138" s="5"/>
      <c r="B138" s="5"/>
      <c r="C138" s="5"/>
      <c r="D138" s="5"/>
      <c r="E138" s="6"/>
      <c r="F138" s="6"/>
      <c r="G138" s="5"/>
      <c r="H138" s="5"/>
      <c r="I138" s="7"/>
      <c r="J138" s="5"/>
      <c r="K138" s="5"/>
      <c r="L138" s="8"/>
      <c r="M138" s="5"/>
      <c r="N138" s="2"/>
      <c r="O138"/>
      <c r="R138" s="2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>
      <c r="A139" s="5"/>
      <c r="B139" s="5"/>
      <c r="C139" s="5"/>
      <c r="D139" s="5"/>
      <c r="E139" s="6"/>
      <c r="F139" s="6"/>
      <c r="G139" s="5"/>
      <c r="H139" s="5"/>
      <c r="I139" s="7"/>
      <c r="J139" s="5"/>
      <c r="K139" s="5"/>
      <c r="L139" s="8"/>
      <c r="M139" s="5"/>
      <c r="N139" s="2"/>
      <c r="O139"/>
      <c r="R139" s="2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>
      <c r="A140" s="5"/>
      <c r="B140" s="5"/>
      <c r="C140" s="5"/>
      <c r="D140" s="5"/>
      <c r="E140" s="6"/>
      <c r="F140" s="6"/>
      <c r="G140" s="5"/>
      <c r="H140" s="5"/>
      <c r="I140" s="7"/>
      <c r="J140" s="5"/>
      <c r="K140" s="5"/>
      <c r="L140" s="8"/>
      <c r="M140" s="5"/>
      <c r="N140" s="2"/>
      <c r="O140"/>
      <c r="R140" s="2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>
      <c r="A141" s="5"/>
      <c r="B141" s="5"/>
      <c r="C141" s="5"/>
      <c r="D141" s="5"/>
      <c r="E141" s="6"/>
      <c r="F141" s="6"/>
      <c r="G141" s="5"/>
      <c r="H141" s="5"/>
      <c r="I141" s="7"/>
      <c r="J141" s="5"/>
      <c r="K141" s="5"/>
      <c r="L141" s="8"/>
      <c r="M141" s="5"/>
      <c r="N141" s="2"/>
      <c r="O141"/>
      <c r="R141" s="2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>
      <c r="A142" s="5"/>
      <c r="B142" s="5"/>
      <c r="C142" s="5"/>
      <c r="D142" s="5"/>
      <c r="E142" s="6"/>
      <c r="F142" s="6"/>
      <c r="G142" s="5"/>
      <c r="H142" s="5"/>
      <c r="I142" s="7"/>
      <c r="J142" s="5"/>
      <c r="K142" s="5"/>
      <c r="L142" s="8"/>
      <c r="M142" s="5"/>
      <c r="O142"/>
      <c r="R142" s="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>
      <c r="A143" s="5"/>
      <c r="B143" s="5"/>
      <c r="C143" s="5"/>
      <c r="D143" s="5"/>
      <c r="E143" s="6"/>
      <c r="F143" s="6"/>
      <c r="G143" s="5"/>
      <c r="H143" s="5"/>
      <c r="I143" s="7"/>
      <c r="J143" s="5"/>
      <c r="K143" s="5"/>
      <c r="L143" s="8"/>
      <c r="M143" s="5"/>
      <c r="O143"/>
      <c r="R143" s="2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>
      <c r="A144" s="5"/>
      <c r="B144" s="5"/>
      <c r="C144" s="5"/>
      <c r="D144" s="5"/>
      <c r="E144" s="6"/>
      <c r="F144" s="6"/>
      <c r="G144" s="5"/>
      <c r="H144" s="5"/>
      <c r="I144" s="7"/>
      <c r="J144" s="5"/>
      <c r="K144" s="5"/>
      <c r="L144" s="8"/>
      <c r="M144" s="5"/>
      <c r="O144"/>
      <c r="R144" s="2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>
      <c r="A145" s="5"/>
      <c r="B145" s="5"/>
      <c r="C145" s="5"/>
      <c r="D145" s="5"/>
      <c r="E145" s="6"/>
      <c r="F145" s="6"/>
      <c r="G145" s="5"/>
      <c r="H145" s="5"/>
      <c r="I145" s="7"/>
      <c r="J145" s="5"/>
      <c r="K145" s="5"/>
      <c r="L145" s="8"/>
      <c r="M145" s="5"/>
      <c r="O145"/>
      <c r="R145" s="2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>
      <c r="A146" s="5"/>
      <c r="B146" s="5"/>
      <c r="C146" s="5"/>
      <c r="D146" s="5"/>
      <c r="E146" s="6"/>
      <c r="F146" s="6"/>
      <c r="G146" s="5"/>
      <c r="H146" s="5"/>
      <c r="I146" s="7"/>
      <c r="J146" s="5"/>
      <c r="K146" s="5"/>
      <c r="L146" s="8"/>
      <c r="M146" s="5"/>
      <c r="O146"/>
      <c r="R146" s="2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>
      <c r="A147" s="5"/>
      <c r="B147" s="5"/>
      <c r="C147" s="5"/>
      <c r="D147" s="5"/>
      <c r="E147" s="6"/>
      <c r="F147" s="6"/>
      <c r="G147" s="5"/>
      <c r="H147" s="5"/>
      <c r="I147" s="7"/>
      <c r="J147" s="5"/>
      <c r="K147" s="5"/>
      <c r="L147" s="8"/>
      <c r="M147" s="5"/>
      <c r="O147"/>
      <c r="R147" s="2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>
      <c r="A148" s="5"/>
      <c r="B148" s="5"/>
      <c r="C148" s="5"/>
      <c r="D148" s="5"/>
      <c r="E148" s="6"/>
      <c r="F148" s="6"/>
      <c r="G148" s="5"/>
      <c r="H148" s="5"/>
      <c r="I148" s="7"/>
      <c r="J148" s="5"/>
      <c r="K148" s="5"/>
      <c r="L148" s="8"/>
      <c r="M148" s="5"/>
      <c r="O148"/>
      <c r="R148" s="2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>
      <c r="A149" s="5"/>
      <c r="B149" s="5"/>
      <c r="C149" s="5"/>
      <c r="D149" s="5"/>
      <c r="E149" s="6"/>
      <c r="F149" s="6"/>
      <c r="G149" s="5"/>
      <c r="H149" s="5"/>
      <c r="I149" s="7"/>
      <c r="J149" s="5"/>
      <c r="K149" s="5"/>
      <c r="L149" s="8"/>
      <c r="M149" s="5"/>
      <c r="O149"/>
      <c r="R149" s="2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>
      <c r="A150" s="5"/>
      <c r="B150" s="5"/>
      <c r="C150" s="5"/>
      <c r="D150" s="5"/>
      <c r="E150" s="6"/>
      <c r="F150" s="6"/>
      <c r="G150" s="5"/>
      <c r="H150" s="5"/>
      <c r="I150" s="7"/>
      <c r="J150" s="5"/>
      <c r="K150" s="5"/>
      <c r="L150" s="8"/>
      <c r="M150" s="5"/>
      <c r="O150"/>
      <c r="R150" s="2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>
      <c r="A151" s="5"/>
      <c r="B151" s="5"/>
      <c r="C151" s="5"/>
      <c r="D151" s="5"/>
      <c r="E151" s="6"/>
      <c r="F151" s="6"/>
      <c r="G151" s="5"/>
      <c r="H151" s="5"/>
      <c r="I151" s="7"/>
      <c r="J151" s="5"/>
      <c r="K151" s="5"/>
      <c r="L151" s="8"/>
      <c r="M151" s="5"/>
      <c r="O151"/>
      <c r="R151" s="2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>
      <c r="A152" s="5"/>
      <c r="B152" s="5"/>
      <c r="C152" s="5"/>
      <c r="D152" s="5"/>
      <c r="E152" s="6"/>
      <c r="F152" s="6"/>
      <c r="G152" s="5"/>
      <c r="H152" s="5"/>
      <c r="I152" s="7"/>
      <c r="J152" s="5"/>
      <c r="K152" s="5"/>
      <c r="L152" s="8"/>
      <c r="M152" s="5"/>
      <c r="O152"/>
      <c r="R152" s="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>
      <c r="A153" s="5"/>
      <c r="B153" s="5"/>
      <c r="C153" s="5"/>
      <c r="D153" s="5"/>
      <c r="E153" s="6"/>
      <c r="F153" s="6"/>
      <c r="G153" s="5"/>
      <c r="H153" s="5"/>
      <c r="I153" s="7"/>
      <c r="J153" s="5"/>
      <c r="K153" s="5"/>
      <c r="L153" s="8"/>
      <c r="M153" s="5"/>
      <c r="O153"/>
      <c r="R153" s="2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>
      <c r="A154" s="5"/>
      <c r="B154" s="5"/>
      <c r="C154" s="5"/>
      <c r="D154" s="5"/>
      <c r="E154" s="6"/>
      <c r="F154" s="6"/>
      <c r="G154" s="5"/>
      <c r="H154" s="5"/>
      <c r="I154" s="7"/>
      <c r="J154" s="5"/>
      <c r="K154" s="5"/>
      <c r="L154" s="8"/>
      <c r="M154" s="5"/>
      <c r="O154"/>
      <c r="R154" s="2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>
      <c r="A155" s="5"/>
      <c r="B155" s="5"/>
      <c r="C155" s="5"/>
      <c r="D155" s="5"/>
      <c r="E155" s="6"/>
      <c r="F155" s="6"/>
      <c r="G155" s="5"/>
      <c r="H155" s="5"/>
      <c r="I155" s="7"/>
      <c r="J155" s="5"/>
      <c r="K155" s="5"/>
      <c r="L155" s="8"/>
      <c r="M155" s="5"/>
      <c r="O155"/>
      <c r="R155" s="2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>
      <c r="A156" s="5"/>
      <c r="B156" s="5"/>
      <c r="C156" s="5"/>
      <c r="D156" s="5"/>
      <c r="E156" s="6"/>
      <c r="F156" s="6"/>
      <c r="G156" s="5"/>
      <c r="H156" s="5"/>
      <c r="I156" s="7"/>
      <c r="J156" s="5"/>
      <c r="K156" s="5"/>
      <c r="L156" s="8"/>
      <c r="M156" s="5"/>
      <c r="O156"/>
      <c r="R156" s="2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>
      <c r="A157" s="5"/>
      <c r="B157" s="5"/>
      <c r="C157" s="5"/>
      <c r="D157" s="5"/>
      <c r="E157" s="6"/>
      <c r="F157" s="6"/>
      <c r="G157" s="5"/>
      <c r="H157" s="5"/>
      <c r="I157" s="7"/>
      <c r="J157" s="5"/>
      <c r="K157" s="5"/>
      <c r="L157" s="8"/>
      <c r="M157" s="5"/>
      <c r="O157"/>
      <c r="R157" s="2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>
      <c r="A158" s="5"/>
      <c r="B158" s="5"/>
      <c r="C158" s="5"/>
      <c r="D158" s="5"/>
      <c r="E158" s="6"/>
      <c r="F158" s="6"/>
      <c r="G158" s="5"/>
      <c r="H158" s="5"/>
      <c r="I158" s="7"/>
      <c r="J158" s="5"/>
      <c r="K158" s="5"/>
      <c r="L158" s="8"/>
      <c r="M158" s="5"/>
      <c r="O158"/>
      <c r="R158" s="2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>
      <c r="A159" s="5"/>
      <c r="B159" s="5"/>
      <c r="C159" s="5"/>
      <c r="D159" s="5"/>
      <c r="E159" s="6"/>
      <c r="F159" s="6"/>
      <c r="G159" s="5"/>
      <c r="H159" s="5"/>
      <c r="I159" s="7"/>
      <c r="J159" s="5"/>
      <c r="K159" s="5"/>
      <c r="L159" s="8"/>
      <c r="M159" s="5"/>
      <c r="O159"/>
      <c r="R159" s="2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>
      <c r="A160" s="5"/>
      <c r="B160" s="5"/>
      <c r="C160" s="5"/>
      <c r="D160" s="5"/>
      <c r="E160" s="6"/>
      <c r="F160" s="6"/>
      <c r="G160" s="5"/>
      <c r="H160" s="5"/>
      <c r="I160" s="7"/>
      <c r="J160" s="5"/>
      <c r="K160" s="5"/>
      <c r="L160" s="8"/>
      <c r="M160" s="5"/>
      <c r="O160"/>
      <c r="R160" s="2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>
      <c r="A161" s="5"/>
      <c r="B161" s="5"/>
      <c r="C161" s="5"/>
      <c r="D161" s="5"/>
      <c r="E161" s="6"/>
      <c r="F161" s="6"/>
      <c r="G161" s="5"/>
      <c r="H161" s="5"/>
      <c r="I161" s="7"/>
      <c r="J161" s="5"/>
      <c r="K161" s="5"/>
      <c r="L161" s="8"/>
      <c r="M161" s="5"/>
      <c r="O161"/>
      <c r="R161" s="2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>
      <c r="A162" s="5"/>
      <c r="B162" s="5"/>
      <c r="C162" s="5"/>
      <c r="D162" s="5"/>
      <c r="E162" s="6"/>
      <c r="F162" s="6"/>
      <c r="G162" s="5"/>
      <c r="H162" s="5"/>
      <c r="I162" s="7"/>
      <c r="J162" s="5"/>
      <c r="K162" s="5"/>
      <c r="L162" s="8"/>
      <c r="M162" s="5"/>
      <c r="O162"/>
      <c r="R162" s="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>
      <c r="A163" s="5"/>
      <c r="B163" s="5"/>
      <c r="C163" s="5"/>
      <c r="D163" s="5"/>
      <c r="E163" s="6"/>
      <c r="F163" s="6"/>
      <c r="G163" s="5"/>
      <c r="H163" s="5"/>
      <c r="I163" s="7"/>
      <c r="J163" s="5"/>
      <c r="K163" s="5"/>
      <c r="L163" s="8"/>
      <c r="M163" s="5"/>
      <c r="O163"/>
      <c r="R163" s="2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>
      <c r="A164" s="5"/>
      <c r="B164" s="5"/>
      <c r="C164" s="5"/>
      <c r="D164" s="5"/>
      <c r="E164" s="6"/>
      <c r="F164" s="6"/>
      <c r="G164" s="5"/>
      <c r="H164" s="5"/>
      <c r="I164" s="7"/>
      <c r="J164" s="5"/>
      <c r="K164" s="5"/>
      <c r="L164" s="8"/>
      <c r="M164" s="5"/>
      <c r="O164"/>
      <c r="R164" s="2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>
      <c r="A165" s="5"/>
      <c r="B165" s="5"/>
      <c r="C165" s="5"/>
      <c r="D165" s="5"/>
      <c r="E165" s="6"/>
      <c r="F165" s="6"/>
      <c r="G165" s="5"/>
      <c r="H165" s="5"/>
      <c r="I165" s="7"/>
      <c r="J165" s="5"/>
      <c r="K165" s="5"/>
      <c r="L165" s="8"/>
      <c r="M165" s="5"/>
      <c r="O165"/>
      <c r="R165" s="2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>
      <c r="A166" s="5"/>
      <c r="B166" s="5"/>
      <c r="C166" s="5"/>
      <c r="D166" s="5"/>
      <c r="E166" s="6"/>
      <c r="F166" s="6"/>
      <c r="G166" s="5"/>
      <c r="H166" s="5"/>
      <c r="I166" s="7"/>
      <c r="J166" s="5"/>
      <c r="K166" s="5"/>
      <c r="L166" s="8"/>
      <c r="M166" s="5"/>
      <c r="O166"/>
      <c r="R166" s="2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>
      <c r="A167" s="5"/>
      <c r="B167" s="5"/>
      <c r="C167" s="5"/>
      <c r="D167" s="5"/>
      <c r="E167" s="6"/>
      <c r="F167" s="6"/>
      <c r="G167" s="5"/>
      <c r="H167" s="5"/>
      <c r="I167" s="7"/>
      <c r="J167" s="5"/>
      <c r="K167" s="5"/>
      <c r="L167" s="8"/>
      <c r="M167" s="5"/>
      <c r="O167"/>
      <c r="R167" s="2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>
      <c r="A168" s="5"/>
      <c r="B168" s="5"/>
      <c r="C168" s="5"/>
      <c r="D168" s="5"/>
      <c r="E168" s="6"/>
      <c r="F168" s="6"/>
      <c r="G168" s="5"/>
      <c r="H168" s="5"/>
      <c r="I168" s="7"/>
      <c r="J168" s="5"/>
      <c r="K168" s="5"/>
      <c r="L168" s="8"/>
      <c r="M168" s="5"/>
      <c r="O168"/>
      <c r="R168" s="2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>
      <c r="A169" s="5"/>
      <c r="B169" s="5"/>
      <c r="C169" s="5"/>
      <c r="D169" s="5"/>
      <c r="E169" s="6"/>
      <c r="F169" s="6"/>
      <c r="G169" s="5"/>
      <c r="H169" s="5"/>
      <c r="I169" s="7"/>
      <c r="J169" s="5"/>
      <c r="K169" s="5"/>
      <c r="L169" s="8"/>
      <c r="M169" s="5"/>
      <c r="O169"/>
      <c r="R169" s="2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>
      <c r="A170" s="5"/>
      <c r="B170" s="5"/>
      <c r="C170" s="5"/>
      <c r="D170" s="5"/>
      <c r="E170" s="6"/>
      <c r="F170" s="6"/>
      <c r="G170" s="5"/>
      <c r="H170" s="5"/>
      <c r="I170" s="7"/>
      <c r="J170" s="5"/>
      <c r="K170" s="5"/>
      <c r="L170" s="8"/>
      <c r="M170" s="5"/>
      <c r="O170"/>
      <c r="R170" s="2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>
      <c r="A171" s="5"/>
      <c r="B171" s="5"/>
      <c r="C171" s="5"/>
      <c r="D171" s="5"/>
      <c r="E171" s="6"/>
      <c r="F171" s="6"/>
      <c r="G171" s="5"/>
      <c r="H171" s="5"/>
      <c r="I171" s="7"/>
      <c r="J171" s="5"/>
      <c r="K171" s="5"/>
      <c r="L171" s="8"/>
      <c r="M171" s="5"/>
      <c r="O171"/>
      <c r="R171" s="2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>
      <c r="A172" s="5"/>
      <c r="B172" s="5"/>
      <c r="C172" s="5"/>
      <c r="D172" s="5"/>
      <c r="E172" s="6"/>
      <c r="F172" s="6"/>
      <c r="G172" s="5"/>
      <c r="H172" s="5"/>
      <c r="I172" s="7"/>
      <c r="J172" s="5"/>
      <c r="K172" s="5"/>
      <c r="L172" s="8"/>
      <c r="M172" s="5"/>
      <c r="O172"/>
      <c r="R172" s="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>
      <c r="A173" s="5"/>
      <c r="B173" s="5"/>
      <c r="C173" s="5"/>
      <c r="D173" s="5"/>
      <c r="E173" s="6"/>
      <c r="F173" s="6"/>
      <c r="G173" s="5"/>
      <c r="H173" s="5"/>
      <c r="I173" s="7"/>
      <c r="J173" s="5"/>
      <c r="K173" s="5"/>
      <c r="L173" s="8"/>
      <c r="M173" s="5"/>
      <c r="O173"/>
      <c r="R173" s="2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>
      <c r="A174" s="5"/>
      <c r="B174" s="5"/>
      <c r="C174" s="5"/>
      <c r="D174" s="5"/>
      <c r="E174" s="6"/>
      <c r="F174" s="6"/>
      <c r="G174" s="5"/>
      <c r="H174" s="5"/>
      <c r="I174" s="7"/>
      <c r="J174" s="5"/>
      <c r="K174" s="5"/>
      <c r="L174" s="8"/>
      <c r="M174" s="5"/>
      <c r="O174"/>
      <c r="R174" s="2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>
      <c r="A175" s="5"/>
      <c r="B175" s="5"/>
      <c r="C175" s="5"/>
      <c r="D175" s="5"/>
      <c r="E175" s="6"/>
      <c r="F175" s="6"/>
      <c r="G175" s="5"/>
      <c r="H175" s="5"/>
      <c r="I175" s="7"/>
      <c r="J175" s="5"/>
      <c r="K175" s="5"/>
      <c r="L175" s="8"/>
      <c r="M175" s="5"/>
      <c r="O175"/>
      <c r="R175" s="2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>
      <c r="A176" s="5"/>
      <c r="B176" s="5"/>
      <c r="C176" s="5"/>
      <c r="D176" s="5"/>
      <c r="E176" s="6"/>
      <c r="F176" s="6"/>
      <c r="G176" s="5"/>
      <c r="H176" s="5"/>
      <c r="I176" s="7"/>
      <c r="J176" s="5"/>
      <c r="K176" s="5"/>
      <c r="L176" s="8"/>
      <c r="M176" s="5"/>
      <c r="O176"/>
      <c r="R176" s="2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>
      <c r="A177" s="5"/>
      <c r="B177" s="5"/>
      <c r="C177" s="5"/>
      <c r="D177" s="5"/>
      <c r="E177" s="6"/>
      <c r="F177" s="6"/>
      <c r="G177" s="5"/>
      <c r="H177" s="5"/>
      <c r="I177" s="7"/>
      <c r="J177" s="5"/>
      <c r="K177" s="5"/>
      <c r="L177" s="8"/>
      <c r="M177" s="5"/>
      <c r="O177"/>
      <c r="R177" s="2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>
      <c r="A178" s="5"/>
      <c r="B178" s="5"/>
      <c r="C178" s="5"/>
      <c r="D178" s="5"/>
      <c r="E178" s="6"/>
      <c r="F178" s="6"/>
      <c r="G178" s="5"/>
      <c r="H178" s="5"/>
      <c r="I178" s="7"/>
      <c r="J178" s="5"/>
      <c r="K178" s="5"/>
      <c r="L178" s="8"/>
      <c r="M178" s="5"/>
      <c r="O178"/>
      <c r="R178" s="2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>
      <c r="A179" s="5"/>
      <c r="B179" s="5"/>
      <c r="C179" s="5"/>
      <c r="D179" s="5"/>
      <c r="E179" s="6"/>
      <c r="F179" s="6"/>
      <c r="G179" s="5"/>
      <c r="H179" s="5"/>
      <c r="I179" s="7"/>
      <c r="J179" s="5"/>
      <c r="K179" s="5"/>
      <c r="L179" s="8"/>
      <c r="M179" s="5"/>
      <c r="O179"/>
      <c r="R179" s="2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>
      <c r="A180" s="5"/>
      <c r="B180" s="5"/>
      <c r="C180" s="5"/>
      <c r="D180" s="5"/>
      <c r="E180" s="6"/>
      <c r="F180" s="6"/>
      <c r="G180" s="5"/>
      <c r="H180" s="5"/>
      <c r="I180" s="7"/>
      <c r="J180" s="5"/>
      <c r="K180" s="5"/>
      <c r="L180" s="8"/>
      <c r="M180" s="5"/>
      <c r="O180"/>
      <c r="R180" s="2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>
      <c r="A181" s="5"/>
      <c r="B181" s="5"/>
      <c r="C181" s="5"/>
      <c r="D181" s="5"/>
      <c r="E181" s="6"/>
      <c r="F181" s="6"/>
      <c r="G181" s="5"/>
      <c r="H181" s="5"/>
      <c r="I181" s="7"/>
      <c r="J181" s="5"/>
      <c r="K181" s="5"/>
      <c r="L181" s="8"/>
      <c r="M181" s="5"/>
      <c r="O181"/>
      <c r="R181" s="2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>
      <c r="A182" s="5"/>
      <c r="B182" s="5"/>
      <c r="C182" s="5"/>
      <c r="D182" s="5"/>
      <c r="E182" s="6"/>
      <c r="F182" s="6"/>
      <c r="G182" s="5"/>
      <c r="H182" s="5"/>
      <c r="I182" s="7"/>
      <c r="J182" s="5"/>
      <c r="K182" s="5"/>
      <c r="L182" s="8"/>
      <c r="M182" s="5"/>
      <c r="O182"/>
      <c r="R182" s="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>
      <c r="A183" s="5"/>
      <c r="B183" s="5"/>
      <c r="C183" s="5"/>
      <c r="D183" s="5"/>
      <c r="E183" s="6"/>
      <c r="F183" s="6"/>
      <c r="G183" s="5"/>
      <c r="H183" s="5"/>
      <c r="I183" s="7"/>
      <c r="J183" s="5"/>
      <c r="K183" s="5"/>
      <c r="L183" s="8"/>
      <c r="M183" s="5"/>
      <c r="O183"/>
      <c r="R183" s="2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>
      <c r="A184" s="5"/>
      <c r="B184" s="5"/>
      <c r="C184" s="5"/>
      <c r="D184" s="5"/>
      <c r="E184" s="6"/>
      <c r="F184" s="6"/>
      <c r="G184" s="5"/>
      <c r="H184" s="5"/>
      <c r="I184" s="7"/>
      <c r="J184" s="5"/>
      <c r="K184" s="5"/>
      <c r="L184" s="8"/>
      <c r="M184" s="5"/>
      <c r="O184"/>
      <c r="R184" s="2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>
      <c r="A185" s="5"/>
      <c r="B185" s="5"/>
      <c r="C185" s="5"/>
      <c r="D185" s="5"/>
      <c r="E185" s="6"/>
      <c r="F185" s="6"/>
      <c r="G185" s="5"/>
      <c r="H185" s="5"/>
      <c r="I185" s="7"/>
      <c r="J185" s="5"/>
      <c r="K185" s="5"/>
      <c r="L185" s="8"/>
      <c r="M185" s="5"/>
      <c r="O185"/>
      <c r="R185" s="2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>
      <c r="A186" s="5"/>
      <c r="B186" s="5"/>
      <c r="C186" s="5"/>
      <c r="D186" s="5"/>
      <c r="E186" s="6"/>
      <c r="F186" s="6"/>
      <c r="G186" s="5"/>
      <c r="H186" s="5"/>
      <c r="I186" s="7"/>
      <c r="J186" s="5"/>
      <c r="K186" s="5"/>
      <c r="L186" s="8"/>
      <c r="M186" s="5"/>
      <c r="O186"/>
      <c r="R186" s="2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>
      <c r="A187" s="5"/>
      <c r="B187" s="5"/>
      <c r="C187" s="5"/>
      <c r="D187" s="5"/>
      <c r="E187" s="6"/>
      <c r="F187" s="6"/>
      <c r="G187" s="5"/>
      <c r="H187" s="5"/>
      <c r="I187" s="7"/>
      <c r="J187" s="5"/>
      <c r="K187" s="5"/>
      <c r="L187" s="8"/>
      <c r="M187" s="5"/>
      <c r="O187"/>
      <c r="R187" s="2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>
      <c r="A188" s="5"/>
      <c r="B188" s="5"/>
      <c r="C188" s="5"/>
      <c r="D188" s="5"/>
      <c r="E188" s="6"/>
      <c r="F188" s="6"/>
      <c r="G188" s="5"/>
      <c r="H188" s="5"/>
      <c r="I188" s="7"/>
      <c r="J188" s="5"/>
      <c r="K188" s="5"/>
      <c r="L188" s="8"/>
      <c r="M188" s="5"/>
      <c r="O188"/>
      <c r="R188" s="2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>
      <c r="A189" s="5"/>
      <c r="B189" s="5"/>
      <c r="C189" s="5"/>
      <c r="D189" s="5"/>
      <c r="E189" s="6"/>
      <c r="F189" s="6"/>
      <c r="G189" s="5"/>
      <c r="H189" s="5"/>
      <c r="I189" s="7"/>
      <c r="J189" s="5"/>
      <c r="K189" s="5"/>
      <c r="L189" s="8"/>
      <c r="M189" s="5"/>
      <c r="O189"/>
      <c r="R189" s="2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>
      <c r="A190" s="5"/>
      <c r="B190" s="5"/>
      <c r="C190" s="5"/>
      <c r="D190" s="5"/>
      <c r="E190" s="6"/>
      <c r="F190" s="6"/>
      <c r="G190" s="5"/>
      <c r="H190" s="5"/>
      <c r="I190" s="7"/>
      <c r="J190" s="5"/>
      <c r="K190" s="5"/>
      <c r="L190" s="8"/>
      <c r="M190" s="5"/>
      <c r="O190"/>
      <c r="R190" s="2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>
      <c r="A191" s="5"/>
      <c r="B191" s="5"/>
      <c r="C191" s="5"/>
      <c r="D191" s="5"/>
      <c r="E191" s="6"/>
      <c r="F191" s="6"/>
      <c r="G191" s="5"/>
      <c r="H191" s="5"/>
      <c r="I191" s="7"/>
      <c r="J191" s="5"/>
      <c r="K191" s="5"/>
      <c r="L191" s="8"/>
      <c r="M191" s="5"/>
      <c r="O191"/>
      <c r="R191" s="2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>
      <c r="A192" s="5"/>
      <c r="B192" s="5"/>
      <c r="C192" s="5"/>
      <c r="D192" s="5"/>
      <c r="E192" s="6"/>
      <c r="F192" s="6"/>
      <c r="G192" s="5"/>
      <c r="H192" s="5"/>
      <c r="I192" s="7"/>
      <c r="J192" s="5"/>
      <c r="K192" s="5"/>
      <c r="L192" s="8"/>
      <c r="M192" s="5"/>
      <c r="O192"/>
      <c r="R192" s="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>
      <c r="A193" s="5"/>
      <c r="B193" s="5"/>
      <c r="C193" s="5"/>
      <c r="D193" s="5"/>
      <c r="E193" s="6"/>
      <c r="F193" s="6"/>
      <c r="G193" s="5"/>
      <c r="H193" s="5"/>
      <c r="I193" s="7"/>
      <c r="J193" s="5"/>
      <c r="K193" s="5"/>
      <c r="L193" s="8"/>
      <c r="M193" s="5"/>
      <c r="O193"/>
      <c r="R193" s="2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>
      <c r="A194" s="5"/>
      <c r="B194" s="5"/>
      <c r="C194" s="5"/>
      <c r="D194" s="5"/>
      <c r="E194" s="6"/>
      <c r="F194" s="6"/>
      <c r="G194" s="5"/>
      <c r="H194" s="5"/>
      <c r="I194" s="7"/>
      <c r="J194" s="5"/>
      <c r="K194" s="5"/>
      <c r="L194" s="8"/>
      <c r="M194" s="5"/>
      <c r="O194"/>
      <c r="R194" s="2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>
      <c r="A195" s="5"/>
      <c r="B195" s="5"/>
      <c r="C195" s="5"/>
      <c r="D195" s="5"/>
      <c r="E195" s="6"/>
      <c r="F195" s="6"/>
      <c r="G195" s="5"/>
      <c r="H195" s="5"/>
      <c r="I195" s="7"/>
      <c r="J195" s="5"/>
      <c r="K195" s="5"/>
      <c r="L195" s="8"/>
      <c r="M195" s="5"/>
      <c r="O195"/>
      <c r="R195" s="2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>
      <c r="A196" s="5"/>
      <c r="B196" s="5"/>
      <c r="C196" s="5"/>
      <c r="D196" s="5"/>
      <c r="E196" s="6"/>
      <c r="F196" s="6"/>
      <c r="G196" s="5"/>
      <c r="H196" s="5"/>
      <c r="I196" s="7"/>
      <c r="J196" s="5"/>
      <c r="K196" s="5"/>
      <c r="L196" s="8"/>
      <c r="M196" s="5"/>
      <c r="O196"/>
      <c r="R196" s="2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>
      <c r="A197" s="5"/>
      <c r="B197" s="5"/>
      <c r="C197" s="5"/>
      <c r="D197" s="5"/>
      <c r="E197" s="6"/>
      <c r="F197" s="6"/>
      <c r="G197" s="5"/>
      <c r="H197" s="5"/>
      <c r="I197" s="7"/>
      <c r="J197" s="5"/>
      <c r="K197" s="5"/>
      <c r="L197" s="8"/>
      <c r="M197" s="5"/>
      <c r="O197"/>
      <c r="R197" s="2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>
      <c r="A198" s="5"/>
      <c r="B198" s="5"/>
      <c r="C198" s="5"/>
      <c r="D198" s="5"/>
      <c r="E198" s="6"/>
      <c r="F198" s="6"/>
      <c r="G198" s="5"/>
      <c r="H198" s="5"/>
      <c r="I198" s="7"/>
      <c r="J198" s="5"/>
      <c r="K198" s="5"/>
      <c r="L198" s="8"/>
      <c r="M198" s="5"/>
      <c r="O198"/>
      <c r="R198" s="2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>
      <c r="A199" s="5"/>
      <c r="B199" s="5"/>
      <c r="C199" s="5"/>
      <c r="D199" s="5"/>
      <c r="E199" s="6"/>
      <c r="F199" s="6"/>
      <c r="G199" s="5"/>
      <c r="H199" s="5"/>
      <c r="I199" s="7"/>
      <c r="J199" s="5"/>
      <c r="K199" s="5"/>
      <c r="L199" s="8"/>
      <c r="M199" s="5"/>
      <c r="O199"/>
      <c r="R199" s="2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>
      <c r="A200" s="5"/>
      <c r="B200" s="5"/>
      <c r="C200" s="5"/>
      <c r="D200" s="5"/>
      <c r="E200" s="6"/>
      <c r="F200" s="6"/>
      <c r="G200" s="5"/>
      <c r="H200" s="5"/>
      <c r="I200" s="7"/>
      <c r="J200" s="5"/>
      <c r="K200" s="5"/>
      <c r="L200" s="8"/>
      <c r="M200" s="5"/>
      <c r="O200"/>
      <c r="R200" s="2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>
      <c r="A201" s="5"/>
      <c r="B201" s="5"/>
      <c r="C201" s="5"/>
      <c r="D201" s="5"/>
      <c r="E201" s="6"/>
      <c r="F201" s="6"/>
      <c r="G201" s="5"/>
      <c r="H201" s="5"/>
      <c r="I201" s="7"/>
      <c r="J201" s="5"/>
      <c r="K201" s="5"/>
      <c r="L201" s="8"/>
      <c r="M201" s="5"/>
      <c r="O201"/>
      <c r="R201" s="2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>
      <c r="A202" s="5"/>
      <c r="B202" s="5"/>
      <c r="C202" s="5"/>
      <c r="D202" s="5"/>
      <c r="E202" s="6"/>
      <c r="F202" s="6"/>
      <c r="G202" s="5"/>
      <c r="H202" s="5"/>
      <c r="I202" s="7"/>
      <c r="J202" s="5"/>
      <c r="K202" s="5"/>
      <c r="L202" s="8"/>
      <c r="M202" s="5"/>
      <c r="O202"/>
      <c r="R202" s="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>
      <c r="A203" s="5"/>
      <c r="B203" s="5"/>
      <c r="C203" s="5"/>
      <c r="D203" s="5"/>
      <c r="E203" s="6"/>
      <c r="F203" s="6"/>
      <c r="G203" s="5"/>
      <c r="H203" s="5"/>
      <c r="I203" s="7"/>
      <c r="J203" s="5"/>
      <c r="K203" s="5"/>
      <c r="L203" s="8"/>
      <c r="M203" s="5"/>
      <c r="O203"/>
      <c r="R203" s="2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>
      <c r="A204" s="5"/>
      <c r="B204" s="5"/>
      <c r="C204" s="5"/>
      <c r="D204" s="5"/>
      <c r="E204" s="6"/>
      <c r="F204" s="6"/>
      <c r="G204" s="5"/>
      <c r="H204" s="5"/>
      <c r="I204" s="7"/>
      <c r="J204" s="5"/>
      <c r="K204" s="5"/>
      <c r="L204" s="8"/>
      <c r="M204" s="5"/>
      <c r="O204"/>
      <c r="R204" s="2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>
      <c r="A205" s="5"/>
      <c r="B205" s="5"/>
      <c r="C205" s="5"/>
      <c r="D205" s="5"/>
      <c r="E205" s="6"/>
      <c r="F205" s="6"/>
      <c r="G205" s="5"/>
      <c r="H205" s="5"/>
      <c r="I205" s="7"/>
      <c r="J205" s="5"/>
      <c r="K205" s="5"/>
      <c r="L205" s="8"/>
      <c r="M205" s="5"/>
      <c r="O205"/>
      <c r="R205" s="2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>
      <c r="A206" s="5"/>
      <c r="B206" s="5"/>
      <c r="C206" s="5"/>
      <c r="D206" s="5"/>
      <c r="E206" s="6"/>
      <c r="F206" s="6"/>
      <c r="G206" s="5"/>
      <c r="H206" s="5"/>
      <c r="I206" s="7"/>
      <c r="J206" s="5"/>
      <c r="K206" s="5"/>
      <c r="L206" s="8"/>
      <c r="M206" s="5"/>
      <c r="O206"/>
      <c r="R206" s="2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>
      <c r="A207" s="5"/>
      <c r="B207" s="5"/>
      <c r="C207" s="5"/>
      <c r="D207" s="5"/>
      <c r="E207" s="6"/>
      <c r="F207" s="6"/>
      <c r="G207" s="5"/>
      <c r="H207" s="5"/>
      <c r="I207" s="7"/>
      <c r="J207" s="5"/>
      <c r="K207" s="5"/>
      <c r="L207" s="8"/>
      <c r="M207" s="5"/>
      <c r="O207"/>
      <c r="R207" s="2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>
      <c r="A208" s="5"/>
      <c r="B208" s="5"/>
      <c r="C208" s="5"/>
      <c r="D208" s="5"/>
      <c r="E208" s="6"/>
      <c r="F208" s="6"/>
      <c r="G208" s="5"/>
      <c r="H208" s="5"/>
      <c r="I208" s="7"/>
      <c r="J208" s="5"/>
      <c r="K208" s="5"/>
      <c r="L208" s="8"/>
      <c r="M208" s="5"/>
      <c r="O208"/>
      <c r="R208" s="2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>
      <c r="A209" s="5"/>
      <c r="B209" s="5"/>
      <c r="C209" s="5"/>
      <c r="D209" s="5"/>
      <c r="E209" s="6"/>
      <c r="F209" s="6"/>
      <c r="G209" s="5"/>
      <c r="H209" s="5"/>
      <c r="I209" s="7"/>
      <c r="J209" s="5"/>
      <c r="K209" s="5"/>
      <c r="L209" s="8"/>
      <c r="M209" s="5"/>
      <c r="O209"/>
      <c r="R209" s="2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>
      <c r="A210" s="5"/>
      <c r="B210" s="5"/>
      <c r="C210" s="5"/>
      <c r="D210" s="5"/>
      <c r="E210" s="6"/>
      <c r="F210" s="6"/>
      <c r="G210" s="5"/>
      <c r="H210" s="5"/>
      <c r="I210" s="7"/>
      <c r="J210" s="5"/>
      <c r="K210" s="5"/>
      <c r="L210" s="8"/>
      <c r="M210" s="5"/>
      <c r="O210"/>
      <c r="R210" s="2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>
      <c r="A211" s="5"/>
      <c r="B211" s="5"/>
      <c r="C211" s="5"/>
      <c r="D211" s="5"/>
      <c r="E211" s="6"/>
      <c r="F211" s="6"/>
      <c r="G211" s="5"/>
      <c r="H211" s="5"/>
      <c r="I211" s="7"/>
      <c r="J211" s="5"/>
      <c r="K211" s="5"/>
      <c r="L211" s="8"/>
      <c r="M211" s="5"/>
      <c r="O211"/>
      <c r="R211" s="2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>
      <c r="A212" s="5"/>
      <c r="B212" s="5"/>
      <c r="C212" s="5"/>
      <c r="D212" s="5"/>
      <c r="E212" s="6"/>
      <c r="F212" s="6"/>
      <c r="G212" s="5"/>
      <c r="H212" s="5"/>
      <c r="I212" s="7"/>
      <c r="J212" s="5"/>
      <c r="K212" s="5"/>
      <c r="L212" s="8"/>
      <c r="M212" s="5"/>
      <c r="O212"/>
      <c r="R212" s="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>
      <c r="A213" s="5"/>
      <c r="B213" s="5"/>
      <c r="C213" s="5"/>
      <c r="D213" s="5"/>
      <c r="E213" s="6"/>
      <c r="F213" s="6"/>
      <c r="G213" s="5"/>
      <c r="H213" s="5"/>
      <c r="I213" s="7"/>
      <c r="J213" s="5"/>
      <c r="K213" s="5"/>
      <c r="L213" s="8"/>
      <c r="M213" s="5"/>
      <c r="O213"/>
      <c r="R213" s="2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>
      <c r="A214" s="5"/>
      <c r="B214" s="5"/>
      <c r="C214" s="5"/>
      <c r="D214" s="5"/>
      <c r="E214" s="6"/>
      <c r="F214" s="6"/>
      <c r="G214" s="5"/>
      <c r="H214" s="5"/>
      <c r="I214" s="7"/>
      <c r="J214" s="5"/>
      <c r="K214" s="5"/>
      <c r="L214" s="8"/>
      <c r="M214" s="5"/>
      <c r="O214"/>
      <c r="R214" s="2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>
      <c r="A215" s="5"/>
      <c r="B215" s="5"/>
      <c r="C215" s="5"/>
      <c r="D215" s="5"/>
      <c r="E215" s="6"/>
      <c r="F215" s="6"/>
      <c r="G215" s="5"/>
      <c r="H215" s="5"/>
      <c r="I215" s="7"/>
      <c r="J215" s="5"/>
      <c r="K215" s="5"/>
      <c r="L215" s="8"/>
      <c r="M215" s="5"/>
      <c r="O215"/>
      <c r="R215" s="2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>
      <c r="A216" s="5"/>
      <c r="B216" s="5"/>
      <c r="C216" s="5"/>
      <c r="D216" s="5"/>
      <c r="E216" s="6"/>
      <c r="F216" s="6"/>
      <c r="G216" s="5"/>
      <c r="H216" s="5"/>
      <c r="I216" s="7"/>
      <c r="J216" s="5"/>
      <c r="K216" s="5"/>
      <c r="L216" s="8"/>
      <c r="M216" s="5"/>
      <c r="O216"/>
      <c r="R216" s="2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>
      <c r="A217" s="5"/>
      <c r="B217" s="5"/>
      <c r="C217" s="5"/>
      <c r="D217" s="5"/>
      <c r="E217" s="6"/>
      <c r="F217" s="6"/>
      <c r="G217" s="5"/>
      <c r="H217" s="5"/>
      <c r="I217" s="7"/>
      <c r="J217" s="5"/>
      <c r="K217" s="5"/>
      <c r="L217" s="8"/>
      <c r="M217" s="5"/>
      <c r="O217"/>
      <c r="R217" s="2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>
      <c r="A218" s="5"/>
      <c r="B218" s="5"/>
      <c r="C218" s="5"/>
      <c r="D218" s="5"/>
      <c r="E218" s="6"/>
      <c r="F218" s="6"/>
      <c r="G218" s="5"/>
      <c r="H218" s="5"/>
      <c r="I218" s="7"/>
      <c r="J218" s="5"/>
      <c r="K218" s="5"/>
      <c r="L218" s="8"/>
      <c r="M218" s="5"/>
      <c r="O218"/>
      <c r="R218" s="2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>
      <c r="A219" s="5"/>
      <c r="B219" s="5"/>
      <c r="C219" s="5"/>
      <c r="D219" s="5"/>
      <c r="E219" s="6"/>
      <c r="F219" s="6"/>
      <c r="G219" s="5"/>
      <c r="H219" s="5"/>
      <c r="I219" s="7"/>
      <c r="J219" s="5"/>
      <c r="K219" s="5"/>
      <c r="L219" s="8"/>
      <c r="M219" s="5"/>
      <c r="O219"/>
      <c r="R219" s="2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>
      <c r="A220" s="5"/>
      <c r="B220" s="5"/>
      <c r="C220" s="5"/>
      <c r="D220" s="5"/>
      <c r="E220" s="6"/>
      <c r="F220" s="6"/>
      <c r="G220" s="5"/>
      <c r="H220" s="5"/>
      <c r="I220" s="7"/>
      <c r="J220" s="5"/>
      <c r="K220" s="5"/>
      <c r="L220" s="8"/>
      <c r="M220" s="5"/>
      <c r="O220"/>
      <c r="R220" s="2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>
      <c r="A221" s="5"/>
      <c r="B221" s="5"/>
      <c r="C221" s="5"/>
      <c r="D221" s="5"/>
      <c r="E221" s="6"/>
      <c r="F221" s="6"/>
      <c r="G221" s="5"/>
      <c r="H221" s="5"/>
      <c r="I221" s="7"/>
      <c r="J221" s="5"/>
      <c r="K221" s="5"/>
      <c r="L221" s="8"/>
      <c r="M221" s="5"/>
      <c r="O221"/>
      <c r="R221" s="2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>
      <c r="A222" s="5"/>
      <c r="B222" s="5"/>
      <c r="C222" s="5"/>
      <c r="D222" s="5"/>
      <c r="E222" s="6"/>
      <c r="F222" s="6"/>
      <c r="G222" s="5"/>
      <c r="H222" s="5"/>
      <c r="I222" s="7"/>
      <c r="J222" s="5"/>
      <c r="K222" s="5"/>
      <c r="L222" s="8"/>
      <c r="M222" s="5"/>
      <c r="O222"/>
      <c r="R222" s="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>
      <c r="A223" s="5"/>
      <c r="B223" s="5"/>
      <c r="C223" s="5"/>
      <c r="D223" s="5"/>
      <c r="E223" s="6"/>
      <c r="F223" s="6"/>
      <c r="G223" s="5"/>
      <c r="H223" s="5"/>
      <c r="I223" s="7"/>
      <c r="J223" s="5"/>
      <c r="K223" s="5"/>
      <c r="L223" s="8"/>
      <c r="M223" s="5"/>
      <c r="O223"/>
      <c r="R223" s="2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>
      <c r="A224" s="5"/>
      <c r="B224" s="5"/>
      <c r="C224" s="5"/>
      <c r="D224" s="5"/>
      <c r="E224" s="6"/>
      <c r="F224" s="6"/>
      <c r="G224" s="5"/>
      <c r="H224" s="5"/>
      <c r="I224" s="7"/>
      <c r="J224" s="5"/>
      <c r="K224" s="5"/>
      <c r="L224" s="8"/>
      <c r="M224" s="5"/>
      <c r="O224"/>
      <c r="R224" s="2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>
      <c r="A225" s="5"/>
      <c r="B225" s="5"/>
      <c r="C225" s="5"/>
      <c r="D225" s="5"/>
      <c r="E225" s="6"/>
      <c r="F225" s="6"/>
      <c r="G225" s="5"/>
      <c r="H225" s="5"/>
      <c r="I225" s="7"/>
      <c r="J225" s="5"/>
      <c r="K225" s="5"/>
      <c r="L225" s="8"/>
      <c r="M225" s="5"/>
      <c r="O225"/>
      <c r="R225" s="2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>
      <c r="A226" s="5"/>
      <c r="B226" s="5"/>
      <c r="C226" s="5"/>
      <c r="D226" s="5"/>
      <c r="E226" s="6"/>
      <c r="F226" s="6"/>
      <c r="G226" s="5"/>
      <c r="H226" s="5"/>
      <c r="I226" s="7"/>
      <c r="J226" s="5"/>
      <c r="K226" s="5"/>
      <c r="L226" s="8"/>
      <c r="M226" s="5"/>
      <c r="O226"/>
      <c r="R226" s="2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>
      <c r="A227" s="5"/>
      <c r="B227" s="5"/>
      <c r="C227" s="5"/>
      <c r="D227" s="5"/>
      <c r="E227" s="6"/>
      <c r="F227" s="6"/>
      <c r="G227" s="5"/>
      <c r="H227" s="5"/>
      <c r="I227" s="7"/>
      <c r="J227" s="5"/>
      <c r="K227" s="5"/>
      <c r="L227" s="8"/>
      <c r="M227" s="5"/>
      <c r="O227"/>
      <c r="R227" s="2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>
      <c r="A228" s="5"/>
      <c r="B228" s="5"/>
      <c r="C228" s="5"/>
      <c r="D228" s="5"/>
      <c r="E228" s="6"/>
      <c r="F228" s="6"/>
      <c r="G228" s="5"/>
      <c r="H228" s="5"/>
      <c r="I228" s="7"/>
      <c r="J228" s="5"/>
      <c r="K228" s="5"/>
      <c r="L228" s="8"/>
      <c r="M228" s="5"/>
      <c r="O228"/>
      <c r="R228" s="2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>
      <c r="A229" s="5"/>
      <c r="B229" s="5"/>
      <c r="C229" s="5"/>
      <c r="D229" s="5"/>
      <c r="E229" s="6"/>
      <c r="F229" s="6"/>
      <c r="G229" s="5"/>
      <c r="H229" s="5"/>
      <c r="I229" s="7"/>
      <c r="J229" s="5"/>
      <c r="K229" s="5"/>
      <c r="L229" s="8"/>
      <c r="M229" s="5"/>
      <c r="O229"/>
      <c r="R229" s="2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>
      <c r="A230" s="5"/>
      <c r="B230" s="5"/>
      <c r="C230" s="5"/>
      <c r="D230" s="5"/>
      <c r="E230" s="6"/>
      <c r="F230" s="6"/>
      <c r="G230" s="5"/>
      <c r="H230" s="5"/>
      <c r="I230" s="7"/>
      <c r="J230" s="5"/>
      <c r="K230" s="5"/>
      <c r="L230" s="8"/>
      <c r="M230" s="5"/>
      <c r="O230"/>
      <c r="R230" s="2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>
      <c r="A231" s="5"/>
      <c r="B231" s="5"/>
      <c r="C231" s="5"/>
      <c r="D231" s="5"/>
      <c r="E231" s="6"/>
      <c r="F231" s="6"/>
      <c r="G231" s="5"/>
      <c r="H231" s="5"/>
      <c r="I231" s="7"/>
      <c r="J231" s="5"/>
      <c r="K231" s="5"/>
      <c r="L231" s="8"/>
      <c r="M231" s="5"/>
      <c r="O231"/>
      <c r="R231" s="2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>
      <c r="A232" s="5"/>
      <c r="B232" s="5"/>
      <c r="C232" s="5"/>
      <c r="D232" s="5"/>
      <c r="E232" s="6"/>
      <c r="F232" s="6"/>
      <c r="G232" s="5"/>
      <c r="H232" s="5"/>
      <c r="I232" s="7"/>
      <c r="J232" s="5"/>
      <c r="K232" s="5"/>
      <c r="L232" s="8"/>
      <c r="M232" s="5"/>
      <c r="O232"/>
      <c r="R232" s="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>
      <c r="A233" s="5"/>
      <c r="B233" s="5"/>
      <c r="C233" s="5"/>
      <c r="D233" s="5"/>
      <c r="E233" s="6"/>
      <c r="F233" s="6"/>
      <c r="G233" s="5"/>
      <c r="H233" s="5"/>
      <c r="I233" s="7"/>
      <c r="J233" s="5"/>
      <c r="K233" s="5"/>
      <c r="L233" s="8"/>
      <c r="M233" s="5"/>
      <c r="O233"/>
      <c r="R233" s="2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>
      <c r="A234" s="5"/>
      <c r="B234" s="5"/>
      <c r="C234" s="5"/>
      <c r="D234" s="5"/>
      <c r="E234" s="6"/>
      <c r="F234" s="6"/>
      <c r="G234" s="5"/>
      <c r="H234" s="5"/>
      <c r="I234" s="7"/>
      <c r="J234" s="5"/>
      <c r="K234" s="5"/>
      <c r="L234" s="8"/>
      <c r="M234" s="5"/>
      <c r="O234"/>
      <c r="R234" s="2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>
      <c r="A235" s="5"/>
      <c r="B235" s="5"/>
      <c r="C235" s="5"/>
      <c r="D235" s="5"/>
      <c r="E235" s="6"/>
      <c r="F235" s="6"/>
      <c r="G235" s="5"/>
      <c r="H235" s="5"/>
      <c r="I235" s="7"/>
      <c r="J235" s="5"/>
      <c r="K235" s="5"/>
      <c r="L235" s="8"/>
      <c r="M235" s="5"/>
      <c r="O235"/>
      <c r="R235" s="2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>
      <c r="A236" s="5"/>
      <c r="B236" s="5"/>
      <c r="C236" s="5"/>
      <c r="D236" s="5"/>
      <c r="E236" s="6"/>
      <c r="F236" s="6"/>
      <c r="G236" s="5"/>
      <c r="H236" s="5"/>
      <c r="I236" s="7"/>
      <c r="J236" s="5"/>
      <c r="K236" s="5"/>
      <c r="L236" s="8"/>
      <c r="M236" s="5"/>
      <c r="O236"/>
      <c r="R236" s="2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>
      <c r="A237" s="5"/>
      <c r="B237" s="5"/>
      <c r="C237" s="5"/>
      <c r="D237" s="5"/>
      <c r="E237" s="6"/>
      <c r="F237" s="6"/>
      <c r="G237" s="5"/>
      <c r="H237" s="5"/>
      <c r="I237" s="7"/>
      <c r="J237" s="5"/>
      <c r="K237" s="5"/>
      <c r="L237" s="8"/>
      <c r="M237" s="5"/>
      <c r="O237"/>
      <c r="R237" s="2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>
      <c r="A238" s="5"/>
      <c r="B238" s="5"/>
      <c r="C238" s="5"/>
      <c r="D238" s="5"/>
      <c r="E238" s="6"/>
      <c r="F238" s="6"/>
      <c r="G238" s="5"/>
      <c r="H238" s="5"/>
      <c r="I238" s="7"/>
      <c r="J238" s="5"/>
      <c r="K238" s="5"/>
      <c r="L238" s="8"/>
      <c r="M238" s="5"/>
      <c r="O238"/>
      <c r="R238" s="2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>
      <c r="A239" s="5"/>
      <c r="B239" s="5"/>
      <c r="C239" s="5"/>
      <c r="D239" s="5"/>
      <c r="E239" s="6"/>
      <c r="F239" s="6"/>
      <c r="G239" s="5"/>
      <c r="H239" s="5"/>
      <c r="I239" s="7"/>
      <c r="J239" s="5"/>
      <c r="K239" s="5"/>
      <c r="L239" s="8"/>
      <c r="M239" s="5"/>
      <c r="O239"/>
      <c r="R239" s="2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>
      <c r="A240" s="5"/>
      <c r="B240" s="5"/>
      <c r="C240" s="5"/>
      <c r="D240" s="5"/>
      <c r="E240" s="6"/>
      <c r="F240" s="6"/>
      <c r="G240" s="5"/>
      <c r="H240" s="5"/>
      <c r="I240" s="7"/>
      <c r="J240" s="5"/>
      <c r="K240" s="5"/>
      <c r="L240" s="8"/>
      <c r="M240" s="5"/>
      <c r="O240"/>
      <c r="R240" s="2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>
      <c r="A241" s="5"/>
      <c r="B241" s="5"/>
      <c r="C241" s="5"/>
      <c r="D241" s="5"/>
      <c r="E241" s="6"/>
      <c r="F241" s="6"/>
      <c r="G241" s="5"/>
      <c r="H241" s="5"/>
      <c r="I241" s="7"/>
      <c r="J241" s="5"/>
      <c r="K241" s="5"/>
      <c r="L241" s="8"/>
      <c r="M241" s="5"/>
      <c r="O241"/>
      <c r="R241" s="2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>
      <c r="A242" s="5"/>
      <c r="B242" s="5"/>
      <c r="C242" s="5"/>
      <c r="D242" s="5"/>
      <c r="E242" s="6"/>
      <c r="F242" s="6"/>
      <c r="G242" s="5"/>
      <c r="H242" s="5"/>
      <c r="I242" s="7"/>
      <c r="J242" s="5"/>
      <c r="K242" s="5"/>
      <c r="L242" s="8"/>
      <c r="M242" s="5"/>
      <c r="O242"/>
      <c r="R242" s="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>
      <c r="A243" s="5"/>
      <c r="B243" s="5"/>
      <c r="C243" s="5"/>
      <c r="D243" s="5"/>
      <c r="E243" s="6"/>
      <c r="F243" s="6"/>
      <c r="G243" s="5"/>
      <c r="H243" s="5"/>
      <c r="I243" s="7"/>
      <c r="J243" s="5"/>
      <c r="K243" s="5"/>
      <c r="L243" s="8"/>
      <c r="M243" s="5"/>
      <c r="O243"/>
      <c r="R243" s="2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>
      <c r="A244" s="5"/>
      <c r="B244" s="5"/>
      <c r="C244" s="5"/>
      <c r="D244" s="5"/>
      <c r="E244" s="6"/>
      <c r="F244" s="6"/>
      <c r="G244" s="5"/>
      <c r="H244" s="5"/>
      <c r="I244" s="7"/>
      <c r="J244" s="5"/>
      <c r="K244" s="5"/>
      <c r="L244" s="8"/>
      <c r="M244" s="5"/>
      <c r="O244"/>
      <c r="R244" s="2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>
      <c r="A245" s="5"/>
      <c r="B245" s="5"/>
      <c r="C245" s="5"/>
      <c r="D245" s="5"/>
      <c r="E245" s="6"/>
      <c r="F245" s="6"/>
      <c r="G245" s="5"/>
      <c r="H245" s="5"/>
      <c r="I245" s="7"/>
      <c r="J245" s="5"/>
      <c r="K245" s="5"/>
      <c r="L245" s="8"/>
      <c r="M245" s="5"/>
      <c r="O245"/>
      <c r="R245" s="2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>
      <c r="A246" s="5"/>
      <c r="B246" s="5"/>
      <c r="C246" s="5"/>
      <c r="D246" s="5"/>
      <c r="E246" s="6"/>
      <c r="F246" s="6"/>
      <c r="G246" s="5"/>
      <c r="H246" s="5"/>
      <c r="I246" s="7"/>
      <c r="J246" s="5"/>
      <c r="K246" s="5"/>
      <c r="L246" s="8"/>
      <c r="M246" s="5"/>
      <c r="O246"/>
      <c r="R246" s="2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>
      <c r="A247" s="5"/>
      <c r="B247" s="5"/>
      <c r="C247" s="5"/>
      <c r="D247" s="5"/>
      <c r="E247" s="6"/>
      <c r="F247" s="6"/>
      <c r="G247" s="5"/>
      <c r="H247" s="5"/>
      <c r="I247" s="7"/>
      <c r="J247" s="5"/>
      <c r="K247" s="5"/>
      <c r="L247" s="8"/>
      <c r="M247" s="5"/>
      <c r="O247"/>
      <c r="R247" s="2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>
      <c r="A248" s="5"/>
      <c r="B248" s="5"/>
      <c r="C248" s="5"/>
      <c r="D248" s="5"/>
      <c r="E248" s="6"/>
      <c r="F248" s="6"/>
      <c r="G248" s="5"/>
      <c r="H248" s="5"/>
      <c r="I248" s="7"/>
      <c r="J248" s="5"/>
      <c r="K248" s="5"/>
      <c r="L248" s="8"/>
      <c r="M248" s="5"/>
      <c r="O248"/>
      <c r="R248" s="2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>
      <c r="A249" s="5"/>
      <c r="B249" s="5"/>
      <c r="C249" s="5"/>
      <c r="D249" s="5"/>
      <c r="E249" s="6"/>
      <c r="F249" s="6"/>
      <c r="G249" s="5"/>
      <c r="H249" s="5"/>
      <c r="I249" s="7"/>
      <c r="J249" s="5"/>
      <c r="K249" s="5"/>
      <c r="L249" s="8"/>
      <c r="M249" s="5"/>
      <c r="O249"/>
      <c r="R249" s="2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>
      <c r="A250" s="5"/>
      <c r="B250" s="5"/>
      <c r="C250" s="5"/>
      <c r="D250" s="5"/>
      <c r="E250" s="6"/>
      <c r="F250" s="6"/>
      <c r="G250" s="5"/>
      <c r="H250" s="5"/>
      <c r="I250" s="7"/>
      <c r="J250" s="5"/>
      <c r="K250" s="5"/>
      <c r="L250" s="8"/>
      <c r="M250" s="5"/>
      <c r="O250"/>
      <c r="R250" s="2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>
      <c r="A251" s="5"/>
      <c r="B251" s="5"/>
      <c r="C251" s="5"/>
      <c r="D251" s="5"/>
      <c r="E251" s="6"/>
      <c r="F251" s="6"/>
      <c r="G251" s="5"/>
      <c r="H251" s="5"/>
      <c r="I251" s="7"/>
      <c r="J251" s="5"/>
      <c r="K251" s="5"/>
      <c r="L251" s="8"/>
      <c r="M251" s="5"/>
      <c r="O251"/>
      <c r="R251" s="2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>
      <c r="A252" s="5"/>
      <c r="B252" s="5"/>
      <c r="C252" s="5"/>
      <c r="D252" s="5"/>
      <c r="E252" s="6"/>
      <c r="F252" s="6"/>
      <c r="G252" s="5"/>
      <c r="H252" s="5"/>
      <c r="I252" s="7"/>
      <c r="J252" s="5"/>
      <c r="K252" s="5"/>
      <c r="L252" s="8"/>
      <c r="M252" s="5"/>
      <c r="O252"/>
      <c r="R252" s="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>
      <c r="A253" s="5"/>
      <c r="B253" s="5"/>
      <c r="C253" s="5"/>
      <c r="D253" s="5"/>
      <c r="E253" s="6"/>
      <c r="F253" s="6"/>
      <c r="G253" s="5"/>
      <c r="H253" s="5"/>
      <c r="I253" s="7"/>
      <c r="J253" s="5"/>
      <c r="K253" s="5"/>
      <c r="L253" s="8"/>
      <c r="M253" s="5"/>
      <c r="O253"/>
      <c r="R253" s="2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>
      <c r="A254" s="5"/>
      <c r="B254" s="5"/>
      <c r="C254" s="5"/>
      <c r="D254" s="5"/>
      <c r="E254" s="6"/>
      <c r="F254" s="6"/>
      <c r="G254" s="5"/>
      <c r="H254" s="5"/>
      <c r="I254" s="7"/>
      <c r="J254" s="5"/>
      <c r="K254" s="5"/>
      <c r="L254" s="8"/>
      <c r="M254" s="5"/>
      <c r="O254"/>
      <c r="R254" s="2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>
      <c r="A255" s="5"/>
      <c r="B255" s="5"/>
      <c r="C255" s="5"/>
      <c r="D255" s="5"/>
      <c r="E255" s="6"/>
      <c r="F255" s="6"/>
      <c r="G255" s="5"/>
      <c r="H255" s="5"/>
      <c r="I255" s="7"/>
      <c r="J255" s="5"/>
      <c r="K255" s="5"/>
      <c r="L255" s="8"/>
      <c r="M255" s="5"/>
      <c r="O255"/>
      <c r="R255" s="2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>
      <c r="A256" s="5"/>
      <c r="B256" s="5"/>
      <c r="C256" s="5"/>
      <c r="D256" s="5"/>
      <c r="E256" s="6"/>
      <c r="F256" s="6"/>
      <c r="G256" s="5"/>
      <c r="H256" s="5"/>
      <c r="I256" s="7"/>
      <c r="J256" s="5"/>
      <c r="K256" s="5"/>
      <c r="L256" s="8"/>
      <c r="M256" s="5"/>
      <c r="O256"/>
      <c r="R256" s="2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>
      <c r="A257" s="5"/>
      <c r="B257" s="5"/>
      <c r="C257" s="5"/>
      <c r="D257" s="5"/>
      <c r="E257" s="6"/>
      <c r="F257" s="6"/>
      <c r="G257" s="5"/>
      <c r="H257" s="5"/>
      <c r="I257" s="7"/>
      <c r="J257" s="5"/>
      <c r="K257" s="5"/>
      <c r="L257" s="8"/>
      <c r="M257" s="5"/>
      <c r="O257"/>
      <c r="R257" s="2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>
      <c r="A258" s="5"/>
      <c r="B258" s="5"/>
      <c r="C258" s="5"/>
      <c r="D258" s="5"/>
      <c r="E258" s="6"/>
      <c r="F258" s="6"/>
      <c r="G258" s="5"/>
      <c r="H258" s="5"/>
      <c r="I258" s="7"/>
      <c r="J258" s="5"/>
      <c r="K258" s="5"/>
      <c r="L258" s="8"/>
      <c r="M258" s="5"/>
      <c r="O258"/>
      <c r="R258" s="2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>
      <c r="A259" s="5"/>
      <c r="B259" s="5"/>
      <c r="C259" s="5"/>
      <c r="D259" s="5"/>
      <c r="E259" s="6"/>
      <c r="F259" s="6"/>
      <c r="G259" s="5"/>
      <c r="H259" s="5"/>
      <c r="I259" s="7"/>
      <c r="J259" s="5"/>
      <c r="K259" s="5"/>
      <c r="L259" s="8"/>
      <c r="M259" s="5"/>
      <c r="O259"/>
      <c r="R259" s="2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>
      <c r="A260" s="5"/>
      <c r="B260" s="5"/>
      <c r="C260" s="5"/>
      <c r="D260" s="5"/>
      <c r="E260" s="6"/>
      <c r="F260" s="6"/>
      <c r="G260" s="5"/>
      <c r="H260" s="5"/>
      <c r="I260" s="7"/>
      <c r="J260" s="5"/>
      <c r="K260" s="5"/>
      <c r="L260" s="8"/>
      <c r="M260" s="5"/>
      <c r="O260"/>
      <c r="R260" s="2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>
      <c r="A261" s="5"/>
      <c r="B261" s="5"/>
      <c r="C261" s="5"/>
      <c r="D261" s="5"/>
      <c r="E261" s="6"/>
      <c r="F261" s="6"/>
      <c r="G261" s="5"/>
      <c r="H261" s="5"/>
      <c r="I261" s="7"/>
      <c r="J261" s="5"/>
      <c r="K261" s="5"/>
      <c r="L261" s="8"/>
      <c r="M261" s="5"/>
      <c r="O261"/>
      <c r="R261" s="2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>
      <c r="A262" s="5"/>
      <c r="B262" s="5"/>
      <c r="C262" s="5"/>
      <c r="D262" s="5"/>
      <c r="E262" s="6"/>
      <c r="F262" s="6"/>
      <c r="G262" s="5"/>
      <c r="H262" s="5"/>
      <c r="I262" s="7"/>
      <c r="J262" s="5"/>
      <c r="K262" s="5"/>
      <c r="L262" s="8"/>
      <c r="M262" s="5"/>
      <c r="O262"/>
      <c r="R262" s="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>
      <c r="A263" s="5"/>
      <c r="B263" s="5"/>
      <c r="C263" s="5"/>
      <c r="D263" s="5"/>
      <c r="E263" s="6"/>
      <c r="F263" s="6"/>
      <c r="G263" s="5"/>
      <c r="H263" s="5"/>
      <c r="I263" s="7"/>
      <c r="J263" s="5"/>
      <c r="K263" s="5"/>
      <c r="L263" s="8"/>
      <c r="M263" s="5"/>
      <c r="O263"/>
      <c r="R263" s="2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>
      <c r="A264" s="5"/>
      <c r="B264" s="5"/>
      <c r="C264" s="5"/>
      <c r="D264" s="5"/>
      <c r="E264" s="6"/>
      <c r="F264" s="6"/>
      <c r="G264" s="5"/>
      <c r="H264" s="5"/>
      <c r="I264" s="7"/>
      <c r="J264" s="5"/>
      <c r="K264" s="5"/>
      <c r="L264" s="8"/>
      <c r="M264" s="5"/>
      <c r="O264"/>
      <c r="R264" s="2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>
      <c r="O265"/>
      <c r="R265" s="2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>
      <c r="O266"/>
      <c r="R266" s="2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>
      <c r="O267"/>
      <c r="R267" s="2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>
      <c r="O268"/>
      <c r="R268" s="2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>
      <c r="O269"/>
      <c r="R269" s="2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>
      <c r="O270"/>
      <c r="R270" s="2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>
      <c r="O271"/>
      <c r="R271" s="2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>
      <c r="O272"/>
      <c r="R272" s="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5:33">
      <c r="O273"/>
      <c r="R273" s="2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5:33">
      <c r="O274"/>
      <c r="R274" s="2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5:33">
      <c r="O275"/>
      <c r="R275" s="2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5:33">
      <c r="O276"/>
      <c r="R276" s="2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5:33">
      <c r="O277"/>
      <c r="R277" s="2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5:33">
      <c r="O278"/>
      <c r="R278" s="2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5:33">
      <c r="O279"/>
      <c r="R279" s="2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5:33">
      <c r="O280"/>
      <c r="R280" s="2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5:33">
      <c r="O281"/>
      <c r="R281" s="2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5:33">
      <c r="O282"/>
      <c r="R282" s="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5:33">
      <c r="O283"/>
      <c r="R283" s="2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5:33">
      <c r="O284"/>
      <c r="R284" s="2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5:33">
      <c r="O285"/>
      <c r="R285" s="2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5:33">
      <c r="O286"/>
      <c r="R286" s="2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5:33">
      <c r="O287"/>
      <c r="R287" s="2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5:33">
      <c r="O288"/>
      <c r="R288" s="2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5:33">
      <c r="O289"/>
      <c r="R289" s="2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5:33">
      <c r="O290"/>
      <c r="R290" s="2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5:33">
      <c r="O291"/>
      <c r="R291" s="2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5:33">
      <c r="O292"/>
      <c r="R292" s="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5:33">
      <c r="O293"/>
      <c r="R293" s="2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5:33">
      <c r="O294"/>
      <c r="R294" s="2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5:33">
      <c r="O295"/>
      <c r="R295" s="2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5:33">
      <c r="O296"/>
      <c r="R296" s="2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5:33">
      <c r="O297"/>
      <c r="R297" s="2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5:33">
      <c r="O298"/>
      <c r="R298" s="2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5:33">
      <c r="O299"/>
      <c r="R299" s="2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5:33">
      <c r="O300"/>
      <c r="R300" s="2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5:33">
      <c r="O301"/>
      <c r="R301" s="2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5:33">
      <c r="O302"/>
      <c r="R302" s="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5:33">
      <c r="O303"/>
      <c r="R303" s="2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5:33">
      <c r="O304"/>
      <c r="R304" s="2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5:33">
      <c r="O305"/>
      <c r="R305" s="2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5:33">
      <c r="O306"/>
      <c r="R306" s="2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5:33">
      <c r="O307"/>
      <c r="R307" s="2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5:33">
      <c r="O308"/>
      <c r="R308" s="2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5:33">
      <c r="O309"/>
      <c r="R309" s="2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5:33">
      <c r="O310"/>
      <c r="R310" s="2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5:33">
      <c r="O311"/>
      <c r="R311" s="2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5:33">
      <c r="O312"/>
      <c r="R312" s="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5:33">
      <c r="O313"/>
      <c r="R313" s="2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5:33">
      <c r="O314"/>
      <c r="R314" s="2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5:33">
      <c r="O315"/>
      <c r="R315" s="2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5:33">
      <c r="O316"/>
      <c r="R316" s="2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5:33">
      <c r="O317"/>
      <c r="R317" s="2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5:33">
      <c r="O318"/>
      <c r="R318" s="2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5:33">
      <c r="O319"/>
      <c r="R319" s="2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5:33">
      <c r="O320"/>
      <c r="R320" s="2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5:33">
      <c r="O321"/>
      <c r="R321" s="2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5:33">
      <c r="O322"/>
      <c r="R322" s="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5:33">
      <c r="O323"/>
      <c r="R323" s="2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5:33">
      <c r="O324"/>
      <c r="R324" s="2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5:33">
      <c r="O325"/>
      <c r="R325" s="2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5:33">
      <c r="O326"/>
      <c r="R326" s="2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5:33">
      <c r="O327"/>
      <c r="R327" s="2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5:33">
      <c r="O328"/>
      <c r="R328" s="2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5:33">
      <c r="O329"/>
      <c r="R329" s="2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5:33">
      <c r="O330"/>
      <c r="R330" s="2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5:33">
      <c r="O331"/>
      <c r="R331" s="2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5:33">
      <c r="O332"/>
      <c r="R332" s="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5:33">
      <c r="O333"/>
      <c r="R333" s="2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5:33">
      <c r="O334"/>
      <c r="R334" s="2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5:33">
      <c r="O335"/>
      <c r="R335" s="2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5:33">
      <c r="O336"/>
      <c r="R336" s="2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5:33">
      <c r="O337"/>
      <c r="R337" s="2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5:33">
      <c r="O338"/>
      <c r="R338" s="2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5:33">
      <c r="O339"/>
      <c r="R339" s="2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5:33">
      <c r="O340"/>
      <c r="R340" s="2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5:33">
      <c r="O341"/>
      <c r="R341" s="2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5:33">
      <c r="O342"/>
      <c r="R342" s="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5:33">
      <c r="O343"/>
      <c r="R343" s="2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5:33">
      <c r="O344"/>
      <c r="R344" s="2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5:33">
      <c r="O345"/>
      <c r="R345" s="2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5:33">
      <c r="O346"/>
      <c r="R346" s="2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5:33">
      <c r="O347"/>
      <c r="R347" s="2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5:33">
      <c r="O348"/>
      <c r="R348" s="2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5:33">
      <c r="O349"/>
      <c r="R349" s="2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5:33">
      <c r="O350"/>
      <c r="R350" s="2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5:33">
      <c r="O351"/>
      <c r="R351" s="2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5:33">
      <c r="O352"/>
      <c r="R352" s="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5:33">
      <c r="O353"/>
      <c r="R353" s="2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5:33">
      <c r="O354"/>
      <c r="R354" s="2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5:33">
      <c r="O355"/>
      <c r="R355" s="2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5:33">
      <c r="O356"/>
      <c r="R356" s="2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5:33">
      <c r="O357"/>
      <c r="R357" s="2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5:33">
      <c r="O358"/>
      <c r="R358" s="2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5:33">
      <c r="O359"/>
      <c r="R359" s="2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5:33">
      <c r="O360"/>
      <c r="R360" s="2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5:33">
      <c r="O361"/>
      <c r="R361" s="2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5:33">
      <c r="O362"/>
      <c r="R362" s="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5:33">
      <c r="O363"/>
      <c r="R363" s="2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5:33">
      <c r="O364"/>
      <c r="R364" s="2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5:33">
      <c r="O365"/>
      <c r="R365" s="2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5:33">
      <c r="O366"/>
      <c r="R366" s="2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5:33">
      <c r="O367"/>
      <c r="R367" s="2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5:33">
      <c r="O368"/>
      <c r="R368" s="2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5:33">
      <c r="O369"/>
      <c r="R369" s="2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5:33">
      <c r="O370"/>
      <c r="R370" s="2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5:33">
      <c r="O371"/>
      <c r="R371" s="2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5:33">
      <c r="O372"/>
      <c r="R372" s="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5:33">
      <c r="O373"/>
      <c r="R373" s="2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5:33">
      <c r="O374"/>
      <c r="R374" s="2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5:33">
      <c r="O375"/>
      <c r="R375" s="2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5:33">
      <c r="O376"/>
      <c r="R376" s="2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5:33">
      <c r="O377"/>
      <c r="R377" s="2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5:33">
      <c r="O378"/>
      <c r="R378" s="2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5:33">
      <c r="O379"/>
      <c r="R379" s="2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5:33">
      <c r="O380"/>
      <c r="R380" s="2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5:33">
      <c r="O381"/>
      <c r="R381" s="2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5:33">
      <c r="O382"/>
      <c r="R382" s="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5:33">
      <c r="O383"/>
      <c r="R383" s="2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5:33">
      <c r="O384"/>
      <c r="R384" s="2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5:33">
      <c r="O385"/>
      <c r="R385" s="2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5:33">
      <c r="O386"/>
      <c r="R386" s="2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5:33">
      <c r="O387"/>
      <c r="R387" s="2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5:33">
      <c r="O388"/>
      <c r="R388" s="2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5:33">
      <c r="O389"/>
      <c r="R389" s="2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5:33">
      <c r="O390"/>
      <c r="R390" s="2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5:33">
      <c r="O391"/>
      <c r="R391" s="2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5:33">
      <c r="O392"/>
      <c r="R392" s="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5:33">
      <c r="O393"/>
      <c r="R393" s="2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5:33">
      <c r="O394"/>
      <c r="R394" s="2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5:33">
      <c r="O395"/>
      <c r="R395" s="2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5:33">
      <c r="O396"/>
      <c r="R396" s="2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5:33">
      <c r="O397"/>
      <c r="R397" s="2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5:33">
      <c r="O398"/>
      <c r="R398" s="2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5:33">
      <c r="O399"/>
      <c r="R399" s="2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5:33">
      <c r="O400"/>
      <c r="R400" s="2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5:33">
      <c r="O401"/>
      <c r="R401" s="2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5:33">
      <c r="O402"/>
      <c r="R402" s="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5:33">
      <c r="O403"/>
      <c r="R403" s="2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5:33">
      <c r="O404"/>
      <c r="R404" s="2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5:33">
      <c r="O405"/>
      <c r="R405" s="2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5:33">
      <c r="O406"/>
      <c r="R406" s="2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5:33">
      <c r="O407"/>
      <c r="R407" s="2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5:33">
      <c r="O408"/>
      <c r="R408" s="2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5:33">
      <c r="O409"/>
      <c r="R409" s="2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5:33">
      <c r="O410"/>
      <c r="R410" s="2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5:33">
      <c r="O411"/>
      <c r="R411" s="2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5:33">
      <c r="O412"/>
      <c r="R412" s="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5:33">
      <c r="O413"/>
      <c r="R413" s="2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5:33">
      <c r="O414"/>
      <c r="R414" s="2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5:33">
      <c r="O415"/>
      <c r="R415" s="2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5:33">
      <c r="O416"/>
      <c r="R416" s="2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5:33">
      <c r="O417"/>
      <c r="R417" s="2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5:33">
      <c r="O418"/>
      <c r="R418" s="2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5:33">
      <c r="O419"/>
      <c r="R419" s="2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5:33">
      <c r="O420"/>
      <c r="R420" s="2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5:33">
      <c r="O421"/>
      <c r="R421" s="2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5:33">
      <c r="O422"/>
      <c r="R422" s="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5:33">
      <c r="O423"/>
      <c r="R423" s="2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5:33">
      <c r="O424"/>
      <c r="R424" s="2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5:33">
      <c r="O425"/>
      <c r="R425" s="2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5:33">
      <c r="O426"/>
      <c r="R426" s="2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5:33">
      <c r="O427"/>
      <c r="R427" s="2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5:33">
      <c r="O428"/>
      <c r="R428" s="2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5:33">
      <c r="O429"/>
      <c r="R429" s="2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5:33">
      <c r="O430"/>
      <c r="R430" s="2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5:33">
      <c r="O431"/>
      <c r="R431" s="2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5:33">
      <c r="O432"/>
      <c r="R432" s="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5:33">
      <c r="O433"/>
      <c r="R433" s="2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5:33">
      <c r="O434"/>
      <c r="R434" s="2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5:33">
      <c r="O435"/>
      <c r="R435" s="2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5:33">
      <c r="O436"/>
      <c r="R436" s="2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5:33">
      <c r="O437"/>
      <c r="R437" s="2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5:33">
      <c r="O438"/>
      <c r="R438" s="2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5:33">
      <c r="O439"/>
      <c r="R439" s="2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5:33">
      <c r="O440"/>
      <c r="R440" s="2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5:33">
      <c r="O441"/>
      <c r="R441" s="2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5:33">
      <c r="O442"/>
      <c r="R442" s="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5:33">
      <c r="O443"/>
      <c r="R443" s="2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5:33">
      <c r="O444"/>
      <c r="R444" s="2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5:33">
      <c r="O445"/>
      <c r="R445" s="2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5:33">
      <c r="O446"/>
      <c r="R446" s="2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5:33">
      <c r="O447"/>
      <c r="R447" s="2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5:33">
      <c r="O448"/>
      <c r="R448" s="2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5:33">
      <c r="O449"/>
      <c r="R449" s="2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5:33">
      <c r="O450"/>
      <c r="R450" s="2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5:33">
      <c r="O451"/>
      <c r="R451" s="2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5:33">
      <c r="O452"/>
      <c r="R452" s="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5:33">
      <c r="O453"/>
      <c r="R453" s="2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5:33">
      <c r="O454"/>
      <c r="R454" s="2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5:33">
      <c r="O455"/>
      <c r="R455" s="2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5:33">
      <c r="O456"/>
      <c r="R456" s="2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5:33">
      <c r="O457"/>
      <c r="R457" s="2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5:33">
      <c r="O458"/>
      <c r="R458" s="2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5:33">
      <c r="O459"/>
      <c r="R459" s="2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5:33">
      <c r="O460"/>
      <c r="R460" s="2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5:33">
      <c r="O461"/>
      <c r="R461" s="2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5:33">
      <c r="O462"/>
      <c r="R462" s="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5:33">
      <c r="O463"/>
      <c r="R463" s="2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5:33">
      <c r="O464"/>
      <c r="R464" s="2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5:33">
      <c r="O465"/>
      <c r="R465" s="2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5:33">
      <c r="O466"/>
      <c r="R466" s="2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5:33">
      <c r="O467"/>
      <c r="R467" s="2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5:33">
      <c r="O468"/>
      <c r="R468" s="2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5:33">
      <c r="O469"/>
      <c r="R469" s="2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5:33">
      <c r="O470"/>
      <c r="R470" s="2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5:33">
      <c r="O471"/>
      <c r="R471" s="2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5:33">
      <c r="O472"/>
      <c r="R472" s="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5:33">
      <c r="O473"/>
      <c r="R473" s="2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5:33">
      <c r="O474"/>
      <c r="R474" s="2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5:33">
      <c r="O475"/>
      <c r="R475" s="2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5:33">
      <c r="O476"/>
      <c r="R476" s="2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5:33">
      <c r="O477"/>
      <c r="R477" s="2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5:33">
      <c r="O478"/>
      <c r="R478" s="2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5:33">
      <c r="O479"/>
      <c r="R479" s="2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5:33">
      <c r="O480"/>
      <c r="R480" s="2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5:33">
      <c r="O481"/>
      <c r="R481" s="2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5:33">
      <c r="O482"/>
      <c r="R482" s="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5:33">
      <c r="O483"/>
      <c r="R483" s="2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5:33">
      <c r="O484"/>
      <c r="R484" s="2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5:33">
      <c r="O485"/>
      <c r="R485" s="2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5:33">
      <c r="O486"/>
      <c r="R486" s="2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5:33">
      <c r="O487"/>
      <c r="R487" s="2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5:33">
      <c r="O488"/>
      <c r="R488" s="2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5:33">
      <c r="O489"/>
      <c r="R489" s="2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5:33">
      <c r="O490"/>
      <c r="R490" s="2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5:33">
      <c r="O491"/>
      <c r="R491" s="2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5:33">
      <c r="O492"/>
      <c r="R492" s="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5:33">
      <c r="O493"/>
      <c r="R493" s="2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5:33">
      <c r="O494"/>
      <c r="R494" s="2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5:33">
      <c r="O495"/>
      <c r="R495" s="2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5:33">
      <c r="O496"/>
      <c r="R496" s="2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5:33">
      <c r="O497"/>
      <c r="R497" s="2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5:33">
      <c r="O498"/>
      <c r="R498" s="2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5:33">
      <c r="O499"/>
      <c r="R499" s="2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5:33">
      <c r="O500"/>
      <c r="R500" s="2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5:33">
      <c r="O501"/>
      <c r="R501" s="2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5:33">
      <c r="O502"/>
      <c r="R502" s="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5:33">
      <c r="O503"/>
      <c r="R503" s="2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5:33">
      <c r="O504"/>
      <c r="R504" s="2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5:33">
      <c r="O505"/>
      <c r="R505" s="2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5:33">
      <c r="O506"/>
      <c r="R506" s="2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5:33">
      <c r="O507"/>
      <c r="R507" s="2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5:33">
      <c r="O508"/>
      <c r="R508" s="2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5:33">
      <c r="O509"/>
      <c r="R509" s="2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5:33">
      <c r="O510"/>
      <c r="R510" s="2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5:33">
      <c r="O511"/>
      <c r="R511" s="2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5:33">
      <c r="O512"/>
      <c r="R512" s="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5:33">
      <c r="O513"/>
      <c r="R513" s="2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5:33">
      <c r="O514"/>
      <c r="R514" s="2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5:33">
      <c r="O515"/>
      <c r="R515" s="2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5:33">
      <c r="O516"/>
      <c r="R516" s="2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5:33">
      <c r="O517"/>
      <c r="R517" s="2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5:33">
      <c r="O518"/>
      <c r="R518" s="2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5:33">
      <c r="O519"/>
      <c r="R519" s="2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5:33">
      <c r="O520"/>
      <c r="R520" s="2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5:33">
      <c r="O521"/>
      <c r="R521" s="2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5:33">
      <c r="O522"/>
      <c r="R522" s="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5:33">
      <c r="O523"/>
      <c r="R523" s="2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5:33">
      <c r="O524"/>
      <c r="R524" s="2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5:33">
      <c r="O525"/>
      <c r="R525" s="2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5:33">
      <c r="O526"/>
      <c r="R526" s="2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5:33">
      <c r="O527"/>
      <c r="R527" s="2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5:33">
      <c r="O528"/>
      <c r="R528" s="2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5:33">
      <c r="O529"/>
      <c r="R529" s="2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5:33">
      <c r="O530"/>
      <c r="R530" s="2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5:33">
      <c r="O531"/>
      <c r="R531" s="2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5:33">
      <c r="O532"/>
      <c r="R532" s="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5:33">
      <c r="O533"/>
      <c r="R533" s="2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5:33">
      <c r="O534"/>
      <c r="R534" s="2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5:33">
      <c r="O535"/>
      <c r="R535" s="2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5:33">
      <c r="O536"/>
      <c r="R536" s="2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5:33">
      <c r="O537"/>
      <c r="R537" s="2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5:33">
      <c r="O538"/>
      <c r="R538" s="2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5:33">
      <c r="O539"/>
      <c r="R539" s="2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5:33">
      <c r="O540"/>
      <c r="R540" s="2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5:33">
      <c r="O541"/>
      <c r="R541" s="2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5:33">
      <c r="O542"/>
      <c r="R542" s="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5:33">
      <c r="O543"/>
      <c r="R543" s="2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5:33">
      <c r="O544"/>
      <c r="R544" s="2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5:33">
      <c r="O545"/>
      <c r="R545" s="2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5:33">
      <c r="O546"/>
      <c r="R546" s="2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5:33">
      <c r="O547"/>
      <c r="R547" s="2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5:33">
      <c r="O548"/>
      <c r="R548" s="2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5:33">
      <c r="O549"/>
      <c r="R549" s="2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5:33">
      <c r="O550"/>
      <c r="R550" s="2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5:33">
      <c r="O551"/>
      <c r="R551" s="2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5:33">
      <c r="O552"/>
      <c r="R552" s="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5:33">
      <c r="O553"/>
      <c r="R553" s="2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5:33">
      <c r="O554"/>
      <c r="R554" s="2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5:33">
      <c r="O555"/>
      <c r="R555" s="2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5:33">
      <c r="O556"/>
      <c r="R556" s="2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5:33">
      <c r="O557"/>
      <c r="R557" s="2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5:33">
      <c r="O558"/>
      <c r="R558" s="2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5:33">
      <c r="O559"/>
      <c r="R559" s="2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5:33">
      <c r="O560"/>
      <c r="R560" s="2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5:33">
      <c r="O561"/>
      <c r="R561" s="2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5:33">
      <c r="O562"/>
      <c r="R562" s="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5:33">
      <c r="O563"/>
      <c r="R563" s="2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5:33">
      <c r="O564"/>
      <c r="R564" s="2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5:33">
      <c r="O565"/>
      <c r="R565" s="2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5:33">
      <c r="O566"/>
      <c r="R566" s="2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5:33">
      <c r="O567"/>
      <c r="R567" s="2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5:33">
      <c r="O568"/>
      <c r="R568" s="2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5:33">
      <c r="O569"/>
      <c r="R569" s="2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5:33">
      <c r="O570"/>
      <c r="R570" s="2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5:33">
      <c r="O571"/>
      <c r="R571" s="2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5:33">
      <c r="O572"/>
      <c r="R572" s="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5:33">
      <c r="O573"/>
      <c r="R573" s="2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5:33">
      <c r="O574"/>
      <c r="R574" s="2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5:33">
      <c r="O575"/>
      <c r="R575" s="2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5:33">
      <c r="O576"/>
      <c r="R576" s="2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5:33">
      <c r="O577"/>
      <c r="R577" s="2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5:33">
      <c r="O578"/>
      <c r="R578" s="2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5:33">
      <c r="O579"/>
      <c r="R579" s="2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5:33">
      <c r="O580"/>
      <c r="R580" s="2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5:33">
      <c r="O581"/>
      <c r="R581" s="2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5:33">
      <c r="O582"/>
      <c r="R582" s="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5:33">
      <c r="O583"/>
      <c r="R583" s="2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5:33">
      <c r="O584"/>
      <c r="R584" s="2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5:33">
      <c r="O585"/>
      <c r="R585" s="2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5:33">
      <c r="O586"/>
      <c r="R586" s="2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5:33">
      <c r="O587"/>
      <c r="R587" s="2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5:33">
      <c r="O588"/>
      <c r="R588" s="2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5:33">
      <c r="O589"/>
      <c r="R589" s="2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5:33">
      <c r="O590"/>
      <c r="R590" s="2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5:33">
      <c r="O591"/>
      <c r="R591" s="2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5:33">
      <c r="O592"/>
      <c r="R592" s="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5:33">
      <c r="O593"/>
      <c r="R593" s="2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5:33">
      <c r="O594"/>
      <c r="R594" s="2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5:33">
      <c r="O595"/>
      <c r="R595" s="2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5:33">
      <c r="O596"/>
      <c r="R596" s="2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5:33">
      <c r="O597"/>
      <c r="R597" s="2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5:33">
      <c r="O598"/>
      <c r="R598" s="2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5:33">
      <c r="O599"/>
      <c r="R599" s="2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5:33">
      <c r="O600"/>
      <c r="R600" s="2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5:33">
      <c r="O601"/>
      <c r="R601" s="2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5:33">
      <c r="O602"/>
      <c r="R602" s="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5:33">
      <c r="O603"/>
      <c r="R603" s="2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5:33">
      <c r="O604"/>
      <c r="R604" s="2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5:33">
      <c r="O605"/>
      <c r="R605" s="2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5:33">
      <c r="O606"/>
      <c r="R606" s="2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5:33">
      <c r="O607"/>
      <c r="R607" s="2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5:33">
      <c r="O608"/>
      <c r="R608" s="2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5:33">
      <c r="O609"/>
      <c r="R609" s="2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5:33">
      <c r="O610"/>
      <c r="R610" s="2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5:33">
      <c r="O611"/>
      <c r="R611" s="2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5:33">
      <c r="O612"/>
      <c r="R612" s="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5:33">
      <c r="O613"/>
      <c r="R613" s="2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5:33">
      <c r="O614"/>
      <c r="R614" s="2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5:33">
      <c r="O615"/>
      <c r="R615" s="2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5:33">
      <c r="O616"/>
      <c r="R616" s="2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5:33">
      <c r="O617"/>
      <c r="R617" s="2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5:33">
      <c r="O618"/>
      <c r="R618" s="2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5:33">
      <c r="O619"/>
      <c r="R619" s="2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5:33">
      <c r="O620"/>
      <c r="R620" s="2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5:33">
      <c r="O621"/>
      <c r="R621" s="2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5:33">
      <c r="O622"/>
      <c r="R622" s="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5:33">
      <c r="O623"/>
      <c r="R623" s="2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5:33">
      <c r="O624"/>
      <c r="R624" s="2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5:33">
      <c r="O625"/>
      <c r="R625" s="2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5:33">
      <c r="O626"/>
      <c r="R626" s="2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5:33">
      <c r="O627"/>
      <c r="R627" s="2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5:33">
      <c r="O628"/>
      <c r="R628" s="2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5:33">
      <c r="O629"/>
      <c r="R629" s="2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5:33">
      <c r="O630"/>
      <c r="R630" s="2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5:33">
      <c r="O631"/>
      <c r="R631" s="2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5:33">
      <c r="O632"/>
      <c r="R632" s="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5:33">
      <c r="O633"/>
      <c r="R633" s="2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5:33">
      <c r="O634"/>
      <c r="R634" s="2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5:33">
      <c r="O635"/>
      <c r="R635" s="2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5:33">
      <c r="O636"/>
      <c r="R636" s="2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5:33">
      <c r="O637"/>
      <c r="R637" s="2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5:33">
      <c r="O638"/>
      <c r="R638" s="2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5:33">
      <c r="O639"/>
      <c r="R639" s="2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5:33">
      <c r="O640"/>
      <c r="R640" s="2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5:33">
      <c r="O641"/>
      <c r="R641" s="2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5:33">
      <c r="O642"/>
      <c r="R642" s="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5:33">
      <c r="O643"/>
      <c r="R643" s="2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5:33">
      <c r="O644"/>
      <c r="R644" s="2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5:33">
      <c r="O645"/>
      <c r="R645" s="2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5:33">
      <c r="O646"/>
      <c r="R646" s="2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5:33">
      <c r="O647"/>
      <c r="R647" s="2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5:33">
      <c r="O648"/>
      <c r="R648" s="2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5:33">
      <c r="O649"/>
      <c r="R649" s="2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5:33">
      <c r="O650"/>
      <c r="R650" s="2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5:33">
      <c r="O651"/>
      <c r="R651" s="2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5:33">
      <c r="O652"/>
      <c r="R652" s="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5:33">
      <c r="O653"/>
      <c r="R653" s="2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5:33">
      <c r="O654"/>
      <c r="R654" s="2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5:33">
      <c r="O655"/>
      <c r="R655" s="2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5:33">
      <c r="O656"/>
      <c r="R656" s="2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5:33">
      <c r="O657"/>
      <c r="R657" s="2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5:33">
      <c r="O658"/>
      <c r="R658" s="2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5:33">
      <c r="O659"/>
      <c r="R659" s="2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5:33">
      <c r="O660"/>
      <c r="R660" s="2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5:33">
      <c r="O661"/>
      <c r="R661" s="2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5:33">
      <c r="O662"/>
      <c r="R662" s="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5:33">
      <c r="O663"/>
      <c r="R663" s="2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5:33">
      <c r="O664"/>
      <c r="R664" s="2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5:33">
      <c r="O665"/>
      <c r="R665" s="2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5:33">
      <c r="O666"/>
      <c r="R666" s="2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5:33">
      <c r="O667"/>
      <c r="R667" s="2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5:33">
      <c r="O668"/>
      <c r="R668" s="2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5:33">
      <c r="O669"/>
      <c r="R669" s="2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5:33">
      <c r="O670"/>
      <c r="R670" s="2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5:33">
      <c r="O671"/>
      <c r="R671" s="2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5:33">
      <c r="O672"/>
      <c r="R672" s="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5:33">
      <c r="O673"/>
      <c r="R673" s="2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5:33">
      <c r="O674"/>
      <c r="R674" s="2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5:33">
      <c r="O675"/>
      <c r="R675" s="2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5:33">
      <c r="O676"/>
      <c r="R676" s="2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5:33">
      <c r="O677"/>
      <c r="R677" s="2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5:33">
      <c r="O678"/>
      <c r="R678" s="2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5:33">
      <c r="O679"/>
      <c r="R679" s="2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5:33">
      <c r="O680"/>
      <c r="R680" s="2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5:33">
      <c r="O681"/>
      <c r="R681" s="2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5:33">
      <c r="O682"/>
      <c r="R682" s="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5:33">
      <c r="O683"/>
      <c r="R683" s="2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5:33">
      <c r="O684"/>
      <c r="R684" s="2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5:33">
      <c r="O685"/>
      <c r="R685" s="2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5:33">
      <c r="O686"/>
      <c r="R686" s="2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5:33">
      <c r="O687"/>
      <c r="R687" s="2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5:33">
      <c r="O688"/>
      <c r="R688" s="2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5:33">
      <c r="O689"/>
      <c r="R689" s="2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5:33">
      <c r="O690"/>
      <c r="R690" s="2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5:33">
      <c r="O691"/>
      <c r="R691" s="2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5:33">
      <c r="O692"/>
      <c r="R692" s="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5:33">
      <c r="O693"/>
      <c r="R693" s="2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5:33">
      <c r="O694"/>
      <c r="R694" s="2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5:33">
      <c r="O695"/>
      <c r="R695" s="2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5:33">
      <c r="O696"/>
      <c r="R696" s="2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5:33">
      <c r="O697"/>
      <c r="R697" s="2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5:33">
      <c r="O698"/>
      <c r="R698" s="2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5:33">
      <c r="O699"/>
      <c r="R699" s="2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5:33">
      <c r="O700"/>
      <c r="R700" s="2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5:33">
      <c r="O701"/>
      <c r="R701" s="2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5:33">
      <c r="O702"/>
      <c r="R702" s="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5:33">
      <c r="O703"/>
      <c r="R703" s="2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5:33">
      <c r="O704"/>
      <c r="R704" s="2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5:33">
      <c r="O705"/>
      <c r="R705" s="2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5:33">
      <c r="O706"/>
      <c r="R706" s="2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5:33">
      <c r="O707"/>
      <c r="R707" s="2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5:33">
      <c r="O708"/>
      <c r="R708" s="2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5:33">
      <c r="O709"/>
      <c r="R709" s="2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5:33">
      <c r="O710"/>
      <c r="R710" s="2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5:33">
      <c r="O711"/>
      <c r="R711" s="2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5:33">
      <c r="O712"/>
      <c r="R712" s="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5:33">
      <c r="O713"/>
      <c r="R713" s="2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  <row r="714" spans="15:33">
      <c r="O714"/>
      <c r="R714" s="2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</row>
    <row r="715" spans="15:33">
      <c r="O715"/>
      <c r="R715" s="2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</row>
    <row r="716" spans="15:33">
      <c r="O716"/>
      <c r="R716" s="2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</row>
    <row r="717" spans="15:33">
      <c r="O717"/>
      <c r="R717" s="2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</row>
    <row r="718" spans="15:33">
      <c r="O718"/>
      <c r="R718" s="2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</row>
    <row r="719" spans="15:33">
      <c r="O719"/>
      <c r="R719" s="2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</row>
    <row r="720" spans="15:33">
      <c r="O720"/>
      <c r="R720" s="2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</row>
    <row r="721" spans="15:33">
      <c r="O721"/>
      <c r="R721" s="2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</row>
    <row r="722" spans="15:33">
      <c r="O722"/>
      <c r="R722" s="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</row>
    <row r="723" spans="15:33">
      <c r="O723"/>
      <c r="R723" s="2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</row>
    <row r="724" spans="15:33">
      <c r="O724"/>
      <c r="R724" s="2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</row>
    <row r="725" spans="15:33">
      <c r="O725"/>
      <c r="R725" s="2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</row>
    <row r="726" spans="15:33">
      <c r="O726"/>
      <c r="R726" s="2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</row>
    <row r="727" spans="15:33">
      <c r="O727"/>
      <c r="R727" s="2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</row>
    <row r="728" spans="15:33">
      <c r="O728"/>
      <c r="R728" s="2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</row>
    <row r="729" spans="15:33">
      <c r="O729"/>
      <c r="R729" s="2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</row>
    <row r="730" spans="15:33">
      <c r="O730"/>
      <c r="R730" s="2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</row>
    <row r="731" spans="15:33">
      <c r="O731"/>
      <c r="R731" s="2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</row>
    <row r="732" spans="15:33">
      <c r="O732"/>
      <c r="R732" s="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</row>
    <row r="733" spans="15:33">
      <c r="O733"/>
      <c r="R733" s="2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</row>
    <row r="734" spans="15:33">
      <c r="O734"/>
      <c r="R734" s="2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</row>
    <row r="735" spans="15:33">
      <c r="O735"/>
      <c r="R735" s="2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</row>
    <row r="736" spans="15:33">
      <c r="O736"/>
      <c r="R736" s="2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</row>
    <row r="737" spans="15:33">
      <c r="O737"/>
      <c r="R737" s="2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</row>
    <row r="738" spans="15:33">
      <c r="O738"/>
      <c r="R738" s="2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</row>
    <row r="739" spans="15:33">
      <c r="O739"/>
      <c r="R739" s="2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</row>
    <row r="740" spans="15:33">
      <c r="O740"/>
      <c r="R740" s="2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</row>
    <row r="741" spans="15:33">
      <c r="O741"/>
      <c r="R741" s="2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</row>
    <row r="742" spans="15:33">
      <c r="O742"/>
      <c r="R742" s="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</row>
    <row r="743" spans="15:33">
      <c r="O743"/>
      <c r="R743" s="2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</row>
    <row r="744" spans="15:33">
      <c r="O744"/>
      <c r="R744" s="2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</row>
    <row r="745" spans="15:33">
      <c r="O745"/>
      <c r="R745" s="2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</row>
    <row r="746" spans="15:33">
      <c r="O746"/>
      <c r="R746" s="2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</row>
    <row r="747" spans="15:33">
      <c r="O747"/>
      <c r="R747" s="2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</row>
    <row r="748" spans="15:33">
      <c r="O748"/>
      <c r="R748" s="2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</row>
    <row r="749" spans="15:33">
      <c r="O749"/>
      <c r="R749" s="2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</row>
    <row r="750" spans="15:33">
      <c r="O750"/>
      <c r="R750" s="2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</row>
    <row r="751" spans="15:33">
      <c r="O751"/>
      <c r="R751" s="2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</row>
    <row r="752" spans="15:33">
      <c r="O752"/>
      <c r="R752" s="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</row>
    <row r="753" spans="15:33">
      <c r="O753"/>
      <c r="R753" s="2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</row>
    <row r="754" spans="15:33">
      <c r="O754"/>
      <c r="R754" s="2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</row>
    <row r="755" spans="15:33">
      <c r="O755"/>
      <c r="R755" s="2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</row>
    <row r="756" spans="15:33">
      <c r="O756"/>
      <c r="R756" s="2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</row>
    <row r="757" spans="15:33">
      <c r="O757"/>
      <c r="R757" s="2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</row>
    <row r="758" spans="15:33">
      <c r="O758"/>
      <c r="R758" s="2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</row>
    <row r="759" spans="15:33">
      <c r="O759"/>
      <c r="R759" s="2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</row>
    <row r="760" spans="15:33">
      <c r="O760"/>
      <c r="R760" s="2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</row>
    <row r="761" spans="15:33">
      <c r="O761"/>
      <c r="R761" s="2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</row>
    <row r="762" spans="15:33">
      <c r="O762"/>
      <c r="R762" s="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</row>
    <row r="763" spans="15:33">
      <c r="O763"/>
      <c r="R763" s="2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</row>
    <row r="764" spans="15:33">
      <c r="O764"/>
      <c r="R764" s="2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</row>
    <row r="765" spans="15:33">
      <c r="O765"/>
      <c r="R765" s="2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</row>
    <row r="766" spans="15:33">
      <c r="O766"/>
      <c r="R766" s="2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</row>
    <row r="767" spans="15:33">
      <c r="O767"/>
      <c r="R767" s="2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</row>
    <row r="768" spans="15:33">
      <c r="O768"/>
      <c r="R768" s="2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</row>
    <row r="769" spans="15:33">
      <c r="O769"/>
      <c r="R769" s="2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</row>
    <row r="770" spans="15:33">
      <c r="O770"/>
      <c r="R770" s="2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</row>
    <row r="771" spans="15:33">
      <c r="O771"/>
      <c r="R771" s="2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</row>
    <row r="772" spans="15:33">
      <c r="O772"/>
      <c r="R772" s="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</row>
    <row r="773" spans="15:33">
      <c r="O773"/>
      <c r="R773" s="2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</row>
    <row r="774" spans="15:33">
      <c r="O774"/>
      <c r="R774" s="2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</row>
    <row r="775" spans="15:33">
      <c r="O775"/>
      <c r="R775" s="2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</row>
    <row r="776" spans="15:33">
      <c r="O776"/>
      <c r="R776" s="2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</row>
    <row r="777" spans="15:33">
      <c r="O777"/>
      <c r="R777" s="2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</row>
    <row r="778" spans="15:33">
      <c r="O778"/>
      <c r="R778" s="2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</row>
    <row r="779" spans="15:33">
      <c r="O779"/>
      <c r="R779" s="2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</row>
    <row r="780" spans="15:33">
      <c r="O780"/>
      <c r="R780" s="2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</row>
    <row r="781" spans="15:33">
      <c r="O781"/>
      <c r="R781" s="2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</row>
    <row r="782" spans="15:33">
      <c r="O782"/>
      <c r="R782" s="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</row>
    <row r="783" spans="15:33">
      <c r="O783"/>
      <c r="R783" s="2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</row>
    <row r="784" spans="15:33">
      <c r="O784"/>
      <c r="R784" s="2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</row>
    <row r="785" spans="15:33">
      <c r="O785"/>
      <c r="R785" s="2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</row>
    <row r="786" spans="15:33">
      <c r="O786"/>
      <c r="R786" s="2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</row>
    <row r="787" spans="15:33">
      <c r="O787"/>
      <c r="R787" s="2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</row>
    <row r="788" spans="15:33">
      <c r="O788"/>
      <c r="R788" s="2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</row>
    <row r="789" spans="15:33">
      <c r="O789"/>
      <c r="R789" s="2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</row>
    <row r="790" spans="15:33">
      <c r="O790"/>
      <c r="R790" s="2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</row>
    <row r="791" spans="15:33">
      <c r="O791"/>
      <c r="R791" s="2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</row>
    <row r="792" spans="15:33">
      <c r="O792"/>
      <c r="R792" s="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</row>
    <row r="793" spans="15:33">
      <c r="O793"/>
      <c r="R793" s="2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</row>
    <row r="794" spans="15:33">
      <c r="O794"/>
      <c r="R794" s="2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</row>
    <row r="795" spans="15:33">
      <c r="O795"/>
      <c r="R795" s="2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</row>
    <row r="796" spans="15:33">
      <c r="O796"/>
      <c r="R796" s="2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</row>
    <row r="797" spans="15:33">
      <c r="O797"/>
      <c r="R797" s="2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</row>
    <row r="798" spans="15:33">
      <c r="O798"/>
      <c r="R798" s="2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</row>
    <row r="799" spans="15:33">
      <c r="O799"/>
      <c r="R799" s="2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</row>
    <row r="800" spans="15:33">
      <c r="O800"/>
      <c r="R800" s="2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</row>
    <row r="801" spans="15:33">
      <c r="O801"/>
      <c r="R801" s="2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</row>
    <row r="802" spans="15:33">
      <c r="O802"/>
      <c r="R802" s="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</row>
    <row r="803" spans="15:33">
      <c r="O803"/>
      <c r="R803" s="2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</row>
    <row r="804" spans="15:33">
      <c r="O804"/>
      <c r="R804" s="2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</row>
    <row r="805" spans="15:33">
      <c r="O805"/>
      <c r="R805" s="2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</row>
    <row r="806" spans="15:33">
      <c r="O806"/>
      <c r="R806" s="2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</row>
    <row r="807" spans="15:33">
      <c r="O807"/>
      <c r="R807" s="2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</row>
    <row r="808" spans="15:33">
      <c r="O808"/>
      <c r="R808" s="2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</row>
    <row r="809" spans="15:33">
      <c r="O809"/>
      <c r="R809" s="2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</row>
    <row r="810" spans="15:33">
      <c r="O810"/>
      <c r="R810" s="2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</row>
    <row r="811" spans="15:33">
      <c r="O811"/>
      <c r="R811" s="2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</row>
    <row r="812" spans="15:33">
      <c r="O812"/>
      <c r="R812" s="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</row>
    <row r="813" spans="15:33">
      <c r="O813"/>
      <c r="R813" s="2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</row>
    <row r="814" spans="15:33">
      <c r="O814"/>
      <c r="R814" s="2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</row>
    <row r="815" spans="15:33">
      <c r="O815"/>
      <c r="R815" s="2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</row>
    <row r="816" spans="15:33">
      <c r="O816"/>
      <c r="R816" s="2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</row>
    <row r="817" spans="15:33">
      <c r="O817"/>
      <c r="R817" s="2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</row>
    <row r="818" spans="15:33">
      <c r="O818"/>
      <c r="R818" s="2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</row>
    <row r="819" spans="15:33">
      <c r="O819"/>
      <c r="R819" s="2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</row>
    <row r="820" spans="15:33">
      <c r="O820"/>
      <c r="R820" s="2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</row>
    <row r="821" spans="15:33">
      <c r="O821"/>
      <c r="R821" s="2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</row>
    <row r="822" spans="15:33">
      <c r="O822"/>
      <c r="R822" s="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</row>
    <row r="823" spans="15:33">
      <c r="O823"/>
      <c r="R823" s="2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</row>
    <row r="824" spans="15:33">
      <c r="O824"/>
      <c r="R824" s="2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</row>
    <row r="825" spans="15:33">
      <c r="O825"/>
      <c r="R825" s="2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</row>
    <row r="826" spans="15:33">
      <c r="O826"/>
      <c r="R826" s="2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</row>
    <row r="827" spans="15:33">
      <c r="O827"/>
      <c r="R827" s="2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</row>
    <row r="828" spans="15:33">
      <c r="O828"/>
      <c r="R828" s="2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</row>
    <row r="829" spans="15:33">
      <c r="O829"/>
      <c r="R829" s="2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</row>
    <row r="830" spans="15:33">
      <c r="O830"/>
      <c r="R830" s="2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</row>
    <row r="831" spans="15:33">
      <c r="O831"/>
      <c r="R831" s="2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</row>
    <row r="832" spans="15:33">
      <c r="O832"/>
      <c r="R832" s="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</row>
    <row r="833" spans="15:33">
      <c r="O833"/>
      <c r="R833" s="2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</row>
    <row r="834" spans="15:33">
      <c r="O834"/>
      <c r="R834" s="2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</row>
    <row r="835" spans="15:33">
      <c r="O835"/>
      <c r="R835" s="2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</row>
    <row r="836" spans="15:33">
      <c r="O836"/>
      <c r="R836" s="2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</row>
    <row r="837" spans="15:33">
      <c r="O837"/>
      <c r="R837" s="2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</row>
    <row r="838" spans="15:33">
      <c r="O838"/>
      <c r="R838" s="2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</row>
    <row r="839" spans="15:33">
      <c r="O839"/>
      <c r="R839" s="2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</row>
    <row r="840" spans="15:33">
      <c r="O840"/>
      <c r="R840" s="2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</row>
    <row r="841" spans="15:33">
      <c r="O841"/>
      <c r="R841" s="2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</row>
    <row r="842" spans="15:33">
      <c r="O842"/>
      <c r="R842" s="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</row>
    <row r="843" spans="15:33">
      <c r="O843"/>
      <c r="R843" s="2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</row>
    <row r="844" spans="15:33">
      <c r="O844"/>
      <c r="R844" s="2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</row>
    <row r="845" spans="15:33">
      <c r="O845"/>
      <c r="R845" s="2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</row>
    <row r="846" spans="15:33">
      <c r="O846"/>
      <c r="R846" s="2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</row>
    <row r="847" spans="15:33">
      <c r="O847"/>
      <c r="R847" s="2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</row>
    <row r="848" spans="15:33">
      <c r="O848"/>
      <c r="R848" s="2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</row>
    <row r="849" spans="15:33">
      <c r="O849"/>
      <c r="R849" s="2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</row>
    <row r="850" spans="15:33">
      <c r="O850"/>
      <c r="R850" s="2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</row>
    <row r="851" spans="15:33">
      <c r="O851"/>
      <c r="R851" s="2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</row>
    <row r="852" spans="15:33">
      <c r="O852"/>
      <c r="R852" s="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</row>
    <row r="853" spans="15:33">
      <c r="O853"/>
      <c r="R853" s="2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</row>
    <row r="854" spans="15:33">
      <c r="O854"/>
      <c r="R854" s="2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</row>
    <row r="855" spans="15:33">
      <c r="O855"/>
      <c r="R855" s="2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</row>
    <row r="856" spans="15:33">
      <c r="O856"/>
      <c r="R856" s="2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</row>
    <row r="857" spans="15:33">
      <c r="O857"/>
      <c r="R857" s="2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</row>
    <row r="858" spans="15:33">
      <c r="O858"/>
      <c r="R858" s="2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</row>
    <row r="859" spans="15:33">
      <c r="O859"/>
      <c r="R859" s="2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</row>
    <row r="860" spans="15:33">
      <c r="O860"/>
      <c r="R860" s="2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</row>
    <row r="861" spans="15:33">
      <c r="O861"/>
      <c r="R861" s="2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</row>
    <row r="862" spans="15:33">
      <c r="O862"/>
      <c r="R862" s="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</row>
    <row r="863" spans="15:33">
      <c r="O863"/>
      <c r="R863" s="2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</row>
    <row r="864" spans="15:33">
      <c r="O864"/>
      <c r="R864" s="2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</row>
    <row r="865" spans="15:33">
      <c r="O865"/>
      <c r="R865" s="2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</row>
    <row r="866" spans="15:33">
      <c r="O866"/>
      <c r="R866" s="2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</row>
    <row r="867" spans="15:33">
      <c r="O867"/>
      <c r="R867" s="2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</row>
    <row r="868" spans="15:33">
      <c r="O868"/>
      <c r="R868" s="2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</row>
    <row r="869" spans="15:33">
      <c r="O869"/>
      <c r="R869" s="2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</row>
    <row r="870" spans="15:33">
      <c r="O870"/>
      <c r="R870" s="2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</row>
    <row r="871" spans="15:33">
      <c r="O871"/>
      <c r="R871" s="2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</row>
    <row r="872" spans="15:33">
      <c r="O872"/>
      <c r="R872" s="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</row>
    <row r="873" spans="15:33">
      <c r="O873"/>
      <c r="R873" s="2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</row>
    <row r="874" spans="15:33">
      <c r="O874"/>
      <c r="R874" s="2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</row>
    <row r="875" spans="15:33">
      <c r="O875"/>
      <c r="R875" s="2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</row>
    <row r="876" spans="15:33">
      <c r="O876"/>
      <c r="R876" s="2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</row>
    <row r="877" spans="15:33">
      <c r="O877"/>
      <c r="R877" s="2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</row>
    <row r="878" spans="15:33">
      <c r="O878"/>
      <c r="R878" s="2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</row>
    <row r="879" spans="15:33">
      <c r="O879"/>
      <c r="R879" s="2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</row>
    <row r="880" spans="15:33">
      <c r="O880"/>
      <c r="R880" s="2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</row>
    <row r="881" spans="15:33">
      <c r="O881"/>
      <c r="R881" s="2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</row>
    <row r="882" spans="15:33">
      <c r="O882"/>
      <c r="R882" s="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</row>
    <row r="883" spans="15:33">
      <c r="O883"/>
      <c r="R883" s="2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</row>
    <row r="884" spans="15:33">
      <c r="O884"/>
      <c r="R884" s="2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</row>
    <row r="885" spans="15:33">
      <c r="O885"/>
      <c r="R885" s="2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</row>
    <row r="886" spans="15:33">
      <c r="O886"/>
      <c r="R886" s="2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</row>
    <row r="887" spans="15:33">
      <c r="O887"/>
      <c r="R887" s="2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</row>
    <row r="888" spans="15:33">
      <c r="O888"/>
      <c r="R888" s="2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</row>
    <row r="889" spans="15:33">
      <c r="O889"/>
      <c r="R889" s="2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</row>
    <row r="890" spans="15:33">
      <c r="O890"/>
      <c r="R890" s="2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</row>
    <row r="891" spans="15:33">
      <c r="O891"/>
      <c r="R891" s="2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</row>
    <row r="892" spans="15:33">
      <c r="O892"/>
      <c r="R892" s="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</row>
    <row r="893" spans="15:33">
      <c r="O893"/>
      <c r="R893" s="2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</row>
    <row r="894" spans="15:33">
      <c r="O894"/>
      <c r="R894" s="2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</row>
    <row r="895" spans="15:33">
      <c r="O895"/>
      <c r="R895" s="2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</row>
    <row r="896" spans="15:33">
      <c r="O896"/>
      <c r="R896" s="2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</row>
    <row r="897" spans="15:33">
      <c r="O897"/>
      <c r="R897" s="2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</row>
    <row r="898" spans="15:33">
      <c r="O898"/>
      <c r="R898" s="2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</row>
    <row r="899" spans="15:33">
      <c r="O899"/>
      <c r="R899" s="2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</row>
    <row r="900" spans="15:33">
      <c r="O900"/>
      <c r="R900" s="2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</row>
    <row r="901" spans="15:33">
      <c r="O901"/>
      <c r="R901" s="2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</row>
    <row r="902" spans="15:33">
      <c r="O902"/>
      <c r="R902" s="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</row>
    <row r="903" spans="15:33">
      <c r="O903"/>
      <c r="R903" s="2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</row>
    <row r="904" spans="15:33">
      <c r="O904"/>
      <c r="R904" s="2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</row>
    <row r="905" spans="15:33">
      <c r="O905"/>
      <c r="R905" s="2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</row>
    <row r="906" spans="15:33">
      <c r="O906"/>
      <c r="R906" s="2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</row>
    <row r="907" spans="15:33">
      <c r="O907"/>
      <c r="R907" s="2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</row>
    <row r="908" spans="15:33">
      <c r="O908"/>
      <c r="R908" s="2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</row>
    <row r="909" spans="15:33">
      <c r="O909"/>
      <c r="R909" s="2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</row>
    <row r="910" spans="15:33">
      <c r="O910"/>
      <c r="R910" s="2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</row>
    <row r="911" spans="15:33">
      <c r="O911"/>
      <c r="R911" s="2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</row>
    <row r="912" spans="15:33">
      <c r="O912"/>
      <c r="R912" s="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</row>
    <row r="913" spans="15:33">
      <c r="O913"/>
      <c r="R913" s="2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</row>
    <row r="914" spans="15:33">
      <c r="O914"/>
      <c r="R914" s="2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</row>
    <row r="915" spans="15:33">
      <c r="O915"/>
      <c r="R915" s="2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</row>
    <row r="916" spans="15:33">
      <c r="O916"/>
      <c r="R916" s="2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</row>
    <row r="917" spans="15:33">
      <c r="O917"/>
      <c r="R917" s="2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</row>
    <row r="918" spans="15:33">
      <c r="O918"/>
      <c r="R918" s="2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</row>
    <row r="919" spans="15:33">
      <c r="O919"/>
      <c r="R919" s="2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</row>
    <row r="920" spans="15:33">
      <c r="O920"/>
      <c r="R920" s="2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</row>
    <row r="921" spans="15:33">
      <c r="O921"/>
      <c r="R921" s="2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</row>
    <row r="922" spans="15:33">
      <c r="O922"/>
      <c r="R922" s="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</row>
    <row r="923" spans="15:33">
      <c r="O923"/>
      <c r="R923" s="2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</row>
    <row r="924" spans="15:33">
      <c r="O924"/>
      <c r="R924" s="2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</row>
    <row r="925" spans="15:33">
      <c r="O925"/>
      <c r="R925" s="2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</row>
    <row r="926" spans="15:33">
      <c r="O926"/>
      <c r="R926" s="2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</row>
    <row r="927" spans="15:33">
      <c r="O927"/>
      <c r="R927" s="2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</row>
    <row r="928" spans="15:33">
      <c r="O928"/>
      <c r="R928" s="2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</row>
    <row r="929" spans="15:33">
      <c r="O929"/>
      <c r="R929" s="2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</row>
    <row r="930" spans="15:33">
      <c r="O930"/>
      <c r="R930" s="2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</row>
    <row r="931" spans="15:33">
      <c r="O931"/>
      <c r="R931" s="2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</row>
    <row r="932" spans="15:33">
      <c r="O932"/>
      <c r="R932" s="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</row>
    <row r="933" spans="15:33">
      <c r="O933"/>
      <c r="R933" s="2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</row>
    <row r="934" spans="15:33">
      <c r="O934"/>
      <c r="R934" s="2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</row>
    <row r="935" spans="15:33">
      <c r="O935"/>
      <c r="R935" s="2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</row>
    <row r="936" spans="15:33">
      <c r="O936"/>
      <c r="R936" s="2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</row>
    <row r="937" spans="15:33">
      <c r="O937"/>
      <c r="R937" s="2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</row>
    <row r="938" spans="15:33">
      <c r="O938"/>
      <c r="R938" s="2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</row>
    <row r="939" spans="15:33">
      <c r="O939"/>
      <c r="R939" s="2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</row>
    <row r="940" spans="15:33">
      <c r="O940"/>
      <c r="R940" s="2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</row>
    <row r="941" spans="15:33">
      <c r="O941"/>
      <c r="R941" s="2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</row>
    <row r="942" spans="15:33">
      <c r="O942"/>
      <c r="R942" s="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</row>
    <row r="943" spans="15:33">
      <c r="O943"/>
      <c r="R943" s="2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</row>
    <row r="944" spans="15:33">
      <c r="O944"/>
      <c r="R944" s="2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</row>
    <row r="945" spans="15:33">
      <c r="O945"/>
      <c r="R945" s="2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</row>
    <row r="946" spans="15:33">
      <c r="O946"/>
      <c r="R946" s="2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</row>
    <row r="947" spans="15:33">
      <c r="O947"/>
      <c r="R947" s="2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</row>
    <row r="948" spans="15:33">
      <c r="O948"/>
      <c r="R948" s="2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</row>
    <row r="949" spans="15:33">
      <c r="O949"/>
      <c r="R949" s="2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</row>
    <row r="950" spans="15:33">
      <c r="O950"/>
      <c r="R950" s="2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</row>
    <row r="951" spans="15:33">
      <c r="O951"/>
      <c r="R951" s="2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</row>
    <row r="952" spans="15:33">
      <c r="O952"/>
      <c r="R952" s="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</row>
    <row r="953" spans="15:33">
      <c r="O953"/>
      <c r="R953" s="2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</row>
    <row r="954" spans="15:33">
      <c r="O954"/>
      <c r="R954" s="2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</row>
    <row r="955" spans="15:33">
      <c r="O955"/>
      <c r="R955" s="2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</row>
    <row r="956" spans="15:33">
      <c r="O956"/>
      <c r="R956" s="2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</row>
    <row r="957" spans="15:33">
      <c r="O957"/>
      <c r="R957" s="2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</row>
    <row r="958" spans="15:33">
      <c r="O958"/>
      <c r="R958" s="2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</row>
    <row r="959" spans="15:33">
      <c r="O959"/>
      <c r="R959" s="2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</row>
    <row r="960" spans="15:33">
      <c r="O960"/>
      <c r="R960" s="2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</row>
    <row r="961" spans="15:33">
      <c r="O961"/>
      <c r="R961" s="2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</row>
    <row r="962" spans="15:33">
      <c r="O962"/>
      <c r="R962" s="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</row>
    <row r="963" spans="15:33">
      <c r="O963"/>
      <c r="R963" s="2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</row>
    <row r="964" spans="15:33">
      <c r="O964"/>
      <c r="R964" s="2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</row>
    <row r="965" spans="15:33">
      <c r="O965"/>
      <c r="R965" s="2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</row>
    <row r="966" spans="15:33">
      <c r="O966"/>
      <c r="R966" s="2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</row>
    <row r="967" spans="15:33">
      <c r="O967"/>
      <c r="R967" s="2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</row>
    <row r="968" spans="15:33">
      <c r="O968"/>
      <c r="R968" s="2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</row>
    <row r="969" spans="15:33">
      <c r="O969"/>
      <c r="R969" s="2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</row>
    <row r="970" spans="15:33">
      <c r="O970"/>
      <c r="R970" s="2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</row>
    <row r="971" spans="15:33">
      <c r="O971"/>
      <c r="R971" s="2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</row>
    <row r="972" spans="15:33">
      <c r="O972"/>
      <c r="R972" s="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</row>
    <row r="973" spans="15:33">
      <c r="O973"/>
      <c r="R973" s="2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</row>
    <row r="974" spans="15:33">
      <c r="O974"/>
      <c r="R974" s="2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</row>
    <row r="975" spans="15:33">
      <c r="O975"/>
      <c r="R975" s="2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</row>
    <row r="976" spans="15:33">
      <c r="O976"/>
      <c r="R976" s="2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</row>
    <row r="977" spans="15:33">
      <c r="O977"/>
      <c r="R977" s="2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</row>
    <row r="978" spans="15:33">
      <c r="O978"/>
      <c r="R978" s="2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</row>
    <row r="979" spans="15:33">
      <c r="O979"/>
      <c r="R979" s="2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</row>
    <row r="980" spans="15:33">
      <c r="O980"/>
      <c r="R980" s="2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</row>
    <row r="981" spans="15:33">
      <c r="O981"/>
      <c r="R981" s="2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</row>
    <row r="982" spans="15:33">
      <c r="O982"/>
      <c r="R982" s="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</row>
    <row r="983" spans="15:33">
      <c r="O983"/>
      <c r="R983" s="2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</row>
    <row r="984" spans="15:33">
      <c r="O984"/>
      <c r="R984" s="2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</row>
    <row r="985" spans="15:33">
      <c r="O985"/>
      <c r="R985" s="2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</row>
    <row r="986" spans="15:33">
      <c r="O986"/>
      <c r="R986" s="2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</row>
    <row r="987" spans="15:33">
      <c r="O987"/>
      <c r="R987" s="2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</row>
    <row r="988" spans="15:33">
      <c r="O988"/>
      <c r="R988" s="2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</row>
    <row r="989" spans="15:33">
      <c r="O989"/>
      <c r="R989" s="2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</row>
    <row r="990" spans="15:33">
      <c r="O990"/>
      <c r="R990" s="2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</row>
    <row r="991" spans="15:33">
      <c r="O991"/>
      <c r="R991" s="2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</row>
    <row r="992" spans="15:33">
      <c r="O992"/>
      <c r="R992" s="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</row>
    <row r="993" spans="15:33">
      <c r="O993"/>
      <c r="R993" s="2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</row>
    <row r="994" spans="15:33">
      <c r="O994"/>
      <c r="R994" s="2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</row>
    <row r="995" spans="15:33">
      <c r="O995"/>
      <c r="R995" s="2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</row>
    <row r="996" spans="15:33">
      <c r="O996"/>
      <c r="R996" s="2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</row>
    <row r="997" spans="15:33">
      <c r="O997"/>
      <c r="R997" s="2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</row>
    <row r="998" spans="15:33">
      <c r="O998"/>
      <c r="R998" s="2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</row>
    <row r="999" spans="15:33">
      <c r="O999"/>
      <c r="R999" s="2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</row>
    <row r="1000" spans="15:33">
      <c r="O1000"/>
      <c r="R1000" s="2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</row>
    <row r="1001" spans="15:33">
      <c r="O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</row>
    <row r="1002" spans="15:33">
      <c r="O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</row>
    <row r="1003" spans="15:33">
      <c r="O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</row>
    <row r="1004" spans="15:33">
      <c r="O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</row>
    <row r="1005" spans="15:33">
      <c r="O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</row>
    <row r="1006" spans="15:33">
      <c r="O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</row>
    <row r="1007" spans="15:33">
      <c r="O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</row>
    <row r="1008" spans="15:33">
      <c r="O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</row>
    <row r="1009" spans="15:33">
      <c r="O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</row>
    <row r="1010" spans="15:33">
      <c r="O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</row>
    <row r="1011" spans="15:33">
      <c r="O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</row>
    <row r="1012" spans="15:33">
      <c r="O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</row>
    <row r="1013" spans="15:33">
      <c r="O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</row>
    <row r="1014" spans="15:33">
      <c r="O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</row>
    <row r="1015" spans="15:33">
      <c r="O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</row>
    <row r="1016" spans="15:33">
      <c r="O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</row>
    <row r="1017" spans="15:33">
      <c r="O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</row>
    <row r="1018" spans="15:33">
      <c r="O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</row>
    <row r="1019" spans="15:33">
      <c r="O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</row>
    <row r="1020" spans="15:33">
      <c r="O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</row>
    <row r="1021" spans="15:33">
      <c r="O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</row>
    <row r="1022" spans="15:33">
      <c r="O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</row>
    <row r="1023" spans="15:33">
      <c r="O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</row>
    <row r="1024" spans="15:33">
      <c r="O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</row>
    <row r="1025" spans="15:33">
      <c r="O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</row>
    <row r="1026" spans="15:33">
      <c r="O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</row>
    <row r="1027" spans="15:33">
      <c r="O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</row>
    <row r="1028" spans="15:33">
      <c r="O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</row>
    <row r="1029" spans="15:33">
      <c r="O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</row>
    <row r="1030" spans="15:33">
      <c r="O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</row>
    <row r="1031" spans="15:33">
      <c r="O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</row>
    <row r="1032" spans="15:33">
      <c r="O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</row>
    <row r="1033" spans="15:33">
      <c r="O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</row>
    <row r="1034" spans="15:33">
      <c r="O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</row>
    <row r="1035" spans="15:33">
      <c r="O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</row>
    <row r="1036" spans="15:33">
      <c r="O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</row>
    <row r="1037" spans="15:33">
      <c r="O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</row>
    <row r="1038" spans="15:33">
      <c r="O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</row>
    <row r="1039" spans="15:33">
      <c r="O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</row>
    <row r="1040" spans="15:33">
      <c r="O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</row>
    <row r="1041" spans="15:33">
      <c r="O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</row>
    <row r="1042" spans="15:33">
      <c r="O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</row>
    <row r="1043" spans="15:33">
      <c r="O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</row>
    <row r="1044" spans="15:33">
      <c r="O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</row>
    <row r="1045" spans="15:33">
      <c r="O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</row>
    <row r="1046" spans="15:33">
      <c r="O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</row>
    <row r="1047" spans="15:33">
      <c r="O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</row>
    <row r="1048" spans="15:33">
      <c r="O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</row>
    <row r="1049" spans="15:33">
      <c r="O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</row>
    <row r="1050" spans="15:33">
      <c r="O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</row>
    <row r="1051" spans="15:33">
      <c r="O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</row>
    <row r="1052" spans="15:33">
      <c r="O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</row>
    <row r="1053" spans="15:33">
      <c r="O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</row>
    <row r="1054" spans="15:33">
      <c r="O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</row>
    <row r="1055" spans="15:33">
      <c r="O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</row>
    <row r="1056" spans="15:33">
      <c r="O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</row>
    <row r="1057" spans="15:33">
      <c r="O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</row>
    <row r="1058" spans="15:33">
      <c r="O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</row>
    <row r="1059" spans="15:33">
      <c r="O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</row>
    <row r="1060" spans="15:33">
      <c r="O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</row>
    <row r="1061" spans="15:33">
      <c r="O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</row>
    <row r="1062" spans="15:33">
      <c r="O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</row>
    <row r="1063" spans="15:33">
      <c r="O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</row>
    <row r="1064" spans="15:33">
      <c r="O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</row>
    <row r="1065" spans="15:33">
      <c r="O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</row>
    <row r="1066" spans="15:33">
      <c r="O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</row>
    <row r="1067" spans="15:33">
      <c r="O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</row>
    <row r="1068" spans="15:33">
      <c r="O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</row>
    <row r="1069" spans="15:33">
      <c r="O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</row>
    <row r="1070" spans="15:33">
      <c r="O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</row>
    <row r="1071" spans="15:33">
      <c r="O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</row>
    <row r="1072" spans="15:33">
      <c r="O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</row>
    <row r="1073" spans="15:33">
      <c r="O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</row>
    <row r="1074" spans="15:33">
      <c r="O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</row>
    <row r="1075" spans="15:33">
      <c r="O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</row>
    <row r="1076" spans="15:33">
      <c r="O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</row>
    <row r="1077" spans="15:33">
      <c r="O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</row>
    <row r="1078" spans="15:33">
      <c r="O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</row>
    <row r="1079" spans="15:33">
      <c r="O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</row>
    <row r="1080" spans="15:33">
      <c r="O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</row>
    <row r="1081" spans="15:33">
      <c r="O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</row>
    <row r="1082" spans="15:33">
      <c r="O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</row>
    <row r="1083" spans="15:33">
      <c r="O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</row>
    <row r="1084" spans="15:33">
      <c r="O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</row>
    <row r="1085" spans="15:33">
      <c r="O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</row>
    <row r="1086" spans="15:33">
      <c r="O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</row>
    <row r="1087" spans="15:33">
      <c r="O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</row>
    <row r="1088" spans="15:33">
      <c r="O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</row>
    <row r="1089" spans="15:33">
      <c r="O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</row>
    <row r="1090" spans="15:33">
      <c r="O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</row>
    <row r="1091" spans="15:33">
      <c r="O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</row>
    <row r="1092" spans="15:33">
      <c r="O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</row>
    <row r="1093" spans="15:33">
      <c r="O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</row>
    <row r="1094" spans="15:33">
      <c r="O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</row>
    <row r="1095" spans="15:33">
      <c r="O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</row>
    <row r="1096" spans="15:33">
      <c r="O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</row>
    <row r="1097" spans="15:33">
      <c r="O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</row>
    <row r="1098" spans="15:33">
      <c r="O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</row>
    <row r="1099" spans="15:33">
      <c r="O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</row>
    <row r="1100" spans="15:33">
      <c r="O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</row>
    <row r="1101" spans="15:33">
      <c r="O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</row>
    <row r="1102" spans="15:33">
      <c r="O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</row>
    <row r="1103" spans="15:33">
      <c r="O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</row>
    <row r="1104" spans="15:33">
      <c r="O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</row>
    <row r="1105" spans="15:33">
      <c r="O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</row>
    <row r="1106" spans="15:33">
      <c r="O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</row>
    <row r="1107" spans="15:33">
      <c r="O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</row>
    <row r="1108" spans="15:33">
      <c r="O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</row>
    <row r="1109" spans="15:33">
      <c r="O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</row>
    <row r="1110" spans="15:33">
      <c r="O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</row>
    <row r="1111" spans="15:33">
      <c r="O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</row>
    <row r="1112" spans="15:33">
      <c r="O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</row>
    <row r="1113" spans="15:33">
      <c r="O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</row>
    <row r="1114" spans="15:33">
      <c r="O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</row>
    <row r="1115" spans="15:33">
      <c r="O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</row>
    <row r="1116" spans="15:33">
      <c r="O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</row>
    <row r="1117" spans="15:33">
      <c r="O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</row>
    <row r="1118" spans="15:33">
      <c r="O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</row>
    <row r="1119" spans="15:33">
      <c r="O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</row>
    <row r="1120" spans="15:33">
      <c r="O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</row>
    <row r="1121" spans="15:33">
      <c r="O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</row>
    <row r="1122" spans="15:33">
      <c r="O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</row>
    <row r="1123" spans="15:33">
      <c r="O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</row>
    <row r="1124" spans="15:33">
      <c r="O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</row>
    <row r="1125" spans="15:33">
      <c r="O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</row>
    <row r="1126" spans="15:33">
      <c r="O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</row>
    <row r="1127" spans="15:33">
      <c r="O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</row>
    <row r="1128" spans="15:33">
      <c r="O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</row>
    <row r="1129" spans="15:33">
      <c r="O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</row>
    <row r="1130" spans="15:33">
      <c r="O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</row>
    <row r="1131" spans="15:33">
      <c r="O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</row>
    <row r="1132" spans="15:33">
      <c r="O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</row>
    <row r="1133" spans="15:33">
      <c r="O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</row>
    <row r="1134" spans="15:33">
      <c r="O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</row>
    <row r="1135" spans="15:33">
      <c r="O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</row>
    <row r="1136" spans="15:33">
      <c r="O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</row>
    <row r="1137" spans="15:33">
      <c r="O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</row>
    <row r="1138" spans="15:33">
      <c r="O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</row>
    <row r="1139" spans="15:33">
      <c r="O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</row>
    <row r="1140" spans="15:33">
      <c r="O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</row>
    <row r="1141" spans="15:33">
      <c r="O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</row>
    <row r="1142" spans="15:33">
      <c r="O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</row>
    <row r="1143" spans="15:33">
      <c r="O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</row>
    <row r="1144" spans="15:33">
      <c r="O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</row>
    <row r="1145" spans="15:33">
      <c r="O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</row>
    <row r="1146" spans="15:33">
      <c r="O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</row>
    <row r="1147" spans="15:33">
      <c r="O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</row>
    <row r="1148" spans="15:33">
      <c r="O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</row>
    <row r="1149" spans="15:33">
      <c r="O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</row>
    <row r="1150" spans="15:33">
      <c r="O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</row>
    <row r="1151" spans="15:33">
      <c r="O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</row>
    <row r="1152" spans="15:33">
      <c r="O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</row>
    <row r="1153" spans="15:33">
      <c r="O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</row>
    <row r="1154" spans="15:33">
      <c r="O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</row>
    <row r="1155" spans="15:33">
      <c r="O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</row>
    <row r="1156" spans="15:33">
      <c r="O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</row>
    <row r="1157" spans="15:33">
      <c r="O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</row>
    <row r="1158" spans="15:33">
      <c r="O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</row>
    <row r="1159" spans="15:33">
      <c r="O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</row>
    <row r="1160" spans="15:33">
      <c r="O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</row>
    <row r="1161" spans="15:33">
      <c r="O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</row>
    <row r="1162" spans="15:33">
      <c r="O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</row>
    <row r="1163" spans="15:33">
      <c r="O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</row>
    <row r="1164" spans="15:33">
      <c r="O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</row>
    <row r="1165" spans="15:33">
      <c r="O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</row>
    <row r="1166" spans="15:33">
      <c r="O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</row>
    <row r="1167" spans="15:33">
      <c r="O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</row>
    <row r="1168" spans="15:33">
      <c r="O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</row>
    <row r="1169" spans="15:33">
      <c r="O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</row>
    <row r="1170" spans="15:33">
      <c r="O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</row>
    <row r="1171" spans="15:33">
      <c r="O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</row>
    <row r="1172" spans="15:33">
      <c r="O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</row>
    <row r="1173" spans="15:33">
      <c r="O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</row>
    <row r="1174" spans="15:33">
      <c r="O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</row>
    <row r="1175" spans="15:33">
      <c r="O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</row>
    <row r="1176" spans="15:33">
      <c r="O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</row>
    <row r="1177" spans="15:33">
      <c r="O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</row>
    <row r="1178" spans="15:33">
      <c r="O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</row>
    <row r="1179" spans="15:33">
      <c r="O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</row>
    <row r="1180" spans="15:33">
      <c r="O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</row>
    <row r="1181" spans="15:33">
      <c r="O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</row>
    <row r="1182" spans="15:33">
      <c r="O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</row>
    <row r="1183" spans="15:33">
      <c r="O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</row>
    <row r="1184" spans="15:33">
      <c r="O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</row>
    <row r="1185" spans="15:33">
      <c r="O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</row>
    <row r="1186" spans="15:33">
      <c r="O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</row>
    <row r="1187" spans="15:33">
      <c r="O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</row>
    <row r="1188" spans="15:33">
      <c r="O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</row>
    <row r="1189" spans="15:33">
      <c r="O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</row>
    <row r="1190" spans="15:33">
      <c r="O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</row>
    <row r="1191" spans="15:33">
      <c r="O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</row>
    <row r="1192" spans="15:33">
      <c r="O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</row>
    <row r="1193" spans="15:33">
      <c r="O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</row>
    <row r="1194" spans="15:33">
      <c r="O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</row>
    <row r="1195" spans="15:33">
      <c r="O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</row>
    <row r="1196" spans="15:33">
      <c r="O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</row>
    <row r="1197" spans="15:33">
      <c r="O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</row>
    <row r="1198" spans="15:33">
      <c r="O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</row>
    <row r="1199" spans="15:33">
      <c r="O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</row>
    <row r="1200" spans="15:33">
      <c r="O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</row>
    <row r="1201" spans="15:33">
      <c r="O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</row>
    <row r="1202" spans="15:33">
      <c r="O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</row>
    <row r="1203" spans="15:33">
      <c r="O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</row>
    <row r="1204" spans="15:33">
      <c r="O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</row>
    <row r="1205" spans="15:33">
      <c r="O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</row>
    <row r="1206" spans="15:33">
      <c r="O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</row>
    <row r="1207" spans="15:33">
      <c r="O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</row>
    <row r="1208" spans="15:33">
      <c r="O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</row>
    <row r="1209" spans="15:33">
      <c r="O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</row>
    <row r="1210" spans="15:33">
      <c r="O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</row>
    <row r="1211" spans="15:33">
      <c r="O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</row>
    <row r="1212" spans="15:33">
      <c r="O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</row>
    <row r="1213" spans="15:33">
      <c r="O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</row>
    <row r="1214" spans="15:33">
      <c r="O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</row>
    <row r="1215" spans="15:33">
      <c r="O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</row>
    <row r="1216" spans="15:33">
      <c r="O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</row>
    <row r="1217" spans="15:33">
      <c r="O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</row>
    <row r="1218" spans="15:33">
      <c r="O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</row>
    <row r="1219" spans="15:33">
      <c r="O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</row>
    <row r="1220" spans="15:33">
      <c r="O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</row>
    <row r="1221" spans="15:33">
      <c r="O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</row>
    <row r="1222" spans="15:33">
      <c r="O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</row>
    <row r="1223" spans="15:33">
      <c r="O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</row>
    <row r="1224" spans="15:33">
      <c r="O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</row>
    <row r="1225" spans="15:33">
      <c r="O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</row>
    <row r="1226" spans="15:33">
      <c r="O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</row>
    <row r="1227" spans="15:33">
      <c r="O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</row>
    <row r="1228" spans="15:33">
      <c r="O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</row>
    <row r="1229" spans="15:33">
      <c r="O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</row>
    <row r="1230" spans="15:33">
      <c r="O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</row>
    <row r="1231" spans="15:33">
      <c r="O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</row>
    <row r="1232" spans="15:33">
      <c r="O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</row>
    <row r="1233" spans="15:33">
      <c r="O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</row>
    <row r="1234" spans="15:33">
      <c r="O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</row>
    <row r="1235" spans="15:33">
      <c r="O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</row>
    <row r="1236" spans="15:33">
      <c r="O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</row>
    <row r="1237" spans="15:33">
      <c r="O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</row>
    <row r="1238" spans="15:33">
      <c r="O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</row>
    <row r="1239" spans="15:33">
      <c r="O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</row>
    <row r="1240" spans="15:33">
      <c r="O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</row>
    <row r="1241" spans="15:33">
      <c r="O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</row>
    <row r="1242" spans="15:33">
      <c r="O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</row>
    <row r="1243" spans="15:33">
      <c r="O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</row>
    <row r="1244" spans="15:33">
      <c r="O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</row>
    <row r="1245" spans="15:33">
      <c r="O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</row>
    <row r="1246" spans="15:33">
      <c r="O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</row>
    <row r="1247" spans="15:33">
      <c r="O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</row>
    <row r="1248" spans="15:33">
      <c r="O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</row>
    <row r="1249" spans="15:33">
      <c r="O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</row>
    <row r="1250" spans="15:33">
      <c r="O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</row>
    <row r="1251" spans="15:33">
      <c r="O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</row>
    <row r="1252" spans="15:33">
      <c r="O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</row>
    <row r="1253" spans="15:33">
      <c r="O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</row>
    <row r="1254" spans="15:33">
      <c r="O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</row>
    <row r="1255" spans="15:33">
      <c r="O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</row>
    <row r="1256" spans="15:33">
      <c r="O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</row>
    <row r="1257" spans="15:33">
      <c r="O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</row>
    <row r="1258" spans="15:33">
      <c r="O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</row>
    <row r="1259" spans="15:33">
      <c r="O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</row>
    <row r="1260" spans="15:33">
      <c r="O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</row>
    <row r="1261" spans="15:33">
      <c r="O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</row>
    <row r="1262" spans="15:33">
      <c r="O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</row>
    <row r="1263" spans="15:33">
      <c r="O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</row>
    <row r="1264" spans="15:33">
      <c r="O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</row>
    <row r="1265" spans="15:33">
      <c r="O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</row>
    <row r="1266" spans="15:33">
      <c r="O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</row>
    <row r="1267" spans="15:33">
      <c r="O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</row>
    <row r="1268" spans="15:33">
      <c r="O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</row>
    <row r="1269" spans="15:33">
      <c r="O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</row>
    <row r="1270" spans="15:33">
      <c r="O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</row>
    <row r="1271" spans="15:33">
      <c r="O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</row>
    <row r="1272" spans="15:33">
      <c r="O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</row>
    <row r="1273" spans="15:33">
      <c r="O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</row>
    <row r="1274" spans="15:33">
      <c r="O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</row>
    <row r="1275" spans="15:33">
      <c r="O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</row>
    <row r="1276" spans="15:33">
      <c r="O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</row>
    <row r="1277" spans="15:33">
      <c r="O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</row>
    <row r="1278" spans="15:33">
      <c r="O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</row>
    <row r="1279" spans="15:33">
      <c r="O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</row>
    <row r="1280" spans="15:33">
      <c r="O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</row>
    <row r="1281" spans="15:33">
      <c r="O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</row>
    <row r="1282" spans="15:33">
      <c r="O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</row>
    <row r="1283" spans="15:33">
      <c r="O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</row>
    <row r="1284" spans="15:33">
      <c r="O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</row>
    <row r="1285" spans="15:33">
      <c r="O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</row>
    <row r="1286" spans="15:33">
      <c r="O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</row>
    <row r="1287" spans="15:33">
      <c r="O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</row>
    <row r="1288" spans="15:33">
      <c r="O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</row>
    <row r="1289" spans="15:33">
      <c r="O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</row>
    <row r="1290" spans="15:33">
      <c r="O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</row>
    <row r="1291" spans="15:33">
      <c r="O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</row>
    <row r="1292" spans="15:33">
      <c r="O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</row>
    <row r="1293" spans="15:33">
      <c r="O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</row>
    <row r="1294" spans="15:33">
      <c r="O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</row>
    <row r="1295" spans="15:33">
      <c r="O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</row>
    <row r="1296" spans="15:33">
      <c r="O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</row>
    <row r="1297" spans="15:33">
      <c r="O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</row>
    <row r="1298" spans="15:33">
      <c r="O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</row>
    <row r="1299" spans="15:33">
      <c r="O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</row>
    <row r="1300" spans="15:33">
      <c r="O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</row>
    <row r="1301" spans="15:33">
      <c r="O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</row>
    <row r="1302" spans="15:33">
      <c r="O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</row>
    <row r="1303" spans="15:33">
      <c r="O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</row>
    <row r="1304" spans="15:33">
      <c r="O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</row>
    <row r="1305" spans="15:33">
      <c r="O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</row>
    <row r="1306" spans="15:33">
      <c r="O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</row>
    <row r="1307" spans="15:33">
      <c r="O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</row>
    <row r="1308" spans="15:33">
      <c r="O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</row>
    <row r="1309" spans="15:33">
      <c r="O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</row>
    <row r="1310" spans="15:33">
      <c r="O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</row>
    <row r="1311" spans="15:33">
      <c r="O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</row>
    <row r="1312" spans="15:33">
      <c r="O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</row>
    <row r="1313" spans="15:33">
      <c r="O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</row>
    <row r="1314" spans="15:33">
      <c r="O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</row>
    <row r="1315" spans="15:33">
      <c r="O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</row>
    <row r="1316" spans="15:33">
      <c r="O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</row>
    <row r="1317" spans="15:33">
      <c r="O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</row>
    <row r="1318" spans="15:33">
      <c r="O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</row>
    <row r="1319" spans="15:33">
      <c r="O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</row>
    <row r="1320" spans="15:33">
      <c r="O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</row>
    <row r="1321" spans="15:33">
      <c r="O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</row>
    <row r="1322" spans="15:33">
      <c r="O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</row>
    <row r="1323" spans="15:33">
      <c r="O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</row>
    <row r="1324" spans="15:33">
      <c r="O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</row>
    <row r="1325" spans="15:33">
      <c r="O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</row>
    <row r="1326" spans="15:33">
      <c r="O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</row>
    <row r="1327" spans="15:33">
      <c r="O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</row>
    <row r="1328" spans="15:33">
      <c r="O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</row>
    <row r="1329" spans="15:33">
      <c r="O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</row>
    <row r="1330" spans="15:33">
      <c r="O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</row>
    <row r="1331" spans="15:33">
      <c r="O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</row>
    <row r="1332" spans="15:33">
      <c r="O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</row>
    <row r="1333" spans="15:33">
      <c r="O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</row>
    <row r="1334" spans="15:33">
      <c r="O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</row>
    <row r="1335" spans="15:33">
      <c r="O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</row>
    <row r="1336" spans="15:33">
      <c r="O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</row>
    <row r="1337" spans="15:33">
      <c r="O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</row>
    <row r="1338" spans="15:33">
      <c r="O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</row>
    <row r="1339" spans="15:33">
      <c r="O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</row>
    <row r="1340" spans="15:33">
      <c r="O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</row>
    <row r="1341" spans="15:33">
      <c r="O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</row>
    <row r="1342" spans="15:33">
      <c r="O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</row>
    <row r="1343" spans="15:33">
      <c r="O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</row>
    <row r="1344" spans="15:33">
      <c r="O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</row>
    <row r="1345" spans="15:33">
      <c r="O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</row>
    <row r="1346" spans="15:33">
      <c r="O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</row>
    <row r="1347" spans="15:33">
      <c r="O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</row>
    <row r="1348" spans="15:33">
      <c r="O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</row>
    <row r="1349" spans="15:33">
      <c r="O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</row>
    <row r="1350" spans="15:33">
      <c r="O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</row>
    <row r="1351" spans="15:33">
      <c r="O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</row>
    <row r="1352" spans="15:33">
      <c r="O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</row>
    <row r="1353" spans="15:33">
      <c r="O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</row>
    <row r="1354" spans="15:33">
      <c r="O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</row>
    <row r="1355" spans="15:33">
      <c r="O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</row>
    <row r="1356" spans="15:33">
      <c r="O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</row>
    <row r="1357" spans="15:33">
      <c r="O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</row>
    <row r="1358" spans="15:33">
      <c r="O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</row>
    <row r="1359" spans="15:33">
      <c r="O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</row>
    <row r="1360" spans="15:33">
      <c r="O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</row>
    <row r="1361" spans="15:33">
      <c r="O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</row>
    <row r="1362" spans="15:33">
      <c r="O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</row>
    <row r="1363" spans="15:33">
      <c r="O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</row>
    <row r="1364" spans="15:33">
      <c r="O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</row>
    <row r="1365" spans="15:33">
      <c r="O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</row>
    <row r="1366" spans="15:33">
      <c r="O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</row>
    <row r="1367" spans="15:33">
      <c r="O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</row>
    <row r="1368" spans="15:33">
      <c r="O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</row>
    <row r="1369" spans="15:33">
      <c r="O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</row>
    <row r="1370" spans="15:33">
      <c r="O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</row>
    <row r="1371" spans="15:33">
      <c r="O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</row>
    <row r="1372" spans="15:33">
      <c r="O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</row>
    <row r="1373" spans="15:33">
      <c r="O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</row>
    <row r="1374" spans="15:33">
      <c r="O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</row>
    <row r="1375" spans="15:33">
      <c r="O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</row>
    <row r="1376" spans="15:33">
      <c r="O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</row>
    <row r="1377" spans="15:33">
      <c r="O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</row>
    <row r="1378" spans="15:33">
      <c r="O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</row>
    <row r="1379" spans="15:33">
      <c r="O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</row>
    <row r="1380" spans="15:33">
      <c r="O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</row>
    <row r="1381" spans="15:33">
      <c r="O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</row>
    <row r="1382" spans="15:33">
      <c r="O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</row>
    <row r="1383" spans="15:33">
      <c r="O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</row>
    <row r="1384" spans="15:33">
      <c r="O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</row>
    <row r="1385" spans="15:33">
      <c r="O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</row>
    <row r="1386" spans="15:33">
      <c r="O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</row>
    <row r="1387" spans="15:33">
      <c r="O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</row>
    <row r="1388" spans="15:33">
      <c r="O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</row>
    <row r="1389" spans="15:33">
      <c r="O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</row>
    <row r="1390" spans="15:33">
      <c r="O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</row>
    <row r="1391" spans="15:33">
      <c r="O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</row>
    <row r="1392" spans="15:33">
      <c r="O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</row>
    <row r="1393" spans="15:33">
      <c r="O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</row>
    <row r="1394" spans="15:33">
      <c r="O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</row>
    <row r="1395" spans="15:33">
      <c r="O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</row>
    <row r="1396" spans="15:33">
      <c r="O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</row>
    <row r="1397" spans="15:33">
      <c r="O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</row>
    <row r="1398" spans="15:33">
      <c r="O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</row>
    <row r="1399" spans="15:33">
      <c r="O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</row>
    <row r="1400" spans="15:33">
      <c r="O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</row>
    <row r="1401" spans="15:33">
      <c r="O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</row>
    <row r="1402" spans="15:33">
      <c r="O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</row>
    <row r="1403" spans="15:33">
      <c r="O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</row>
    <row r="1404" spans="15:33">
      <c r="O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</row>
    <row r="1405" spans="15:33">
      <c r="O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</row>
    <row r="1406" spans="15:33">
      <c r="O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</row>
    <row r="1407" spans="15:33">
      <c r="O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</row>
    <row r="1408" spans="15:33">
      <c r="O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</row>
    <row r="1409" spans="15:33">
      <c r="O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</row>
    <row r="1410" spans="15:33">
      <c r="O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</row>
    <row r="1411" spans="15:33">
      <c r="O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</row>
    <row r="1412" spans="15:33">
      <c r="O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</row>
    <row r="1413" spans="15:33">
      <c r="O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</row>
    <row r="1414" spans="15:33">
      <c r="O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</row>
    <row r="1415" spans="15:33">
      <c r="O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</row>
    <row r="1416" spans="15:33">
      <c r="O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</row>
    <row r="1417" spans="15:33">
      <c r="O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</row>
    <row r="1418" spans="15:33">
      <c r="O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</row>
    <row r="1419" spans="15:33">
      <c r="O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</row>
    <row r="1420" spans="15:33">
      <c r="O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</row>
    <row r="1421" spans="15:33">
      <c r="O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</row>
    <row r="1422" spans="15:33">
      <c r="O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</row>
    <row r="1423" spans="15:33">
      <c r="O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</row>
    <row r="1424" spans="15:33">
      <c r="O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</row>
    <row r="1425" spans="15:33">
      <c r="O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</row>
    <row r="1426" spans="15:33">
      <c r="O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</row>
    <row r="1427" spans="15:33">
      <c r="O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</row>
    <row r="1428" spans="15:33">
      <c r="O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</row>
    <row r="1429" spans="15:33">
      <c r="O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</row>
    <row r="1430" spans="15:33">
      <c r="O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</row>
    <row r="1431" spans="15:33">
      <c r="O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</row>
    <row r="1432" spans="15:33">
      <c r="O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</row>
    <row r="1433" spans="15:33">
      <c r="O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</row>
    <row r="1434" spans="15:33">
      <c r="O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</row>
    <row r="1435" spans="15:33">
      <c r="O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</row>
    <row r="1436" spans="15:33">
      <c r="O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</row>
    <row r="1437" spans="15:33">
      <c r="O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</row>
    <row r="1438" spans="15:33">
      <c r="O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</row>
    <row r="1439" spans="15:33">
      <c r="O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</row>
    <row r="1440" spans="15:33">
      <c r="O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</row>
    <row r="1441" spans="15:33">
      <c r="O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</row>
    <row r="1442" spans="15:33">
      <c r="O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</row>
    <row r="1443" spans="15:33">
      <c r="O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</row>
    <row r="1444" spans="15:33">
      <c r="O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</row>
    <row r="1445" spans="15:33">
      <c r="O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</row>
    <row r="1446" spans="15:33">
      <c r="O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</row>
    <row r="1447" spans="15:33">
      <c r="O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</row>
    <row r="1448" spans="15:33">
      <c r="O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</row>
    <row r="1449" spans="15:33">
      <c r="O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</row>
    <row r="1450" spans="15:33">
      <c r="O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</row>
    <row r="1451" spans="15:33">
      <c r="O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</row>
    <row r="1452" spans="15:33">
      <c r="O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</row>
    <row r="1453" spans="15:33">
      <c r="O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</row>
    <row r="1454" spans="15:33">
      <c r="O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</row>
    <row r="1455" spans="15:33">
      <c r="O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</row>
    <row r="1456" spans="15:33">
      <c r="O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</row>
    <row r="1457" spans="15:33">
      <c r="O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</row>
    <row r="1458" spans="15:33">
      <c r="O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</row>
    <row r="1459" spans="15:33">
      <c r="O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</row>
    <row r="1460" spans="15:33">
      <c r="O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</row>
    <row r="1461" spans="15:33">
      <c r="O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</row>
    <row r="1462" spans="15:33">
      <c r="O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</row>
    <row r="1463" spans="15:33">
      <c r="O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</row>
    <row r="1464" spans="15:33">
      <c r="O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</row>
    <row r="1465" spans="15:33">
      <c r="O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</row>
    <row r="1466" spans="15:33">
      <c r="O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</row>
    <row r="1467" spans="15:33">
      <c r="O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</row>
    <row r="1468" spans="15:33">
      <c r="O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</row>
    <row r="1469" spans="15:33">
      <c r="O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</row>
    <row r="1470" spans="15:33">
      <c r="O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</row>
    <row r="1471" spans="15:33">
      <c r="O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</row>
    <row r="1472" spans="15:33">
      <c r="O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</row>
    <row r="1473" spans="15:33">
      <c r="O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</row>
    <row r="1474" spans="15:33">
      <c r="O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</row>
    <row r="1475" spans="15:33">
      <c r="O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</row>
    <row r="1476" spans="15:33">
      <c r="O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</row>
    <row r="1477" spans="15:33">
      <c r="O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</row>
    <row r="1478" spans="15:33">
      <c r="O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</row>
    <row r="1479" spans="15:33">
      <c r="O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</row>
    <row r="1480" spans="15:33">
      <c r="O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</row>
    <row r="1481" spans="15:33">
      <c r="O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</row>
    <row r="1482" spans="15:33">
      <c r="O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</row>
    <row r="1483" spans="15:33">
      <c r="O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</row>
    <row r="1484" spans="15:33">
      <c r="O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</row>
    <row r="1485" spans="15:33">
      <c r="O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</row>
    <row r="1486" spans="15:33">
      <c r="O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</row>
    <row r="1487" spans="15:33">
      <c r="O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</row>
    <row r="1488" spans="15:33">
      <c r="O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</row>
    <row r="1489" spans="15:33">
      <c r="O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</row>
    <row r="1490" spans="15:33">
      <c r="O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</row>
    <row r="1491" spans="15:33">
      <c r="O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</row>
    <row r="1492" spans="15:33">
      <c r="O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</row>
    <row r="1493" spans="15:33">
      <c r="O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</row>
    <row r="1494" spans="15:33">
      <c r="O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</row>
    <row r="1495" spans="15:33">
      <c r="O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</row>
    <row r="1496" spans="15:33">
      <c r="O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</row>
    <row r="1497" spans="15:33">
      <c r="O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</row>
    <row r="1498" spans="15:33">
      <c r="O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</row>
    <row r="1499" spans="15:33">
      <c r="O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</row>
    <row r="1500" spans="15:33">
      <c r="O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</row>
    <row r="1501" spans="15:33">
      <c r="O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</row>
    <row r="1502" spans="15:33">
      <c r="O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</row>
    <row r="1503" spans="15:33">
      <c r="O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</row>
    <row r="1504" spans="15:33">
      <c r="O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</row>
    <row r="1505" spans="15:33">
      <c r="O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</row>
    <row r="1506" spans="15:33">
      <c r="O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</row>
    <row r="1507" spans="15:33">
      <c r="O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</row>
    <row r="1508" spans="15:33">
      <c r="O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</row>
    <row r="1509" spans="15:33">
      <c r="O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</row>
    <row r="1510" spans="15:33">
      <c r="O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</row>
    <row r="1511" spans="15:33">
      <c r="O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</row>
    <row r="1512" spans="15:33">
      <c r="O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</row>
    <row r="1513" spans="15:33">
      <c r="O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</row>
    <row r="1514" spans="15:33">
      <c r="O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</row>
    <row r="1515" spans="15:33">
      <c r="O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</row>
    <row r="1516" spans="15:33">
      <c r="O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</row>
    <row r="1517" spans="15:33">
      <c r="O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</row>
    <row r="1518" spans="15:33">
      <c r="O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</row>
    <row r="1519" spans="15:33">
      <c r="O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</row>
    <row r="1520" spans="15:33">
      <c r="O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</row>
    <row r="1521" spans="15:33">
      <c r="O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</row>
    <row r="1522" spans="15:33">
      <c r="O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</row>
    <row r="1523" spans="15:33">
      <c r="O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</row>
    <row r="1524" spans="15:33">
      <c r="O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</row>
    <row r="1525" spans="15:33">
      <c r="O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</row>
    <row r="1526" spans="15:33">
      <c r="O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</row>
    <row r="1527" spans="15:33">
      <c r="O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</row>
    <row r="1528" spans="15:33">
      <c r="O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</row>
    <row r="1529" spans="15:33">
      <c r="O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</row>
    <row r="1530" spans="15:33">
      <c r="O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</row>
    <row r="1531" spans="15:33">
      <c r="O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</row>
    <row r="1532" spans="15:33">
      <c r="O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</row>
    <row r="1533" spans="15:33">
      <c r="O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</row>
    <row r="1534" spans="15:33">
      <c r="O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</row>
    <row r="1535" spans="15:33">
      <c r="O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</row>
    <row r="1536" spans="15:33">
      <c r="O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</row>
    <row r="1537" spans="15:33">
      <c r="O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</row>
    <row r="1538" spans="15:33">
      <c r="O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</row>
    <row r="1539" spans="15:33">
      <c r="O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</row>
    <row r="1540" spans="15:33">
      <c r="O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</row>
    <row r="1541" spans="15:33">
      <c r="O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</row>
    <row r="1542" spans="15:33">
      <c r="O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</row>
    <row r="1543" spans="15:33">
      <c r="O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</row>
    <row r="1544" spans="15:33">
      <c r="O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</row>
    <row r="1545" spans="15:33">
      <c r="O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</row>
    <row r="1546" spans="15:33">
      <c r="O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</row>
    <row r="1547" spans="15:33">
      <c r="O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</row>
    <row r="1548" spans="15:33">
      <c r="O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</row>
    <row r="1549" spans="15:33">
      <c r="O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</row>
    <row r="1550" spans="15:33">
      <c r="O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</row>
    <row r="1551" spans="15:33">
      <c r="O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</row>
    <row r="1552" spans="15:33">
      <c r="O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</row>
    <row r="1553" spans="15:33">
      <c r="O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</row>
    <row r="1554" spans="15:33">
      <c r="O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</row>
    <row r="1555" spans="15:33">
      <c r="O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</row>
    <row r="1556" spans="15:33">
      <c r="O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</row>
    <row r="1557" spans="15:33">
      <c r="O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</row>
    <row r="1558" spans="15:33">
      <c r="O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</row>
    <row r="1559" spans="15:33">
      <c r="O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</row>
    <row r="1560" spans="15:33">
      <c r="O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</row>
    <row r="1561" spans="15:33">
      <c r="O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</row>
    <row r="1562" spans="15:33">
      <c r="O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</row>
    <row r="1563" spans="15:33">
      <c r="O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</row>
    <row r="1564" spans="15:33">
      <c r="O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</row>
    <row r="1565" spans="15:33">
      <c r="O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</row>
    <row r="1566" spans="15:33">
      <c r="O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</row>
    <row r="1567" spans="15:33">
      <c r="O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</row>
    <row r="1568" spans="15:33">
      <c r="O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</row>
    <row r="1569" spans="15:33">
      <c r="O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</row>
    <row r="1570" spans="15:33">
      <c r="O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</row>
    <row r="1571" spans="15:33">
      <c r="O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</row>
    <row r="1572" spans="15:33">
      <c r="O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</row>
    <row r="1573" spans="15:33">
      <c r="O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</row>
    <row r="1574" spans="15:33">
      <c r="O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</row>
    <row r="1575" spans="15:33">
      <c r="O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</row>
    <row r="1576" spans="15:33">
      <c r="O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</row>
    <row r="1577" spans="15:33">
      <c r="O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</row>
    <row r="1578" spans="15:33">
      <c r="O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</row>
    <row r="1579" spans="15:33">
      <c r="O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</row>
    <row r="1580" spans="15:33">
      <c r="O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</row>
    <row r="1581" spans="15:33">
      <c r="O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</row>
    <row r="1582" spans="15:33">
      <c r="O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</row>
    <row r="1583" spans="15:33">
      <c r="O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</row>
    <row r="1584" spans="15:33">
      <c r="O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</row>
    <row r="1585" spans="15:33">
      <c r="O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</row>
    <row r="1586" spans="15:33">
      <c r="O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</row>
    <row r="1587" spans="15:33">
      <c r="O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</row>
    <row r="1588" spans="15:33">
      <c r="O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</row>
    <row r="1589" spans="15:33">
      <c r="O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</row>
    <row r="1590" spans="15:33">
      <c r="O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</row>
    <row r="1591" spans="15:33">
      <c r="O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</row>
    <row r="1592" spans="15:33">
      <c r="O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</row>
    <row r="1593" spans="15:33">
      <c r="O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</row>
    <row r="1594" spans="15:33">
      <c r="O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</row>
    <row r="1595" spans="15:33">
      <c r="O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</row>
    <row r="1596" spans="15:33">
      <c r="O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</row>
    <row r="1597" spans="15:33">
      <c r="O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</row>
    <row r="1598" spans="15:33">
      <c r="O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</row>
    <row r="1599" spans="15:33">
      <c r="O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</row>
    <row r="1600" spans="15:33">
      <c r="O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</row>
    <row r="1601" spans="15:33">
      <c r="O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</row>
    <row r="1602" spans="15:33">
      <c r="O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</row>
    <row r="1603" spans="15:33">
      <c r="O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</row>
    <row r="1604" spans="15:33">
      <c r="O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</row>
    <row r="1605" spans="15:33">
      <c r="O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</row>
    <row r="1606" spans="15:33">
      <c r="O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</row>
    <row r="1607" spans="15:33">
      <c r="O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</row>
    <row r="1608" spans="15:33">
      <c r="O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</row>
    <row r="1609" spans="15:33">
      <c r="O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</row>
    <row r="1610" spans="15:33">
      <c r="O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</row>
    <row r="1611" spans="15:33">
      <c r="O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</row>
    <row r="1612" spans="15:33">
      <c r="O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</row>
    <row r="1613" spans="15:33">
      <c r="O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</row>
    <row r="1614" spans="15:33">
      <c r="O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</row>
    <row r="1615" spans="15:33">
      <c r="O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</row>
    <row r="1616" spans="15:33">
      <c r="O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</row>
    <row r="1617" spans="15:33">
      <c r="O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</row>
    <row r="1618" spans="15:33">
      <c r="O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</row>
    <row r="1619" spans="15:33">
      <c r="O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</row>
    <row r="1620" spans="15:33">
      <c r="O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</row>
    <row r="1621" spans="15:33">
      <c r="O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</row>
    <row r="1622" spans="15:33">
      <c r="O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</row>
    <row r="1623" spans="15:33">
      <c r="O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</row>
    <row r="1624" spans="15:33">
      <c r="O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</row>
    <row r="1625" spans="15:33">
      <c r="O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</row>
    <row r="1626" spans="15:33">
      <c r="O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</row>
    <row r="1627" spans="15:33">
      <c r="O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</row>
    <row r="1628" spans="15:33">
      <c r="O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</row>
    <row r="1629" spans="15:33">
      <c r="O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</row>
    <row r="1630" spans="15:33">
      <c r="O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</row>
    <row r="1631" spans="15:33">
      <c r="O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</row>
    <row r="1632" spans="15:33">
      <c r="O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</row>
    <row r="1633" spans="15:33">
      <c r="O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</row>
    <row r="1634" spans="15:33">
      <c r="O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</row>
    <row r="1635" spans="15:33">
      <c r="O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</row>
    <row r="1636" spans="15:33">
      <c r="O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</row>
    <row r="1637" spans="15:33">
      <c r="O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</row>
    <row r="1638" spans="15:33">
      <c r="O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</row>
    <row r="1639" spans="15:33">
      <c r="O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</row>
    <row r="1640" spans="15:33">
      <c r="O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</row>
    <row r="1641" spans="15:33">
      <c r="O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</row>
    <row r="1642" spans="15:33">
      <c r="O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</row>
    <row r="1643" spans="15:33">
      <c r="O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</row>
    <row r="1644" spans="15:33">
      <c r="O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</row>
    <row r="1645" spans="15:33">
      <c r="O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</row>
    <row r="1646" spans="15:33">
      <c r="O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</row>
    <row r="1647" spans="15:33">
      <c r="O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</row>
    <row r="1648" spans="15:33">
      <c r="O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</row>
    <row r="1649" spans="15:33">
      <c r="O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</row>
    <row r="1650" spans="15:33">
      <c r="O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</row>
    <row r="1651" spans="15:33">
      <c r="O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</row>
    <row r="1652" spans="15:33">
      <c r="O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</row>
    <row r="1653" spans="15:33">
      <c r="O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</row>
    <row r="1654" spans="15:33">
      <c r="O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</row>
    <row r="1655" spans="15:33">
      <c r="O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</row>
    <row r="1656" spans="15:33">
      <c r="O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</row>
    <row r="1657" spans="15:33">
      <c r="O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</row>
    <row r="1658" spans="15:33">
      <c r="O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</row>
    <row r="1659" spans="15:33">
      <c r="O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</row>
    <row r="1660" spans="15:33">
      <c r="O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</row>
    <row r="1661" spans="15:33">
      <c r="O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</row>
    <row r="1662" spans="15:33">
      <c r="O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</row>
    <row r="1663" spans="15:33">
      <c r="O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</row>
    <row r="1664" spans="15:33">
      <c r="O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</row>
    <row r="1665" spans="15:33">
      <c r="O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</row>
    <row r="1666" spans="15:33">
      <c r="O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</row>
    <row r="1667" spans="15:33">
      <c r="O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</row>
    <row r="1668" spans="15:33">
      <c r="O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</row>
    <row r="1669" spans="15:33">
      <c r="O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</row>
    <row r="1670" spans="15:33">
      <c r="O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</row>
    <row r="1671" spans="15:33">
      <c r="O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</row>
    <row r="1672" spans="15:33">
      <c r="O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</row>
    <row r="1673" spans="15:33">
      <c r="O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</row>
    <row r="1674" spans="15:33">
      <c r="O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</row>
    <row r="1675" spans="15:33">
      <c r="O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</row>
    <row r="1676" spans="15:33">
      <c r="O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</row>
    <row r="1677" spans="15:33">
      <c r="O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</row>
    <row r="1678" spans="15:33">
      <c r="O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</row>
    <row r="1679" spans="15:33">
      <c r="O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</row>
    <row r="1680" spans="15:33">
      <c r="O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</row>
    <row r="1681" spans="15:33">
      <c r="O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</row>
    <row r="1682" spans="15:33">
      <c r="O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</row>
    <row r="1683" spans="15:33">
      <c r="O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</row>
    <row r="1684" spans="15:33">
      <c r="O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</row>
    <row r="1685" spans="15:33">
      <c r="O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</row>
    <row r="1686" spans="15:33">
      <c r="O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</row>
    <row r="1687" spans="15:33">
      <c r="O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</row>
    <row r="1688" spans="15:33">
      <c r="O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</row>
    <row r="1689" spans="15:33">
      <c r="O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</row>
    <row r="1690" spans="15:33">
      <c r="O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</row>
    <row r="1691" spans="15:33">
      <c r="O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</row>
    <row r="1692" spans="15:33">
      <c r="O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</row>
    <row r="1693" spans="15:33">
      <c r="O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</row>
    <row r="1694" spans="15:33">
      <c r="O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</row>
    <row r="1695" spans="15:33">
      <c r="O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</row>
    <row r="1696" spans="15:33">
      <c r="O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</row>
    <row r="1697" spans="15:33">
      <c r="O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</row>
    <row r="1698" spans="15:33">
      <c r="O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</row>
    <row r="1699" spans="15:33">
      <c r="O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</row>
    <row r="1700" spans="15:33">
      <c r="O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</row>
    <row r="1701" spans="15:33">
      <c r="O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</row>
    <row r="1702" spans="15:33">
      <c r="O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</row>
    <row r="1703" spans="15:33">
      <c r="O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</row>
    <row r="1704" spans="15:33">
      <c r="O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</row>
    <row r="1705" spans="15:33">
      <c r="O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</row>
    <row r="1706" spans="15:33">
      <c r="O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</row>
    <row r="1707" spans="15:33">
      <c r="O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</row>
    <row r="1708" spans="15:33">
      <c r="O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</row>
    <row r="1709" spans="15:33">
      <c r="O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</row>
    <row r="1710" spans="15:33">
      <c r="O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</row>
    <row r="1711" spans="15:33">
      <c r="O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</row>
    <row r="1712" spans="15:33">
      <c r="O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</row>
    <row r="1713" spans="15:33">
      <c r="O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</row>
    <row r="1714" spans="15:33">
      <c r="O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</row>
    <row r="1715" spans="15:33">
      <c r="O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</row>
    <row r="1716" spans="15:33">
      <c r="O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</row>
    <row r="1717" spans="15:33">
      <c r="O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</row>
    <row r="1718" spans="15:33">
      <c r="O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</row>
    <row r="1719" spans="15:33">
      <c r="O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</row>
    <row r="1720" spans="15:33">
      <c r="O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</row>
    <row r="1721" spans="15:33">
      <c r="O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</row>
    <row r="1722" spans="15:33">
      <c r="O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</row>
    <row r="1723" spans="15:33">
      <c r="O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</row>
    <row r="1724" spans="15:33">
      <c r="O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</row>
    <row r="1725" spans="15:33">
      <c r="O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</row>
    <row r="1726" spans="15:33">
      <c r="O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</row>
    <row r="1727" spans="15:33">
      <c r="O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</row>
    <row r="1728" spans="15:33">
      <c r="O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</row>
    <row r="1729" spans="15:33">
      <c r="O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</row>
    <row r="1730" spans="15:33">
      <c r="O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</row>
    <row r="1731" spans="15:33">
      <c r="O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</row>
    <row r="1732" spans="15:33">
      <c r="O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</row>
    <row r="1733" spans="15:33">
      <c r="O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</row>
    <row r="1734" spans="15:33">
      <c r="O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</row>
    <row r="1735" spans="15:33">
      <c r="O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</row>
    <row r="1736" spans="15:33">
      <c r="O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</row>
    <row r="1737" spans="15:33">
      <c r="O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</row>
    <row r="1738" spans="15:33">
      <c r="O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</row>
    <row r="1739" spans="15:33">
      <c r="O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</row>
    <row r="1740" spans="15:33">
      <c r="O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</row>
    <row r="1741" spans="15:33">
      <c r="O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</row>
    <row r="1742" spans="15:33">
      <c r="O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</row>
    <row r="1743" spans="15:33">
      <c r="O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</row>
    <row r="1744" spans="15:33">
      <c r="O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</row>
    <row r="1745" spans="15:33">
      <c r="O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</row>
    <row r="1746" spans="15:33">
      <c r="O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</row>
    <row r="1747" spans="15:33">
      <c r="O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</row>
    <row r="1748" spans="15:33">
      <c r="O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</row>
    <row r="1749" spans="15:33">
      <c r="O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</row>
    <row r="1750" spans="15:33">
      <c r="O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</row>
    <row r="1751" spans="15:33">
      <c r="O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</row>
    <row r="1752" spans="15:33">
      <c r="O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</row>
    <row r="1753" spans="15:33">
      <c r="O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</row>
    <row r="1754" spans="15:33">
      <c r="O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</row>
    <row r="1755" spans="15:33">
      <c r="O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</row>
    <row r="1756" spans="15:33">
      <c r="O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</row>
    <row r="1757" spans="15:33">
      <c r="O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</row>
    <row r="1758" spans="15:33">
      <c r="O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</row>
    <row r="1759" spans="15:33">
      <c r="O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</row>
    <row r="1760" spans="15:33">
      <c r="O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</row>
    <row r="1761" spans="15:33">
      <c r="O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</row>
    <row r="1762" spans="15:33">
      <c r="O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</row>
    <row r="1763" spans="15:33">
      <c r="O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</row>
    <row r="1764" spans="15:33">
      <c r="O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</row>
    <row r="1765" spans="15:33">
      <c r="O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</row>
    <row r="1766" spans="15:33">
      <c r="O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</row>
    <row r="1767" spans="15:33">
      <c r="O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</row>
    <row r="1768" spans="15:33">
      <c r="O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</row>
    <row r="1769" spans="15:33">
      <c r="O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</row>
    <row r="1770" spans="15:33">
      <c r="O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</row>
    <row r="1771" spans="15:33">
      <c r="O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</row>
    <row r="1772" spans="15:33">
      <c r="O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</row>
    <row r="1773" spans="15:33">
      <c r="O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</row>
    <row r="1774" spans="15:33">
      <c r="O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</row>
    <row r="1775" spans="15:33">
      <c r="O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</row>
    <row r="1776" spans="15:33">
      <c r="O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</row>
    <row r="1777" spans="15:33">
      <c r="O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</row>
    <row r="1778" spans="15:33">
      <c r="O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</row>
    <row r="1779" spans="15:33">
      <c r="O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</row>
    <row r="1780" spans="15:33">
      <c r="O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</row>
    <row r="1781" spans="15:33">
      <c r="O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</row>
    <row r="1782" spans="15:33">
      <c r="O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</row>
    <row r="1783" spans="15:33">
      <c r="O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</row>
    <row r="1784" spans="15:33">
      <c r="O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</row>
    <row r="1785" spans="15:33">
      <c r="O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</row>
    <row r="1786" spans="15:33">
      <c r="O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</row>
    <row r="1787" spans="15:33">
      <c r="O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</row>
    <row r="1788" spans="15:33">
      <c r="O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</row>
    <row r="1789" spans="15:33">
      <c r="O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</row>
    <row r="1790" spans="15:33">
      <c r="O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</row>
    <row r="1791" spans="15:33">
      <c r="O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</row>
    <row r="1792" spans="15:33">
      <c r="O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</row>
    <row r="1793" spans="15:33">
      <c r="O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</row>
    <row r="1794" spans="15:33">
      <c r="O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</row>
    <row r="1795" spans="15:33">
      <c r="O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</row>
    <row r="1796" spans="15:33">
      <c r="O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</row>
    <row r="1797" spans="15:33">
      <c r="O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</row>
    <row r="1798" spans="15:33">
      <c r="O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</row>
    <row r="1799" spans="15:33">
      <c r="O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</row>
    <row r="1800" spans="15:33">
      <c r="O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</row>
    <row r="1801" spans="15:33">
      <c r="O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</row>
    <row r="1802" spans="15:33">
      <c r="O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</row>
    <row r="1803" spans="15:33">
      <c r="O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</row>
    <row r="1804" spans="15:33">
      <c r="O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</row>
    <row r="1805" spans="15:33">
      <c r="O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</row>
    <row r="1806" spans="15:33">
      <c r="O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</row>
    <row r="1807" spans="15:33">
      <c r="O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</row>
    <row r="1808" spans="15:33">
      <c r="O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</row>
    <row r="1809" spans="15:33">
      <c r="O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</row>
    <row r="1810" spans="15:33">
      <c r="O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</row>
    <row r="1811" spans="15:33">
      <c r="O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</row>
    <row r="1812" spans="15:33">
      <c r="O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</row>
    <row r="1813" spans="15:33">
      <c r="O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</row>
    <row r="1814" spans="15:33">
      <c r="O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</row>
    <row r="1815" spans="15:33">
      <c r="O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</row>
    <row r="1816" spans="15:33">
      <c r="O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</row>
    <row r="1817" spans="15:33">
      <c r="O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</row>
    <row r="1818" spans="15:33">
      <c r="O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</row>
    <row r="1819" spans="15:33">
      <c r="O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</row>
    <row r="1820" spans="15:33">
      <c r="O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</row>
    <row r="1821" spans="15:33">
      <c r="O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</row>
    <row r="1822" spans="15:33">
      <c r="O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</row>
    <row r="1823" spans="15:33">
      <c r="O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</row>
    <row r="1824" spans="15:33">
      <c r="O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</row>
    <row r="1825" spans="15:33">
      <c r="O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</row>
    <row r="1826" spans="15:33">
      <c r="O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</row>
    <row r="1827" spans="15:33">
      <c r="O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</row>
    <row r="1828" spans="15:33">
      <c r="O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</row>
    <row r="1829" spans="15:33">
      <c r="O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</row>
    <row r="1830" spans="15:33">
      <c r="O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</row>
    <row r="1831" spans="15:33">
      <c r="O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</row>
    <row r="1832" spans="15:33">
      <c r="O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</row>
    <row r="1833" spans="15:33">
      <c r="O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</row>
    <row r="1834" spans="15:33">
      <c r="O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</row>
    <row r="1835" spans="15:33">
      <c r="O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</row>
    <row r="1836" spans="15:33">
      <c r="O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</row>
    <row r="1837" spans="15:33">
      <c r="O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</row>
    <row r="1838" spans="15:33">
      <c r="O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</row>
    <row r="1839" spans="15:33">
      <c r="O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</row>
    <row r="1840" spans="15:33">
      <c r="O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</row>
    <row r="1841" spans="15:33">
      <c r="O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</row>
    <row r="1842" spans="15:33">
      <c r="O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</row>
    <row r="1843" spans="15:33">
      <c r="O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</row>
    <row r="1844" spans="15:33">
      <c r="O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</row>
    <row r="1845" spans="15:33">
      <c r="O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</row>
    <row r="1846" spans="15:33">
      <c r="O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</row>
    <row r="1847" spans="15:33">
      <c r="O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</row>
    <row r="1848" spans="15:33">
      <c r="O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</row>
    <row r="1849" spans="15:33">
      <c r="O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</row>
    <row r="1850" spans="15:33">
      <c r="O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</row>
    <row r="1851" spans="15:33">
      <c r="O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</row>
    <row r="1852" spans="15:33">
      <c r="O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</row>
    <row r="1853" spans="15:33">
      <c r="O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</row>
    <row r="1854" spans="15:33">
      <c r="O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</row>
    <row r="1855" spans="15:33">
      <c r="O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</row>
    <row r="1856" spans="15:33">
      <c r="O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</row>
    <row r="1857" spans="15:33">
      <c r="O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</row>
    <row r="1858" spans="15:33">
      <c r="O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</row>
    <row r="1859" spans="15:33">
      <c r="O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</row>
    <row r="1860" spans="15:33">
      <c r="O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</row>
    <row r="1861" spans="15:33">
      <c r="O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</row>
    <row r="1862" spans="15:33">
      <c r="O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</row>
    <row r="1863" spans="15:33">
      <c r="O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</row>
    <row r="1864" spans="15:33">
      <c r="O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</row>
    <row r="1865" spans="15:33">
      <c r="O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</row>
    <row r="1866" spans="15:33">
      <c r="O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</row>
    <row r="1867" spans="15:33">
      <c r="O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</row>
    <row r="1868" spans="15:33">
      <c r="O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</row>
    <row r="1869" spans="15:33">
      <c r="O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</row>
    <row r="1870" spans="15:33">
      <c r="O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</row>
    <row r="1871" spans="15:33">
      <c r="O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</row>
    <row r="1872" spans="15:33">
      <c r="O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</row>
    <row r="1873" spans="15:33">
      <c r="O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</row>
    <row r="1874" spans="15:33">
      <c r="O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</row>
    <row r="1875" spans="15:33">
      <c r="O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</row>
    <row r="1876" spans="15:33">
      <c r="O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</row>
    <row r="1877" spans="15:33">
      <c r="O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</row>
    <row r="1878" spans="15:33">
      <c r="O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</row>
    <row r="1879" spans="15:33">
      <c r="O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</row>
    <row r="1880" spans="15:33">
      <c r="O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</row>
    <row r="1881" spans="15:33">
      <c r="O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</row>
    <row r="1882" spans="15:33">
      <c r="O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</row>
    <row r="1883" spans="15:33">
      <c r="O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</row>
    <row r="1884" spans="15:33">
      <c r="O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</row>
    <row r="1885" spans="15:33">
      <c r="O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</row>
    <row r="1886" spans="15:33">
      <c r="O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</row>
    <row r="1887" spans="15:33">
      <c r="O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</row>
    <row r="1888" spans="15:33">
      <c r="O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</row>
    <row r="1889" spans="15:33">
      <c r="O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</row>
    <row r="1890" spans="15:33">
      <c r="O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</row>
    <row r="1891" spans="15:33">
      <c r="O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</row>
    <row r="1892" spans="15:33">
      <c r="O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</row>
    <row r="1893" spans="15:33">
      <c r="O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</row>
    <row r="1894" spans="15:33">
      <c r="O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</row>
    <row r="1895" spans="15:33">
      <c r="O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</row>
    <row r="1896" spans="15:33">
      <c r="O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</row>
    <row r="1897" spans="15:33">
      <c r="O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</row>
    <row r="1898" spans="15:33">
      <c r="O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</row>
    <row r="1899" spans="15:33">
      <c r="O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</row>
    <row r="1900" spans="15:33">
      <c r="O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</row>
    <row r="1901" spans="15:33">
      <c r="O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</row>
    <row r="1902" spans="15:33">
      <c r="O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</row>
    <row r="1903" spans="15:33">
      <c r="O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</row>
    <row r="1904" spans="15:33">
      <c r="O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</row>
    <row r="1905" spans="15:33">
      <c r="O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</row>
    <row r="1906" spans="15:33">
      <c r="O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</row>
    <row r="1907" spans="15:33">
      <c r="O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</row>
    <row r="1908" spans="15:33">
      <c r="O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</row>
    <row r="1909" spans="15:33">
      <c r="O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</row>
    <row r="1910" spans="15:33">
      <c r="O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</row>
    <row r="1911" spans="15:33">
      <c r="O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</row>
    <row r="1912" spans="15:33">
      <c r="O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</row>
    <row r="1913" spans="15:33">
      <c r="O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</row>
    <row r="1914" spans="15:33">
      <c r="O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</row>
    <row r="1915" spans="15:33">
      <c r="O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</row>
    <row r="1916" spans="15:33">
      <c r="O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</row>
    <row r="1917" spans="15:33">
      <c r="O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</row>
    <row r="1918" spans="15:33">
      <c r="O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</row>
    <row r="1919" spans="15:33">
      <c r="O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</row>
    <row r="1920" spans="15:33">
      <c r="O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</row>
    <row r="1921" spans="15:33">
      <c r="O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</row>
    <row r="1922" spans="15:33">
      <c r="O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</row>
    <row r="1923" spans="15:33">
      <c r="O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</row>
    <row r="1924" spans="15:33">
      <c r="O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</row>
    <row r="1925" spans="15:33">
      <c r="O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</row>
    <row r="1926" spans="15:33">
      <c r="O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</row>
    <row r="1927" spans="15:33">
      <c r="O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</row>
    <row r="1928" spans="15:33">
      <c r="O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</row>
    <row r="1929" spans="15:33">
      <c r="O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</row>
    <row r="1930" spans="15:33">
      <c r="O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</row>
    <row r="1931" spans="15:33">
      <c r="O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</row>
    <row r="1932" spans="15:33">
      <c r="O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</row>
    <row r="1933" spans="15:33">
      <c r="O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</row>
    <row r="1934" spans="15:33">
      <c r="O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</row>
    <row r="1935" spans="15:33">
      <c r="O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</row>
    <row r="1936" spans="15:33">
      <c r="O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</row>
    <row r="1937" spans="15:33">
      <c r="O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</row>
    <row r="1938" spans="15:33">
      <c r="O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</row>
    <row r="1939" spans="15:33">
      <c r="O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</row>
    <row r="1940" spans="15:33">
      <c r="O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</row>
    <row r="1941" spans="15:33">
      <c r="O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</row>
    <row r="1942" spans="15:33">
      <c r="O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</row>
    <row r="1943" spans="15:33">
      <c r="O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</row>
    <row r="1944" spans="15:33">
      <c r="O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</row>
    <row r="1945" spans="15:33">
      <c r="O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</row>
    <row r="1946" spans="15:33">
      <c r="O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</row>
    <row r="1947" spans="15:33">
      <c r="O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</row>
    <row r="1948" spans="15:33">
      <c r="O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</row>
    <row r="1949" spans="15:33">
      <c r="O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</row>
    <row r="1950" spans="15:33">
      <c r="O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</row>
    <row r="1951" spans="15:33">
      <c r="O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</row>
    <row r="1952" spans="15:33">
      <c r="O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</row>
    <row r="1953" spans="15:33">
      <c r="O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</row>
    <row r="1954" spans="15:33">
      <c r="O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</row>
    <row r="1955" spans="15:33">
      <c r="O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</row>
    <row r="1956" spans="15:33">
      <c r="O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</row>
    <row r="1957" spans="15:33">
      <c r="O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</row>
    <row r="1958" spans="15:33">
      <c r="O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</row>
    <row r="1959" spans="15:33">
      <c r="O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</row>
    <row r="1960" spans="15:33">
      <c r="O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</row>
    <row r="1961" spans="15:33">
      <c r="O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</row>
    <row r="1962" spans="15:33">
      <c r="O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</row>
    <row r="1963" spans="15:33">
      <c r="O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</row>
    <row r="1964" spans="15:33">
      <c r="O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</row>
    <row r="1965" spans="15:33">
      <c r="O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</row>
    <row r="1966" spans="15:33">
      <c r="O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</row>
    <row r="1967" spans="15:33">
      <c r="O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</row>
    <row r="1968" spans="15:33">
      <c r="O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</row>
    <row r="1969" spans="15:33">
      <c r="O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</row>
    <row r="1970" spans="15:33">
      <c r="O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</row>
    <row r="1971" spans="15:33">
      <c r="O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</row>
    <row r="1972" spans="15:33">
      <c r="O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</row>
    <row r="1973" spans="15:33">
      <c r="O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</row>
    <row r="1974" spans="15:33">
      <c r="O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</row>
    <row r="1975" spans="15:33">
      <c r="O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</row>
    <row r="1976" spans="15:33">
      <c r="O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</row>
    <row r="1977" spans="15:33">
      <c r="O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</row>
    <row r="1978" spans="15:33">
      <c r="O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</row>
    <row r="1979" spans="15:33">
      <c r="O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</row>
    <row r="1980" spans="15:33">
      <c r="O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</row>
    <row r="1981" spans="15:33">
      <c r="O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</row>
    <row r="1982" spans="15:33">
      <c r="O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</row>
    <row r="1983" spans="15:33">
      <c r="O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</row>
    <row r="1984" spans="15:33">
      <c r="O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</row>
    <row r="1985" spans="15:33">
      <c r="O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</row>
    <row r="1986" spans="15:33">
      <c r="O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</row>
    <row r="1987" spans="15:33">
      <c r="O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</row>
    <row r="1988" spans="15:33">
      <c r="O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</row>
    <row r="1989" spans="15:33">
      <c r="O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</row>
    <row r="1990" spans="15:33">
      <c r="O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</row>
    <row r="1991" spans="15:33">
      <c r="O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</row>
    <row r="1992" spans="15:33">
      <c r="O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</row>
    <row r="1993" spans="15:33">
      <c r="O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</row>
    <row r="1994" spans="15:33">
      <c r="O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</row>
    <row r="1995" spans="15:33">
      <c r="O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</row>
    <row r="1996" spans="15:33">
      <c r="O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</row>
    <row r="1997" spans="15:33">
      <c r="O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</row>
    <row r="1998" spans="15:33">
      <c r="O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</row>
    <row r="1999" spans="15:33">
      <c r="O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</row>
    <row r="2000" spans="15:33">
      <c r="O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</row>
    <row r="2001" spans="15:33">
      <c r="O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</row>
    <row r="2002" spans="15:33">
      <c r="O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</row>
    <row r="2003" spans="15:33">
      <c r="O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</row>
    <row r="2004" spans="15:33">
      <c r="O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</row>
    <row r="2005" spans="15:33">
      <c r="O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</row>
    <row r="2006" spans="15:33">
      <c r="O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</row>
    <row r="2007" spans="15:33">
      <c r="O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</row>
    <row r="2008" spans="15:33">
      <c r="O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</row>
    <row r="2009" spans="15:33">
      <c r="O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</row>
    <row r="2010" spans="15:33">
      <c r="O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</row>
    <row r="2011" spans="15:33">
      <c r="O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</row>
    <row r="2012" spans="15:33">
      <c r="O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</row>
    <row r="2013" spans="15:33">
      <c r="O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</row>
    <row r="2014" spans="15:33">
      <c r="O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</row>
    <row r="2015" spans="15:33">
      <c r="O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</row>
    <row r="2016" spans="15:33">
      <c r="O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</row>
    <row r="2017" spans="15:33">
      <c r="O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</row>
    <row r="2018" spans="15:33">
      <c r="O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</row>
    <row r="2019" spans="15:33">
      <c r="O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</row>
    <row r="2020" spans="15:33">
      <c r="O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</row>
    <row r="2021" spans="15:33">
      <c r="O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</row>
    <row r="2022" spans="15:33">
      <c r="O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</row>
    <row r="2023" spans="15:33">
      <c r="O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</row>
    <row r="2024" spans="15:33">
      <c r="O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</row>
    <row r="2025" spans="15:33">
      <c r="O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</row>
    <row r="2026" spans="15:33">
      <c r="O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</row>
    <row r="2027" spans="15:33">
      <c r="O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</row>
    <row r="2028" spans="15:33">
      <c r="O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</row>
    <row r="2029" spans="15:33">
      <c r="O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</row>
    <row r="2030" spans="15:33">
      <c r="O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</row>
    <row r="2031" spans="15:33">
      <c r="O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</row>
    <row r="2032" spans="15:33">
      <c r="O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</row>
    <row r="2033" spans="15:33">
      <c r="O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</row>
    <row r="2034" spans="15:33">
      <c r="O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</row>
    <row r="2035" spans="15:33">
      <c r="O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</row>
    <row r="2036" spans="15:33">
      <c r="O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</row>
    <row r="2037" spans="15:33">
      <c r="O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</row>
    <row r="2038" spans="15:33">
      <c r="O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</row>
    <row r="2039" spans="15:33">
      <c r="O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</row>
    <row r="2040" spans="15:33">
      <c r="O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</row>
    <row r="2041" spans="15:33">
      <c r="O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</row>
    <row r="2042" spans="15:33">
      <c r="O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</row>
    <row r="2043" spans="15:33">
      <c r="O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</row>
    <row r="2044" spans="15:33">
      <c r="O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</row>
    <row r="2045" spans="15:33">
      <c r="O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</row>
    <row r="2046" spans="15:33">
      <c r="O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</row>
    <row r="2047" spans="15:33">
      <c r="O2047"/>
    </row>
    <row r="2048" spans="15:33">
      <c r="O2048"/>
    </row>
    <row r="2049" spans="15:15">
      <c r="O2049"/>
    </row>
    <row r="2050" spans="15:15">
      <c r="O2050"/>
    </row>
    <row r="2051" spans="15:15">
      <c r="O2051"/>
    </row>
    <row r="2052" spans="15:15">
      <c r="O2052"/>
    </row>
    <row r="2053" spans="15:15">
      <c r="O2053"/>
    </row>
    <row r="2054" spans="15:15">
      <c r="O2054"/>
    </row>
    <row r="2055" spans="15:15">
      <c r="O2055"/>
    </row>
    <row r="2056" spans="15:15">
      <c r="O2056"/>
    </row>
    <row r="2057" spans="15:15">
      <c r="O2057"/>
    </row>
    <row r="2058" spans="15:15">
      <c r="O2058"/>
    </row>
    <row r="2059" spans="15:15">
      <c r="O2059"/>
    </row>
    <row r="2060" spans="15:15">
      <c r="O2060"/>
    </row>
    <row r="2061" spans="15:15">
      <c r="O2061"/>
    </row>
    <row r="2062" spans="15:15">
      <c r="O2062"/>
    </row>
    <row r="2063" spans="15:15">
      <c r="O2063"/>
    </row>
    <row r="2064" spans="15:15">
      <c r="O2064"/>
    </row>
    <row r="2065" spans="15:15">
      <c r="O2065"/>
    </row>
    <row r="2066" spans="15:15">
      <c r="O2066"/>
    </row>
    <row r="2067" spans="15:15">
      <c r="O2067"/>
    </row>
    <row r="2068" spans="15:15">
      <c r="O2068"/>
    </row>
    <row r="2069" spans="15:15">
      <c r="O2069"/>
    </row>
    <row r="2070" spans="15:15">
      <c r="O2070"/>
    </row>
    <row r="2071" spans="15:15">
      <c r="O2071"/>
    </row>
    <row r="2072" spans="15:15">
      <c r="O2072"/>
    </row>
    <row r="2073" spans="15:15">
      <c r="O2073"/>
    </row>
    <row r="2074" spans="15:15">
      <c r="O2074"/>
    </row>
    <row r="2075" spans="15:15">
      <c r="O2075"/>
    </row>
    <row r="2076" spans="15:15">
      <c r="O2076"/>
    </row>
    <row r="2077" spans="15:15">
      <c r="O2077"/>
    </row>
    <row r="2078" spans="15:15">
      <c r="O2078"/>
    </row>
    <row r="2079" spans="15:15">
      <c r="O2079"/>
    </row>
    <row r="2080" spans="15:15">
      <c r="O2080"/>
    </row>
    <row r="2081" spans="15:15">
      <c r="O2081"/>
    </row>
    <row r="2082" spans="15:15">
      <c r="O2082"/>
    </row>
    <row r="2083" spans="15:15">
      <c r="O2083"/>
    </row>
    <row r="2084" spans="15:15">
      <c r="O2084"/>
    </row>
    <row r="2085" spans="15:15">
      <c r="O2085"/>
    </row>
    <row r="2086" spans="15:15">
      <c r="O2086"/>
    </row>
    <row r="2087" spans="15:15">
      <c r="O2087"/>
    </row>
    <row r="2088" spans="15:15">
      <c r="O2088"/>
    </row>
    <row r="2089" spans="15:15">
      <c r="O2089"/>
    </row>
    <row r="2090" spans="15:15">
      <c r="O2090"/>
    </row>
    <row r="2091" spans="15:15">
      <c r="O2091"/>
    </row>
    <row r="2092" spans="15:15">
      <c r="O2092"/>
    </row>
    <row r="2093" spans="15:15">
      <c r="O2093"/>
    </row>
    <row r="2094" spans="15:15">
      <c r="O2094"/>
    </row>
    <row r="2095" spans="15:15">
      <c r="O2095"/>
    </row>
    <row r="2096" spans="15:15">
      <c r="O2096"/>
    </row>
    <row r="2097" spans="15:15">
      <c r="O2097"/>
    </row>
    <row r="2098" spans="15:15">
      <c r="O2098"/>
    </row>
    <row r="2099" spans="15:15">
      <c r="O2099"/>
    </row>
    <row r="2100" spans="15:15">
      <c r="O2100"/>
    </row>
    <row r="2101" spans="15:15">
      <c r="O2101"/>
    </row>
    <row r="2102" spans="15:15">
      <c r="O2102"/>
    </row>
    <row r="2103" spans="15:15">
      <c r="O2103"/>
    </row>
    <row r="2104" spans="15:15">
      <c r="O2104"/>
    </row>
    <row r="2105" spans="15:15">
      <c r="O2105"/>
    </row>
    <row r="2106" spans="15:15">
      <c r="O2106"/>
    </row>
    <row r="2107" spans="15:15">
      <c r="O2107"/>
    </row>
    <row r="2108" spans="15:15">
      <c r="O2108"/>
    </row>
    <row r="2109" spans="15:15">
      <c r="O2109"/>
    </row>
    <row r="2110" spans="15:15">
      <c r="O2110"/>
    </row>
    <row r="2111" spans="15:15">
      <c r="O2111"/>
    </row>
    <row r="2112" spans="15:15">
      <c r="O2112"/>
    </row>
    <row r="2113" spans="15:15">
      <c r="O2113"/>
    </row>
    <row r="2114" spans="15:15">
      <c r="O2114"/>
    </row>
    <row r="2115" spans="15:15">
      <c r="O2115"/>
    </row>
    <row r="2116" spans="15:15">
      <c r="O2116"/>
    </row>
    <row r="2117" spans="15:15">
      <c r="O2117"/>
    </row>
    <row r="2118" spans="15:15">
      <c r="O2118"/>
    </row>
    <row r="2119" spans="15:15">
      <c r="O2119"/>
    </row>
    <row r="2120" spans="15:15">
      <c r="O2120"/>
    </row>
    <row r="2121" spans="15:15">
      <c r="O2121"/>
    </row>
    <row r="2122" spans="15:15">
      <c r="O2122"/>
    </row>
    <row r="2123" spans="15:15">
      <c r="O2123"/>
    </row>
    <row r="2124" spans="15:15">
      <c r="O2124"/>
    </row>
    <row r="2125" spans="15:15">
      <c r="O2125"/>
    </row>
    <row r="2126" spans="15:15">
      <c r="O2126"/>
    </row>
    <row r="2127" spans="15:15">
      <c r="O2127"/>
    </row>
    <row r="2128" spans="15:15">
      <c r="O2128"/>
    </row>
    <row r="2129" spans="15:15">
      <c r="O2129"/>
    </row>
    <row r="2130" spans="15:15">
      <c r="O2130"/>
    </row>
    <row r="2131" spans="15:15">
      <c r="O2131"/>
    </row>
    <row r="2132" spans="15:15">
      <c r="O2132"/>
    </row>
    <row r="2133" spans="15:15">
      <c r="O2133"/>
    </row>
    <row r="2134" spans="15:15">
      <c r="O2134"/>
    </row>
    <row r="2135" spans="15:15">
      <c r="O2135"/>
    </row>
    <row r="2136" spans="15:15">
      <c r="O2136"/>
    </row>
    <row r="2137" spans="15:15">
      <c r="O2137"/>
    </row>
    <row r="2138" spans="15:15">
      <c r="O2138"/>
    </row>
    <row r="2139" spans="15:15">
      <c r="O2139"/>
    </row>
    <row r="2140" spans="15:15">
      <c r="O2140"/>
    </row>
    <row r="2141" spans="15:15">
      <c r="O2141"/>
    </row>
    <row r="2142" spans="15:15">
      <c r="O2142"/>
    </row>
    <row r="2143" spans="15:15">
      <c r="O2143"/>
    </row>
    <row r="2144" spans="15:15">
      <c r="O2144"/>
    </row>
    <row r="2145" spans="15:15">
      <c r="O2145"/>
    </row>
    <row r="2146" spans="15:15">
      <c r="O2146"/>
    </row>
    <row r="2147" spans="15:15">
      <c r="O2147"/>
    </row>
    <row r="2148" spans="15:15">
      <c r="O2148"/>
    </row>
    <row r="2149" spans="15:15">
      <c r="O2149"/>
    </row>
    <row r="2150" spans="15:15">
      <c r="O2150"/>
    </row>
    <row r="2151" spans="15:15">
      <c r="O2151"/>
    </row>
    <row r="2152" spans="15:15">
      <c r="O2152"/>
    </row>
    <row r="2153" spans="15:15">
      <c r="O2153"/>
    </row>
    <row r="2154" spans="15:15">
      <c r="O2154"/>
    </row>
    <row r="2155" spans="15:15">
      <c r="O2155"/>
    </row>
    <row r="2156" spans="15:15">
      <c r="O2156"/>
    </row>
    <row r="2157" spans="15:15">
      <c r="O2157"/>
    </row>
    <row r="2158" spans="15:15">
      <c r="O2158"/>
    </row>
    <row r="2159" spans="15:15">
      <c r="O2159"/>
    </row>
    <row r="2160" spans="15:15">
      <c r="O2160"/>
    </row>
    <row r="2161" spans="15:15">
      <c r="O2161"/>
    </row>
    <row r="2162" spans="15:15">
      <c r="O2162"/>
    </row>
    <row r="2163" spans="15:15">
      <c r="O2163"/>
    </row>
    <row r="2164" spans="15:15">
      <c r="O2164"/>
    </row>
    <row r="2165" spans="15:15">
      <c r="O2165"/>
    </row>
    <row r="2166" spans="15:15">
      <c r="O2166"/>
    </row>
    <row r="2167" spans="15:15">
      <c r="O2167"/>
    </row>
    <row r="2168" spans="15:15">
      <c r="O2168"/>
    </row>
    <row r="2169" spans="15:15">
      <c r="O2169"/>
    </row>
    <row r="2170" spans="15:15">
      <c r="O2170"/>
    </row>
    <row r="2171" spans="15:15">
      <c r="O2171"/>
    </row>
    <row r="2172" spans="15:15">
      <c r="O2172"/>
    </row>
    <row r="2173" spans="15:15">
      <c r="O2173"/>
    </row>
    <row r="2174" spans="15:15">
      <c r="O2174"/>
    </row>
    <row r="2175" spans="15:15">
      <c r="O2175"/>
    </row>
    <row r="2176" spans="15:15">
      <c r="O2176"/>
    </row>
    <row r="2177" spans="15:15">
      <c r="O2177"/>
    </row>
    <row r="2178" spans="15:15">
      <c r="O2178"/>
    </row>
    <row r="2179" spans="15:15">
      <c r="O2179"/>
    </row>
    <row r="2180" spans="15:15">
      <c r="O2180"/>
    </row>
    <row r="2181" spans="15:15">
      <c r="O2181"/>
    </row>
    <row r="2182" spans="15:15">
      <c r="O2182"/>
    </row>
    <row r="2183" spans="15:15">
      <c r="O2183"/>
    </row>
    <row r="2184" spans="15:15">
      <c r="O2184"/>
    </row>
    <row r="2185" spans="15:15">
      <c r="O2185"/>
    </row>
    <row r="2186" spans="15:15">
      <c r="O2186"/>
    </row>
    <row r="2187" spans="15:15">
      <c r="O2187"/>
    </row>
    <row r="2188" spans="15:15">
      <c r="O2188"/>
    </row>
    <row r="2189" spans="15:15">
      <c r="O2189"/>
    </row>
    <row r="2190" spans="15:15">
      <c r="O2190"/>
    </row>
    <row r="2191" spans="15:15">
      <c r="O2191"/>
    </row>
    <row r="2192" spans="15:15">
      <c r="O2192"/>
    </row>
    <row r="2193" spans="15:15">
      <c r="O2193"/>
    </row>
    <row r="2194" spans="15:15">
      <c r="O2194"/>
    </row>
    <row r="2195" spans="15:15">
      <c r="O2195"/>
    </row>
    <row r="2196" spans="15:15">
      <c r="O2196"/>
    </row>
    <row r="2197" spans="15:15">
      <c r="O2197"/>
    </row>
    <row r="2198" spans="15:15">
      <c r="O2198"/>
    </row>
    <row r="2199" spans="15:15">
      <c r="O2199"/>
    </row>
    <row r="2200" spans="15:15">
      <c r="O2200"/>
    </row>
    <row r="2201" spans="15:15">
      <c r="O2201"/>
    </row>
    <row r="2202" spans="15:15">
      <c r="O2202"/>
    </row>
    <row r="2203" spans="15:15">
      <c r="O2203"/>
    </row>
    <row r="2204" spans="15:15">
      <c r="O2204"/>
    </row>
    <row r="2205" spans="15:15">
      <c r="O2205"/>
    </row>
    <row r="2206" spans="15:15">
      <c r="O2206"/>
    </row>
    <row r="2207" spans="15:15">
      <c r="O2207"/>
    </row>
    <row r="2208" spans="15:15">
      <c r="O2208"/>
    </row>
    <row r="2209" spans="15:15">
      <c r="O2209"/>
    </row>
    <row r="2210" spans="15:15">
      <c r="O2210"/>
    </row>
    <row r="2211" spans="15:15">
      <c r="O2211"/>
    </row>
    <row r="2212" spans="15:15">
      <c r="O2212"/>
    </row>
    <row r="2213" spans="15:15">
      <c r="O2213"/>
    </row>
    <row r="2214" spans="15:15">
      <c r="O2214"/>
    </row>
    <row r="2215" spans="15:15">
      <c r="O2215"/>
    </row>
    <row r="2216" spans="15:15">
      <c r="O2216"/>
    </row>
    <row r="2217" spans="15:15">
      <c r="O2217"/>
    </row>
    <row r="2218" spans="15:15">
      <c r="O2218"/>
    </row>
    <row r="2219" spans="15:15">
      <c r="O2219"/>
    </row>
    <row r="2220" spans="15:15">
      <c r="O2220"/>
    </row>
    <row r="2221" spans="15:15">
      <c r="O2221"/>
    </row>
    <row r="2222" spans="15:15">
      <c r="O2222"/>
    </row>
    <row r="2223" spans="15:15">
      <c r="O2223"/>
    </row>
    <row r="2224" spans="15:15">
      <c r="O2224"/>
    </row>
    <row r="2225" spans="15:15">
      <c r="O2225"/>
    </row>
    <row r="2226" spans="15:15">
      <c r="O2226"/>
    </row>
    <row r="2227" spans="15:15">
      <c r="O2227"/>
    </row>
    <row r="2228" spans="15:15">
      <c r="O2228"/>
    </row>
    <row r="2229" spans="15:15">
      <c r="O2229"/>
    </row>
    <row r="2230" spans="15:15">
      <c r="O2230"/>
    </row>
    <row r="2231" spans="15:15">
      <c r="O2231"/>
    </row>
    <row r="2232" spans="15:15">
      <c r="O2232"/>
    </row>
    <row r="2233" spans="15:15">
      <c r="O2233"/>
    </row>
    <row r="2234" spans="15:15">
      <c r="O2234"/>
    </row>
    <row r="2235" spans="15:15">
      <c r="O2235"/>
    </row>
    <row r="2236" spans="15:15">
      <c r="O2236"/>
    </row>
    <row r="2237" spans="15:15">
      <c r="O2237"/>
    </row>
    <row r="2238" spans="15:15">
      <c r="O2238"/>
    </row>
    <row r="2239" spans="15:15">
      <c r="O2239"/>
    </row>
    <row r="2240" spans="15:15">
      <c r="O2240"/>
    </row>
    <row r="2241" spans="15:15">
      <c r="O2241"/>
    </row>
    <row r="2242" spans="15:15">
      <c r="O2242"/>
    </row>
    <row r="2243" spans="15:15">
      <c r="O2243"/>
    </row>
    <row r="2244" spans="15:15">
      <c r="O2244"/>
    </row>
    <row r="2245" spans="15:15">
      <c r="O2245"/>
    </row>
    <row r="2246" spans="15:15">
      <c r="O2246"/>
    </row>
    <row r="2247" spans="15:15">
      <c r="O2247"/>
    </row>
    <row r="2248" spans="15:15">
      <c r="O2248"/>
    </row>
    <row r="2249" spans="15:15">
      <c r="O2249"/>
    </row>
    <row r="2250" spans="15:15">
      <c r="O2250"/>
    </row>
    <row r="2251" spans="15:15">
      <c r="O2251"/>
    </row>
    <row r="2252" spans="15:15">
      <c r="O2252"/>
    </row>
    <row r="2253" spans="15:15">
      <c r="O2253"/>
    </row>
    <row r="2254" spans="15:15">
      <c r="O2254"/>
    </row>
    <row r="2255" spans="15:15">
      <c r="O2255"/>
    </row>
    <row r="2256" spans="15:15">
      <c r="O2256"/>
    </row>
    <row r="2257" spans="15:15">
      <c r="O2257"/>
    </row>
    <row r="2258" spans="15:15">
      <c r="O2258"/>
    </row>
    <row r="2259" spans="15:15">
      <c r="O2259"/>
    </row>
    <row r="2260" spans="15:15">
      <c r="O2260"/>
    </row>
    <row r="2261" spans="15:15">
      <c r="O2261"/>
    </row>
    <row r="2262" spans="15:15">
      <c r="O2262"/>
    </row>
    <row r="2263" spans="15:15">
      <c r="O2263"/>
    </row>
    <row r="2264" spans="15:15">
      <c r="O2264"/>
    </row>
    <row r="2265" spans="15:15">
      <c r="O2265"/>
    </row>
    <row r="2266" spans="15:15">
      <c r="O2266"/>
    </row>
    <row r="2267" spans="15:15">
      <c r="O2267"/>
    </row>
    <row r="2268" spans="15:15">
      <c r="O2268"/>
    </row>
    <row r="2269" spans="15:15">
      <c r="O2269"/>
    </row>
    <row r="2270" spans="15:15">
      <c r="O2270"/>
    </row>
    <row r="2271" spans="15:15">
      <c r="O2271"/>
    </row>
    <row r="2272" spans="15:15">
      <c r="O2272"/>
    </row>
    <row r="2273" spans="15:15">
      <c r="O2273"/>
    </row>
    <row r="2274" spans="15:15">
      <c r="O2274"/>
    </row>
    <row r="2275" spans="15:15">
      <c r="O2275"/>
    </row>
    <row r="2276" spans="15:15">
      <c r="O2276"/>
    </row>
    <row r="2277" spans="15:15">
      <c r="O2277"/>
    </row>
    <row r="2278" spans="15:15">
      <c r="O2278"/>
    </row>
    <row r="2279" spans="15:15">
      <c r="O2279"/>
    </row>
    <row r="2280" spans="15:15">
      <c r="O2280"/>
    </row>
    <row r="2281" spans="15:15">
      <c r="O2281"/>
    </row>
    <row r="2282" spans="15:15">
      <c r="O2282"/>
    </row>
    <row r="2283" spans="15:15">
      <c r="O2283"/>
    </row>
    <row r="2284" spans="15:15">
      <c r="O2284"/>
    </row>
    <row r="2285" spans="15:15">
      <c r="O2285"/>
    </row>
    <row r="2286" spans="15:15">
      <c r="O2286"/>
    </row>
    <row r="2287" spans="15:15">
      <c r="O2287"/>
    </row>
    <row r="2288" spans="15:15">
      <c r="O2288"/>
    </row>
    <row r="2289" spans="15:15">
      <c r="O2289"/>
    </row>
    <row r="2290" spans="15:15">
      <c r="O2290"/>
    </row>
    <row r="2291" spans="15:15">
      <c r="O2291"/>
    </row>
    <row r="2292" spans="15:15">
      <c r="O2292"/>
    </row>
    <row r="2293" spans="15:15">
      <c r="O2293"/>
    </row>
    <row r="2294" spans="15:15">
      <c r="O2294"/>
    </row>
    <row r="2295" spans="15:15">
      <c r="O2295"/>
    </row>
    <row r="2296" spans="15:15">
      <c r="O2296"/>
    </row>
    <row r="2297" spans="15:15">
      <c r="O2297"/>
    </row>
    <row r="2298" spans="15:15">
      <c r="O2298"/>
    </row>
    <row r="2299" spans="15:15">
      <c r="O2299"/>
    </row>
    <row r="2300" spans="15:15">
      <c r="O2300"/>
    </row>
    <row r="2301" spans="15:15">
      <c r="O2301"/>
    </row>
    <row r="2302" spans="15:15">
      <c r="O2302"/>
    </row>
    <row r="2303" spans="15:15">
      <c r="O2303"/>
    </row>
    <row r="2304" spans="15:15">
      <c r="O2304"/>
    </row>
    <row r="2305" spans="15:15">
      <c r="O2305"/>
    </row>
    <row r="2306" spans="15:15">
      <c r="O2306"/>
    </row>
    <row r="2307" spans="15:15">
      <c r="O2307"/>
    </row>
    <row r="2308" spans="15:15">
      <c r="O2308"/>
    </row>
    <row r="2309" spans="15:15">
      <c r="O2309"/>
    </row>
    <row r="2310" spans="15:15">
      <c r="O2310"/>
    </row>
    <row r="2311" spans="15:15">
      <c r="O2311"/>
    </row>
    <row r="2312" spans="15:15">
      <c r="O2312"/>
    </row>
    <row r="2313" spans="15:15">
      <c r="O2313"/>
    </row>
    <row r="2314" spans="15:15">
      <c r="O2314"/>
    </row>
    <row r="2315" spans="15:15">
      <c r="O2315"/>
    </row>
    <row r="2316" spans="15:15">
      <c r="O2316"/>
    </row>
    <row r="2317" spans="15:15">
      <c r="O2317"/>
    </row>
    <row r="2318" spans="15:15">
      <c r="O2318"/>
    </row>
    <row r="2319" spans="15:15">
      <c r="O2319"/>
    </row>
    <row r="2320" spans="15:15">
      <c r="O2320"/>
    </row>
    <row r="2321" spans="15:15">
      <c r="O2321"/>
    </row>
    <row r="2322" spans="15:15">
      <c r="O2322"/>
    </row>
    <row r="2323" spans="15:15">
      <c r="O2323"/>
    </row>
    <row r="2324" spans="15:15">
      <c r="O2324"/>
    </row>
    <row r="2325" spans="15:15">
      <c r="O2325"/>
    </row>
    <row r="2326" spans="15:15">
      <c r="O2326"/>
    </row>
    <row r="2327" spans="15:15">
      <c r="O2327"/>
    </row>
    <row r="2328" spans="15:15">
      <c r="O2328"/>
    </row>
    <row r="2329" spans="15:15">
      <c r="O2329"/>
    </row>
    <row r="2330" spans="15:15">
      <c r="O2330"/>
    </row>
    <row r="2331" spans="15:15">
      <c r="O2331"/>
    </row>
    <row r="2332" spans="15:15">
      <c r="O2332"/>
    </row>
    <row r="2333" spans="15:15">
      <c r="O2333"/>
    </row>
    <row r="2334" spans="15:15">
      <c r="O2334"/>
    </row>
    <row r="2335" spans="15:15">
      <c r="O2335"/>
    </row>
    <row r="2336" spans="15:15">
      <c r="O2336"/>
    </row>
    <row r="2337" spans="15:15">
      <c r="O2337"/>
    </row>
    <row r="2338" spans="15:15">
      <c r="O2338"/>
    </row>
    <row r="2339" spans="15:15">
      <c r="O2339"/>
    </row>
    <row r="2340" spans="15:15">
      <c r="O2340"/>
    </row>
    <row r="2341" spans="15:15">
      <c r="O2341"/>
    </row>
    <row r="2342" spans="15:15">
      <c r="O2342"/>
    </row>
    <row r="2343" spans="15:15">
      <c r="O2343"/>
    </row>
    <row r="2344" spans="15:15">
      <c r="O2344"/>
    </row>
    <row r="2345" spans="15:15">
      <c r="O2345"/>
    </row>
    <row r="2346" spans="15:15">
      <c r="O2346"/>
    </row>
    <row r="2347" spans="15:15">
      <c r="O2347"/>
    </row>
    <row r="2348" spans="15:15">
      <c r="O2348"/>
    </row>
    <row r="2349" spans="15:15">
      <c r="O2349"/>
    </row>
    <row r="2350" spans="15:15">
      <c r="O2350"/>
    </row>
    <row r="2351" spans="15:15">
      <c r="O2351"/>
    </row>
    <row r="2352" spans="15:15">
      <c r="O2352"/>
    </row>
    <row r="2353" spans="15:15">
      <c r="O2353"/>
    </row>
    <row r="2354" spans="15:15">
      <c r="O2354"/>
    </row>
    <row r="2355" spans="15:15">
      <c r="O2355"/>
    </row>
    <row r="2356" spans="15:15">
      <c r="O2356"/>
    </row>
    <row r="2357" spans="15:15">
      <c r="O2357"/>
    </row>
    <row r="2358" spans="15:15">
      <c r="O2358"/>
    </row>
    <row r="2359" spans="15:15">
      <c r="O2359"/>
    </row>
    <row r="2360" spans="15:15">
      <c r="O2360"/>
    </row>
    <row r="2361" spans="15:15">
      <c r="O2361"/>
    </row>
    <row r="2362" spans="15:15">
      <c r="O2362"/>
    </row>
    <row r="2363" spans="15:15">
      <c r="O2363"/>
    </row>
    <row r="2364" spans="15:15">
      <c r="O2364"/>
    </row>
    <row r="2365" spans="15:15">
      <c r="O2365"/>
    </row>
    <row r="2366" spans="15:15">
      <c r="O2366"/>
    </row>
    <row r="2367" spans="15:15">
      <c r="O2367"/>
    </row>
    <row r="2368" spans="15:15">
      <c r="O2368"/>
    </row>
    <row r="2369" spans="15:15">
      <c r="O2369"/>
    </row>
    <row r="2370" spans="15:15">
      <c r="O2370"/>
    </row>
    <row r="2371" spans="15:15">
      <c r="O2371"/>
    </row>
    <row r="2372" spans="15:15">
      <c r="O2372"/>
    </row>
    <row r="2373" spans="15:15">
      <c r="O2373"/>
    </row>
    <row r="2374" spans="15:15">
      <c r="O2374"/>
    </row>
    <row r="2375" spans="15:15">
      <c r="O2375"/>
    </row>
    <row r="2376" spans="15:15">
      <c r="O2376"/>
    </row>
    <row r="2377" spans="15:15">
      <c r="O2377"/>
    </row>
    <row r="2378" spans="15:15">
      <c r="O2378"/>
    </row>
    <row r="2379" spans="15:15">
      <c r="O2379"/>
    </row>
    <row r="2380" spans="15:15">
      <c r="O2380"/>
    </row>
    <row r="2381" spans="15:15">
      <c r="O2381"/>
    </row>
    <row r="2382" spans="15:15">
      <c r="O2382"/>
    </row>
    <row r="2383" spans="15:15">
      <c r="O2383"/>
    </row>
    <row r="2384" spans="15:15">
      <c r="O2384"/>
    </row>
    <row r="2385" spans="15:15">
      <c r="O2385"/>
    </row>
    <row r="2386" spans="15:15">
      <c r="O2386"/>
    </row>
    <row r="2387" spans="15:15">
      <c r="O2387"/>
    </row>
    <row r="2388" spans="15:15">
      <c r="O2388"/>
    </row>
    <row r="2389" spans="15:15">
      <c r="O2389"/>
    </row>
    <row r="2390" spans="15:15">
      <c r="O2390"/>
    </row>
    <row r="2391" spans="15:15">
      <c r="O2391"/>
    </row>
    <row r="2392" spans="15:15">
      <c r="O2392"/>
    </row>
    <row r="2393" spans="15:15">
      <c r="O2393"/>
    </row>
    <row r="2394" spans="15:15">
      <c r="O2394"/>
    </row>
    <row r="2395" spans="15:15">
      <c r="O2395"/>
    </row>
    <row r="2396" spans="15:15">
      <c r="O2396"/>
    </row>
    <row r="2397" spans="15:15">
      <c r="O2397"/>
    </row>
    <row r="2398" spans="15:15">
      <c r="O2398"/>
    </row>
    <row r="2399" spans="15:15">
      <c r="O2399"/>
    </row>
    <row r="2400" spans="15:15">
      <c r="O2400"/>
    </row>
    <row r="2401" spans="15:15">
      <c r="O2401"/>
    </row>
    <row r="2402" spans="15:15">
      <c r="O2402"/>
    </row>
    <row r="2403" spans="15:15">
      <c r="O2403"/>
    </row>
    <row r="2404" spans="15:15">
      <c r="O2404"/>
    </row>
    <row r="2405" spans="15:15">
      <c r="O2405"/>
    </row>
    <row r="2406" spans="15:15">
      <c r="O2406"/>
    </row>
    <row r="2407" spans="15:15">
      <c r="O2407"/>
    </row>
    <row r="2408" spans="15:15">
      <c r="O2408"/>
    </row>
    <row r="2409" spans="15:15">
      <c r="O2409"/>
    </row>
    <row r="2410" spans="15:15">
      <c r="O2410"/>
    </row>
    <row r="2411" spans="15:15">
      <c r="O2411"/>
    </row>
    <row r="2412" spans="15:15">
      <c r="O2412"/>
    </row>
    <row r="2413" spans="15:15">
      <c r="O2413"/>
    </row>
    <row r="2414" spans="15:15">
      <c r="O2414"/>
    </row>
    <row r="2415" spans="15:15">
      <c r="O2415"/>
    </row>
    <row r="2416" spans="15:15">
      <c r="O2416"/>
    </row>
    <row r="2417" spans="15:15">
      <c r="O2417"/>
    </row>
    <row r="2418" spans="15:15">
      <c r="O2418"/>
    </row>
    <row r="2419" spans="15:15">
      <c r="O2419"/>
    </row>
    <row r="2420" spans="15:15">
      <c r="O2420"/>
    </row>
    <row r="2421" spans="15:15">
      <c r="O2421"/>
    </row>
    <row r="2422" spans="15:15">
      <c r="O2422"/>
    </row>
    <row r="2423" spans="15:15">
      <c r="O2423"/>
    </row>
    <row r="2424" spans="15:15">
      <c r="O2424"/>
    </row>
    <row r="2425" spans="15:15">
      <c r="O2425"/>
    </row>
    <row r="2426" spans="15:15">
      <c r="O2426"/>
    </row>
    <row r="2427" spans="15:15">
      <c r="O2427"/>
    </row>
    <row r="2428" spans="15:15">
      <c r="O2428"/>
    </row>
    <row r="2429" spans="15:15">
      <c r="O2429"/>
    </row>
    <row r="2430" spans="15:15">
      <c r="O2430"/>
    </row>
    <row r="2431" spans="15:15">
      <c r="O2431"/>
    </row>
    <row r="2432" spans="15:15">
      <c r="O2432"/>
    </row>
    <row r="2433" spans="15:15">
      <c r="O2433"/>
    </row>
    <row r="2434" spans="15:15">
      <c r="O2434"/>
    </row>
    <row r="2435" spans="15:15">
      <c r="O2435"/>
    </row>
    <row r="2436" spans="15:15">
      <c r="O2436"/>
    </row>
    <row r="2437" spans="15:15">
      <c r="O2437"/>
    </row>
    <row r="2438" spans="15:15">
      <c r="O2438"/>
    </row>
    <row r="2439" spans="15:15">
      <c r="O2439"/>
    </row>
    <row r="2440" spans="15:15">
      <c r="O2440"/>
    </row>
    <row r="2441" spans="15:15">
      <c r="O2441"/>
    </row>
    <row r="2442" spans="15:15">
      <c r="O2442"/>
    </row>
    <row r="2443" spans="15:15">
      <c r="O2443"/>
    </row>
    <row r="2444" spans="15:15">
      <c r="O2444"/>
    </row>
    <row r="2445" spans="15:15">
      <c r="O2445"/>
    </row>
    <row r="2446" spans="15:15">
      <c r="O2446"/>
    </row>
    <row r="2447" spans="15:15">
      <c r="O2447"/>
    </row>
    <row r="2448" spans="15:15">
      <c r="O2448"/>
    </row>
    <row r="2449" spans="15:15">
      <c r="O2449"/>
    </row>
    <row r="2450" spans="15:15">
      <c r="O2450"/>
    </row>
    <row r="2451" spans="15:15">
      <c r="O2451"/>
    </row>
    <row r="2452" spans="15:15">
      <c r="O2452"/>
    </row>
    <row r="2453" spans="15:15">
      <c r="O2453"/>
    </row>
    <row r="2454" spans="15:15">
      <c r="O2454"/>
    </row>
    <row r="2455" spans="15:15">
      <c r="O2455"/>
    </row>
    <row r="2456" spans="15:15">
      <c r="O2456"/>
    </row>
    <row r="2457" spans="15:15">
      <c r="O2457"/>
    </row>
    <row r="2458" spans="15:15">
      <c r="O2458"/>
    </row>
    <row r="2459" spans="15:15">
      <c r="O2459"/>
    </row>
    <row r="2460" spans="15:15">
      <c r="O2460"/>
    </row>
    <row r="2461" spans="15:15">
      <c r="O2461"/>
    </row>
    <row r="2462" spans="15:15">
      <c r="O2462"/>
    </row>
    <row r="2463" spans="15:15">
      <c r="O2463"/>
    </row>
    <row r="2464" spans="15:15">
      <c r="O2464"/>
    </row>
    <row r="2465" spans="15:15">
      <c r="O2465"/>
    </row>
    <row r="2466" spans="15:15">
      <c r="O2466"/>
    </row>
    <row r="2467" spans="15:15">
      <c r="O2467"/>
    </row>
    <row r="2468" spans="15:15">
      <c r="O2468"/>
    </row>
    <row r="2469" spans="15:15">
      <c r="O2469"/>
    </row>
    <row r="2470" spans="15:15">
      <c r="O2470"/>
    </row>
    <row r="2471" spans="15:15">
      <c r="O2471"/>
    </row>
    <row r="2472" spans="15:15">
      <c r="O2472"/>
    </row>
    <row r="2473" spans="15:15">
      <c r="O2473"/>
    </row>
    <row r="2474" spans="15:15">
      <c r="O2474"/>
    </row>
    <row r="2475" spans="15:15">
      <c r="O2475"/>
    </row>
    <row r="2476" spans="15:15">
      <c r="O2476"/>
    </row>
    <row r="2477" spans="15:15">
      <c r="O2477"/>
    </row>
    <row r="2478" spans="15:15">
      <c r="O2478"/>
    </row>
    <row r="2479" spans="15:15">
      <c r="O2479"/>
    </row>
    <row r="2480" spans="15:15">
      <c r="O2480"/>
    </row>
    <row r="2481" spans="15:15">
      <c r="O2481"/>
    </row>
    <row r="2482" spans="15:15">
      <c r="O2482"/>
    </row>
    <row r="2483" spans="15:15">
      <c r="O2483"/>
    </row>
    <row r="2484" spans="15:15">
      <c r="O2484"/>
    </row>
    <row r="2485" spans="15:15">
      <c r="O2485"/>
    </row>
    <row r="2486" spans="15:15">
      <c r="O2486"/>
    </row>
    <row r="2487" spans="15:15">
      <c r="O2487"/>
    </row>
    <row r="2488" spans="15:15">
      <c r="O2488"/>
    </row>
    <row r="2489" spans="15:15">
      <c r="O2489"/>
    </row>
    <row r="2490" spans="15:15">
      <c r="O2490"/>
    </row>
    <row r="2491" spans="15:15">
      <c r="O2491"/>
    </row>
    <row r="2492" spans="15:15">
      <c r="O2492"/>
    </row>
    <row r="2493" spans="15:15">
      <c r="O2493"/>
    </row>
    <row r="2494" spans="15:15">
      <c r="O2494"/>
    </row>
    <row r="2495" spans="15:15">
      <c r="O2495"/>
    </row>
    <row r="2496" spans="15:15">
      <c r="O2496"/>
    </row>
    <row r="2497" spans="15:15">
      <c r="O2497"/>
    </row>
    <row r="2498" spans="15:15">
      <c r="O2498"/>
    </row>
    <row r="2499" spans="15:15">
      <c r="O2499"/>
    </row>
    <row r="2500" spans="15:15">
      <c r="O2500"/>
    </row>
    <row r="2501" spans="15:15">
      <c r="O2501"/>
    </row>
    <row r="2502" spans="15:15">
      <c r="O2502"/>
    </row>
    <row r="2503" spans="15:15">
      <c r="O2503"/>
    </row>
    <row r="2504" spans="15:15">
      <c r="O2504"/>
    </row>
    <row r="2505" spans="15:15">
      <c r="O2505"/>
    </row>
    <row r="2506" spans="15:15">
      <c r="O2506"/>
    </row>
    <row r="2507" spans="15:15">
      <c r="O2507"/>
    </row>
    <row r="2508" spans="15:15">
      <c r="O2508"/>
    </row>
    <row r="2509" spans="15:15">
      <c r="O2509"/>
    </row>
    <row r="2510" spans="15:15">
      <c r="O2510"/>
    </row>
    <row r="2511" spans="15:15">
      <c r="O2511"/>
    </row>
    <row r="2512" spans="15:15">
      <c r="O2512"/>
    </row>
    <row r="2513" spans="15:15">
      <c r="O2513"/>
    </row>
    <row r="2514" spans="15:15">
      <c r="O2514"/>
    </row>
    <row r="2515" spans="15:15">
      <c r="O2515"/>
    </row>
    <row r="2516" spans="15:15">
      <c r="O2516"/>
    </row>
    <row r="2517" spans="15:15">
      <c r="O2517"/>
    </row>
    <row r="2518" spans="15:15">
      <c r="O2518"/>
    </row>
    <row r="2519" spans="15:15">
      <c r="O2519"/>
    </row>
    <row r="2520" spans="15:15">
      <c r="O2520"/>
    </row>
    <row r="2521" spans="15:15">
      <c r="O2521"/>
    </row>
    <row r="2522" spans="15:15">
      <c r="O2522"/>
    </row>
    <row r="2523" spans="15:15">
      <c r="O2523"/>
    </row>
    <row r="2524" spans="15:15">
      <c r="O2524"/>
    </row>
    <row r="2525" spans="15:15">
      <c r="O2525"/>
    </row>
    <row r="2526" spans="15:15">
      <c r="O2526"/>
    </row>
    <row r="2527" spans="15:15">
      <c r="O2527"/>
    </row>
    <row r="2528" spans="15:15">
      <c r="O2528"/>
    </row>
    <row r="2529" spans="15:15">
      <c r="O2529"/>
    </row>
    <row r="2530" spans="15:15">
      <c r="O2530"/>
    </row>
    <row r="2531" spans="15:15">
      <c r="O2531"/>
    </row>
    <row r="2532" spans="15:15">
      <c r="O2532"/>
    </row>
    <row r="2533" spans="15:15">
      <c r="O2533"/>
    </row>
    <row r="2534" spans="15:15">
      <c r="O2534"/>
    </row>
    <row r="2535" spans="15:15">
      <c r="O2535"/>
    </row>
    <row r="2536" spans="15:15">
      <c r="O2536"/>
    </row>
    <row r="2537" spans="15:15">
      <c r="O2537"/>
    </row>
    <row r="2538" spans="15:15">
      <c r="O2538"/>
    </row>
    <row r="2539" spans="15:15">
      <c r="O2539"/>
    </row>
    <row r="2540" spans="15:15">
      <c r="O2540"/>
    </row>
    <row r="2541" spans="15:15">
      <c r="O2541"/>
    </row>
    <row r="2542" spans="15:15">
      <c r="O2542"/>
    </row>
    <row r="2543" spans="15:15">
      <c r="O2543"/>
    </row>
    <row r="2544" spans="15:15">
      <c r="O2544"/>
    </row>
    <row r="2545" spans="15:15">
      <c r="O2545"/>
    </row>
    <row r="2546" spans="15:15">
      <c r="O2546"/>
    </row>
    <row r="2547" spans="15:15">
      <c r="O2547"/>
    </row>
    <row r="2548" spans="15:15">
      <c r="O2548"/>
    </row>
    <row r="2549" spans="15:15">
      <c r="O2549"/>
    </row>
    <row r="2550" spans="15:15">
      <c r="O2550"/>
    </row>
    <row r="2551" spans="15:15">
      <c r="O2551"/>
    </row>
    <row r="2552" spans="15:15">
      <c r="O2552"/>
    </row>
    <row r="2553" spans="15:15">
      <c r="O2553"/>
    </row>
    <row r="2554" spans="15:15">
      <c r="O2554"/>
    </row>
    <row r="2555" spans="15:15">
      <c r="O2555"/>
    </row>
    <row r="2556" spans="15:15">
      <c r="O2556"/>
    </row>
    <row r="2557" spans="15:15">
      <c r="O2557"/>
    </row>
    <row r="2558" spans="15:15">
      <c r="O2558"/>
    </row>
    <row r="2559" spans="15:15">
      <c r="O2559"/>
    </row>
    <row r="2560" spans="15:15">
      <c r="O2560"/>
    </row>
    <row r="2561" spans="15:15">
      <c r="O2561"/>
    </row>
    <row r="2562" spans="15:15">
      <c r="O2562"/>
    </row>
    <row r="2563" spans="15:15">
      <c r="O2563"/>
    </row>
    <row r="2564" spans="15:15">
      <c r="O2564"/>
    </row>
    <row r="2565" spans="15:15">
      <c r="O2565"/>
    </row>
    <row r="2566" spans="15:15">
      <c r="O2566"/>
    </row>
    <row r="2567" spans="15:15">
      <c r="O2567"/>
    </row>
    <row r="2568" spans="15:15">
      <c r="O2568"/>
    </row>
    <row r="2569" spans="15:15">
      <c r="O2569"/>
    </row>
    <row r="2570" spans="15:15">
      <c r="O2570"/>
    </row>
    <row r="2571" spans="15:15">
      <c r="O2571"/>
    </row>
    <row r="2572" spans="15:15">
      <c r="O2572"/>
    </row>
    <row r="2573" spans="15:15">
      <c r="O2573"/>
    </row>
    <row r="2574" spans="15:15">
      <c r="O2574"/>
    </row>
    <row r="2575" spans="15:15">
      <c r="O2575"/>
    </row>
    <row r="2576" spans="15:15">
      <c r="O2576"/>
    </row>
    <row r="2577" spans="15:15">
      <c r="O2577"/>
    </row>
    <row r="2578" spans="15:15">
      <c r="O2578"/>
    </row>
    <row r="2579" spans="15:15">
      <c r="O2579"/>
    </row>
    <row r="2580" spans="15:15">
      <c r="O2580"/>
    </row>
    <row r="2581" spans="15:15">
      <c r="O2581"/>
    </row>
    <row r="2582" spans="15:15">
      <c r="O2582"/>
    </row>
    <row r="2583" spans="15:15">
      <c r="O2583"/>
    </row>
    <row r="2584" spans="15:15">
      <c r="O2584"/>
    </row>
    <row r="2585" spans="15:15">
      <c r="O2585"/>
    </row>
    <row r="2586" spans="15:15">
      <c r="O2586"/>
    </row>
    <row r="2587" spans="15:15">
      <c r="O2587"/>
    </row>
    <row r="2588" spans="15:15">
      <c r="O2588"/>
    </row>
    <row r="2589" spans="15:15">
      <c r="O2589"/>
    </row>
    <row r="2590" spans="15:15">
      <c r="O2590"/>
    </row>
    <row r="2591" spans="15:15">
      <c r="O2591"/>
    </row>
    <row r="2592" spans="15:15">
      <c r="O2592"/>
    </row>
    <row r="2593" spans="15:15">
      <c r="O2593"/>
    </row>
    <row r="2594" spans="15:15">
      <c r="O2594"/>
    </row>
    <row r="2595" spans="15:15">
      <c r="O2595"/>
    </row>
    <row r="2596" spans="15:15">
      <c r="O2596"/>
    </row>
    <row r="2597" spans="15:15">
      <c r="O2597"/>
    </row>
    <row r="2598" spans="15:15">
      <c r="O2598"/>
    </row>
    <row r="2599" spans="15:15">
      <c r="O2599"/>
    </row>
    <row r="2600" spans="15:15">
      <c r="O2600"/>
    </row>
    <row r="2601" spans="15:15">
      <c r="O2601"/>
    </row>
    <row r="2602" spans="15:15">
      <c r="O2602"/>
    </row>
    <row r="2603" spans="15:15">
      <c r="O2603"/>
    </row>
    <row r="2604" spans="15:15">
      <c r="O2604"/>
    </row>
    <row r="2605" spans="15:15">
      <c r="O2605"/>
    </row>
    <row r="2606" spans="15:15">
      <c r="O2606"/>
    </row>
    <row r="2607" spans="15:15">
      <c r="O2607"/>
    </row>
    <row r="2608" spans="15:15">
      <c r="O2608"/>
    </row>
    <row r="2609" spans="15:15">
      <c r="O2609"/>
    </row>
    <row r="2610" spans="15:15">
      <c r="O2610"/>
    </row>
    <row r="2611" spans="15:15">
      <c r="O2611"/>
    </row>
    <row r="2612" spans="15:15">
      <c r="O2612"/>
    </row>
    <row r="2613" spans="15:15">
      <c r="O2613"/>
    </row>
    <row r="2614" spans="15:15">
      <c r="O2614"/>
    </row>
    <row r="2615" spans="15:15">
      <c r="O2615"/>
    </row>
    <row r="2616" spans="15:15">
      <c r="O2616"/>
    </row>
    <row r="2617" spans="15:15">
      <c r="O2617"/>
    </row>
    <row r="2618" spans="15:15">
      <c r="O2618"/>
    </row>
    <row r="2619" spans="15:15">
      <c r="O2619"/>
    </row>
    <row r="2620" spans="15:15">
      <c r="O2620"/>
    </row>
    <row r="2621" spans="15:15">
      <c r="O2621"/>
    </row>
    <row r="2622" spans="15:15">
      <c r="O2622"/>
    </row>
    <row r="2623" spans="15:15">
      <c r="O2623"/>
    </row>
    <row r="2624" spans="15:15">
      <c r="O2624"/>
    </row>
    <row r="2625" spans="15:15">
      <c r="O2625"/>
    </row>
    <row r="2626" spans="15:15">
      <c r="O2626"/>
    </row>
    <row r="2627" spans="15:15">
      <c r="O2627"/>
    </row>
    <row r="2628" spans="15:15">
      <c r="O2628"/>
    </row>
    <row r="2629" spans="15:15">
      <c r="O2629"/>
    </row>
    <row r="2630" spans="15:15">
      <c r="O2630"/>
    </row>
    <row r="2631" spans="15:15">
      <c r="O2631"/>
    </row>
    <row r="2632" spans="15:15">
      <c r="O2632"/>
    </row>
    <row r="2633" spans="15:15">
      <c r="O2633"/>
    </row>
    <row r="2634" spans="15:15">
      <c r="O2634"/>
    </row>
    <row r="2635" spans="15:15">
      <c r="O2635"/>
    </row>
    <row r="2636" spans="15:15">
      <c r="O2636"/>
    </row>
    <row r="2637" spans="15:15">
      <c r="O2637"/>
    </row>
    <row r="2638" spans="15:15">
      <c r="O2638"/>
    </row>
    <row r="2639" spans="15:15">
      <c r="O2639"/>
    </row>
    <row r="2640" spans="15:15">
      <c r="O2640"/>
    </row>
    <row r="2641" spans="15:15">
      <c r="O2641"/>
    </row>
    <row r="2642" spans="15:15">
      <c r="O2642"/>
    </row>
    <row r="2643" spans="15:15">
      <c r="O2643"/>
    </row>
    <row r="2644" spans="15:15">
      <c r="O2644"/>
    </row>
    <row r="2645" spans="15:15">
      <c r="O2645"/>
    </row>
    <row r="2646" spans="15:15">
      <c r="O2646"/>
    </row>
    <row r="2647" spans="15:15">
      <c r="O2647"/>
    </row>
    <row r="2648" spans="15:15">
      <c r="O2648"/>
    </row>
    <row r="2649" spans="15:15">
      <c r="O2649"/>
    </row>
    <row r="2650" spans="15:15">
      <c r="O2650"/>
    </row>
    <row r="2651" spans="15:15">
      <c r="O2651"/>
    </row>
    <row r="2652" spans="15:15">
      <c r="O2652"/>
    </row>
    <row r="2653" spans="15:15">
      <c r="O2653"/>
    </row>
    <row r="2654" spans="15:15">
      <c r="O2654"/>
    </row>
    <row r="2655" spans="15:15">
      <c r="O2655"/>
    </row>
    <row r="2656" spans="15:15">
      <c r="O2656"/>
    </row>
    <row r="2657" spans="15:15">
      <c r="O2657"/>
    </row>
    <row r="2658" spans="15:15">
      <c r="O2658"/>
    </row>
    <row r="2659" spans="15:15">
      <c r="O2659"/>
    </row>
    <row r="2660" spans="15:15">
      <c r="O2660"/>
    </row>
    <row r="2661" spans="15:15">
      <c r="O2661"/>
    </row>
    <row r="2662" spans="15:15">
      <c r="O2662"/>
    </row>
    <row r="2663" spans="15:15">
      <c r="O2663"/>
    </row>
    <row r="2664" spans="15:15">
      <c r="O2664"/>
    </row>
    <row r="2665" spans="15:15">
      <c r="O2665"/>
    </row>
    <row r="2666" spans="15:15">
      <c r="O2666"/>
    </row>
    <row r="2667" spans="15:15">
      <c r="O2667"/>
    </row>
    <row r="2668" spans="15:15">
      <c r="O2668"/>
    </row>
    <row r="2669" spans="15:15">
      <c r="O2669"/>
    </row>
    <row r="2670" spans="15:15">
      <c r="O2670"/>
    </row>
    <row r="2671" spans="15:15">
      <c r="O2671"/>
    </row>
    <row r="2672" spans="15:15">
      <c r="O2672"/>
    </row>
    <row r="2673" spans="15:15">
      <c r="O2673"/>
    </row>
    <row r="2674" spans="15:15">
      <c r="O2674"/>
    </row>
    <row r="2675" spans="15:15">
      <c r="O2675"/>
    </row>
    <row r="2676" spans="15:15">
      <c r="O2676"/>
    </row>
    <row r="2677" spans="15:15">
      <c r="O2677"/>
    </row>
    <row r="2678" spans="15:15">
      <c r="O2678"/>
    </row>
    <row r="2679" spans="15:15">
      <c r="O2679"/>
    </row>
    <row r="2680" spans="15:15">
      <c r="O2680"/>
    </row>
    <row r="2681" spans="15:15">
      <c r="O2681"/>
    </row>
    <row r="2682" spans="15:15">
      <c r="O2682"/>
    </row>
    <row r="2683" spans="15:15">
      <c r="O2683"/>
    </row>
    <row r="2684" spans="15:15">
      <c r="O2684"/>
    </row>
    <row r="2685" spans="15:15">
      <c r="O2685"/>
    </row>
    <row r="2686" spans="15:15">
      <c r="O2686"/>
    </row>
    <row r="2687" spans="15:15">
      <c r="O2687"/>
    </row>
    <row r="2688" spans="15:15">
      <c r="O2688"/>
    </row>
    <row r="2689" spans="15:15">
      <c r="O2689"/>
    </row>
    <row r="2690" spans="15:15">
      <c r="O2690"/>
    </row>
    <row r="2691" spans="15:15">
      <c r="O2691"/>
    </row>
    <row r="2692" spans="15:15">
      <c r="O2692"/>
    </row>
    <row r="2693" spans="15:15">
      <c r="O2693"/>
    </row>
    <row r="2694" spans="15:15">
      <c r="O2694"/>
    </row>
    <row r="2695" spans="15:15">
      <c r="O2695"/>
    </row>
    <row r="2696" spans="15:15">
      <c r="O2696"/>
    </row>
    <row r="2697" spans="15:15">
      <c r="O2697"/>
    </row>
    <row r="2698" spans="15:15">
      <c r="O2698"/>
    </row>
    <row r="2699" spans="15:15">
      <c r="O2699"/>
    </row>
    <row r="2700" spans="15:15">
      <c r="O2700"/>
    </row>
    <row r="2701" spans="15:15">
      <c r="O2701"/>
    </row>
    <row r="2702" spans="15:15">
      <c r="O2702"/>
    </row>
    <row r="2703" spans="15:15">
      <c r="O2703"/>
    </row>
    <row r="2704" spans="15:15">
      <c r="O2704"/>
    </row>
    <row r="2705" spans="15:15">
      <c r="O2705"/>
    </row>
    <row r="2706" spans="15:15">
      <c r="O2706"/>
    </row>
    <row r="2707" spans="15:15">
      <c r="O2707"/>
    </row>
    <row r="2708" spans="15:15">
      <c r="O2708"/>
    </row>
    <row r="2709" spans="15:15">
      <c r="O2709"/>
    </row>
    <row r="2710" spans="15:15">
      <c r="O2710"/>
    </row>
    <row r="2711" spans="15:15">
      <c r="O2711"/>
    </row>
    <row r="2712" spans="15:15">
      <c r="O2712"/>
    </row>
    <row r="2713" spans="15:15">
      <c r="O2713"/>
    </row>
    <row r="2714" spans="15:15">
      <c r="O2714"/>
    </row>
    <row r="2715" spans="15:15">
      <c r="O2715"/>
    </row>
    <row r="2716" spans="15:15">
      <c r="O2716"/>
    </row>
    <row r="2717" spans="15:15">
      <c r="O2717"/>
    </row>
    <row r="2718" spans="15:15">
      <c r="O2718"/>
    </row>
    <row r="2719" spans="15:15">
      <c r="O2719"/>
    </row>
    <row r="2720" spans="15:15">
      <c r="O2720"/>
    </row>
    <row r="2721" spans="15:15">
      <c r="O2721"/>
    </row>
    <row r="2722" spans="15:15">
      <c r="O2722"/>
    </row>
    <row r="2723" spans="15:15">
      <c r="O2723"/>
    </row>
    <row r="2724" spans="15:15">
      <c r="O2724"/>
    </row>
    <row r="2725" spans="15:15">
      <c r="O2725"/>
    </row>
    <row r="2726" spans="15:15">
      <c r="O2726"/>
    </row>
    <row r="2727" spans="15:15">
      <c r="O2727"/>
    </row>
    <row r="2728" spans="15:15">
      <c r="O2728"/>
    </row>
    <row r="2729" spans="15:15">
      <c r="O2729"/>
    </row>
    <row r="2730" spans="15:15">
      <c r="O2730"/>
    </row>
    <row r="2731" spans="15:15">
      <c r="O2731"/>
    </row>
    <row r="2732" spans="15:15">
      <c r="O2732"/>
    </row>
    <row r="2733" spans="15:15">
      <c r="O2733"/>
    </row>
    <row r="2734" spans="15:15">
      <c r="O2734"/>
    </row>
    <row r="2735" spans="15:15">
      <c r="O2735"/>
    </row>
    <row r="2736" spans="15:15">
      <c r="O2736"/>
    </row>
    <row r="2737" spans="15:15">
      <c r="O2737"/>
    </row>
    <row r="2738" spans="15:15">
      <c r="O2738"/>
    </row>
    <row r="2739" spans="15:15">
      <c r="O2739"/>
    </row>
    <row r="2740" spans="15:15">
      <c r="O2740"/>
    </row>
    <row r="2741" spans="15:15">
      <c r="O2741"/>
    </row>
    <row r="2742" spans="15:15">
      <c r="O2742"/>
    </row>
    <row r="2743" spans="15:15">
      <c r="O2743"/>
    </row>
    <row r="2744" spans="15:15">
      <c r="O2744"/>
    </row>
    <row r="2745" spans="15:15">
      <c r="O2745"/>
    </row>
    <row r="2746" spans="15:15">
      <c r="O2746"/>
    </row>
    <row r="2747" spans="15:15">
      <c r="O2747"/>
    </row>
    <row r="2748" spans="15:15">
      <c r="O2748"/>
    </row>
    <row r="2749" spans="15:15">
      <c r="O2749"/>
    </row>
    <row r="2750" spans="15:15">
      <c r="O2750"/>
    </row>
    <row r="2751" spans="15:15">
      <c r="O2751"/>
    </row>
    <row r="2752" spans="15:15">
      <c r="O2752"/>
    </row>
    <row r="2753" spans="15:15">
      <c r="O2753"/>
    </row>
    <row r="2754" spans="15:15">
      <c r="O2754"/>
    </row>
    <row r="2755" spans="15:15">
      <c r="O2755"/>
    </row>
    <row r="2756" spans="15:15">
      <c r="O2756"/>
    </row>
    <row r="2757" spans="15:15">
      <c r="O2757"/>
    </row>
    <row r="2758" spans="15:15">
      <c r="O2758"/>
    </row>
    <row r="2759" spans="15:15">
      <c r="O2759"/>
    </row>
    <row r="2760" spans="15:15">
      <c r="O2760"/>
    </row>
    <row r="2761" spans="15:15">
      <c r="O2761"/>
    </row>
    <row r="2762" spans="15:15">
      <c r="O2762"/>
    </row>
    <row r="2763" spans="15:15">
      <c r="O2763"/>
    </row>
    <row r="2764" spans="15:15">
      <c r="O2764"/>
    </row>
    <row r="2765" spans="15:15">
      <c r="O2765"/>
    </row>
    <row r="2766" spans="15:15">
      <c r="O2766"/>
    </row>
    <row r="2767" spans="15:15">
      <c r="O2767"/>
    </row>
    <row r="2768" spans="15:15">
      <c r="O2768"/>
    </row>
    <row r="2769" spans="15:15">
      <c r="O2769"/>
    </row>
    <row r="2770" spans="15:15">
      <c r="O2770"/>
    </row>
    <row r="2771" spans="15:15">
      <c r="O2771"/>
    </row>
    <row r="2772" spans="15:15">
      <c r="O2772"/>
    </row>
    <row r="2773" spans="15:15">
      <c r="O2773"/>
    </row>
    <row r="2774" spans="15:15">
      <c r="O2774"/>
    </row>
    <row r="2775" spans="15:15">
      <c r="O2775"/>
    </row>
    <row r="2776" spans="15:15">
      <c r="O2776"/>
    </row>
    <row r="2777" spans="15:15">
      <c r="O2777"/>
    </row>
    <row r="2778" spans="15:15">
      <c r="O2778"/>
    </row>
    <row r="2779" spans="15:15">
      <c r="O2779"/>
    </row>
    <row r="2780" spans="15:15">
      <c r="O2780"/>
    </row>
    <row r="2781" spans="15:15">
      <c r="O2781"/>
    </row>
    <row r="2782" spans="15:15">
      <c r="O2782"/>
    </row>
    <row r="2783" spans="15:15">
      <c r="O2783"/>
    </row>
    <row r="2784" spans="15:15">
      <c r="O2784"/>
    </row>
    <row r="2785" spans="15:15">
      <c r="O2785"/>
    </row>
    <row r="2786" spans="15:15">
      <c r="O2786"/>
    </row>
    <row r="2787" spans="15:15">
      <c r="O2787"/>
    </row>
    <row r="2788" spans="15:15">
      <c r="O2788"/>
    </row>
    <row r="2789" spans="15:15">
      <c r="O2789"/>
    </row>
    <row r="2790" spans="15:15">
      <c r="O2790"/>
    </row>
    <row r="2791" spans="15:15">
      <c r="O2791"/>
    </row>
    <row r="2792" spans="15:15">
      <c r="O2792"/>
    </row>
    <row r="2793" spans="15:15">
      <c r="O2793"/>
    </row>
    <row r="2794" spans="15:15">
      <c r="O2794"/>
    </row>
    <row r="2795" spans="15:15">
      <c r="O2795"/>
    </row>
    <row r="2796" spans="15:15">
      <c r="O2796"/>
    </row>
    <row r="2797" spans="15:15">
      <c r="O2797"/>
    </row>
    <row r="2798" spans="15:15">
      <c r="O2798"/>
    </row>
    <row r="2799" spans="15:15">
      <c r="O2799"/>
    </row>
    <row r="2800" spans="15:15">
      <c r="O2800"/>
    </row>
    <row r="2801" spans="15:15">
      <c r="O2801"/>
    </row>
    <row r="2802" spans="15:15">
      <c r="O2802"/>
    </row>
    <row r="2803" spans="15:15">
      <c r="O2803"/>
    </row>
    <row r="2804" spans="15:15">
      <c r="O2804"/>
    </row>
    <row r="2805" spans="15:15">
      <c r="O2805"/>
    </row>
    <row r="2806" spans="15:15">
      <c r="O2806"/>
    </row>
    <row r="2807" spans="15:15">
      <c r="O2807"/>
    </row>
    <row r="2808" spans="15:15">
      <c r="O2808"/>
    </row>
    <row r="2809" spans="15:15">
      <c r="O2809"/>
    </row>
    <row r="2810" spans="15:15">
      <c r="O2810"/>
    </row>
    <row r="2811" spans="15:15">
      <c r="O2811"/>
    </row>
    <row r="2812" spans="15:15">
      <c r="O2812"/>
    </row>
    <row r="2813" spans="15:15">
      <c r="O2813"/>
    </row>
    <row r="2814" spans="15:15">
      <c r="O2814"/>
    </row>
    <row r="2815" spans="15:15">
      <c r="O2815"/>
    </row>
    <row r="2816" spans="15:15">
      <c r="O2816"/>
    </row>
    <row r="2817" spans="15:15">
      <c r="O2817"/>
    </row>
    <row r="2818" spans="15:15">
      <c r="O2818"/>
    </row>
    <row r="2819" spans="15:15">
      <c r="O2819"/>
    </row>
    <row r="2820" spans="15:15">
      <c r="O2820"/>
    </row>
    <row r="2821" spans="15:15">
      <c r="O2821"/>
    </row>
    <row r="2822" spans="15:15">
      <c r="O2822"/>
    </row>
    <row r="2823" spans="15:15">
      <c r="O2823"/>
    </row>
    <row r="2824" spans="15:15">
      <c r="O2824"/>
    </row>
    <row r="2825" spans="15:15">
      <c r="O2825"/>
    </row>
    <row r="2826" spans="15:15">
      <c r="O2826"/>
    </row>
    <row r="2827" spans="15:15">
      <c r="O2827"/>
    </row>
    <row r="2828" spans="15:15">
      <c r="O2828"/>
    </row>
    <row r="2829" spans="15:15">
      <c r="O2829"/>
    </row>
    <row r="2830" spans="15:15">
      <c r="O2830"/>
    </row>
    <row r="2831" spans="15:15">
      <c r="O2831"/>
    </row>
    <row r="2832" spans="15:15">
      <c r="O2832"/>
    </row>
    <row r="2833" spans="15:15">
      <c r="O2833"/>
    </row>
    <row r="2834" spans="15:15">
      <c r="O2834"/>
    </row>
    <row r="2835" spans="15:15">
      <c r="O2835"/>
    </row>
    <row r="2836" spans="15:15">
      <c r="O2836"/>
    </row>
    <row r="2837" spans="15:15">
      <c r="O2837"/>
    </row>
    <row r="2838" spans="15:15">
      <c r="O2838"/>
    </row>
    <row r="2839" spans="15:15">
      <c r="O2839"/>
    </row>
    <row r="2840" spans="15:15">
      <c r="O2840"/>
    </row>
    <row r="2841" spans="15:15">
      <c r="O2841"/>
    </row>
    <row r="2842" spans="15:15">
      <c r="O2842"/>
    </row>
    <row r="2843" spans="15:15">
      <c r="O2843"/>
    </row>
    <row r="2844" spans="15:15">
      <c r="O2844"/>
    </row>
    <row r="2845" spans="15:15">
      <c r="O2845"/>
    </row>
    <row r="2846" spans="15:15">
      <c r="O2846"/>
    </row>
    <row r="2847" spans="15:15">
      <c r="O2847"/>
    </row>
    <row r="2848" spans="15:15">
      <c r="O2848"/>
    </row>
    <row r="2849" spans="15:15">
      <c r="O2849"/>
    </row>
    <row r="2850" spans="15:15">
      <c r="O2850"/>
    </row>
    <row r="2851" spans="15:15">
      <c r="O2851"/>
    </row>
    <row r="2852" spans="15:15">
      <c r="O2852"/>
    </row>
    <row r="2853" spans="15:15">
      <c r="O2853"/>
    </row>
    <row r="2854" spans="15:15">
      <c r="O2854"/>
    </row>
    <row r="2855" spans="15:15">
      <c r="O2855"/>
    </row>
    <row r="2856" spans="15:15">
      <c r="O2856"/>
    </row>
    <row r="2857" spans="15:15">
      <c r="O2857"/>
    </row>
    <row r="2858" spans="15:15">
      <c r="O2858"/>
    </row>
    <row r="2859" spans="15:15">
      <c r="O2859"/>
    </row>
    <row r="2860" spans="15:15">
      <c r="O2860"/>
    </row>
    <row r="2861" spans="15:15">
      <c r="O2861"/>
    </row>
    <row r="2862" spans="15:15">
      <c r="O2862"/>
    </row>
    <row r="2863" spans="15:15">
      <c r="O2863"/>
    </row>
    <row r="2864" spans="15:15">
      <c r="O2864"/>
    </row>
    <row r="2865" spans="15:15">
      <c r="O2865"/>
    </row>
    <row r="2866" spans="15:15">
      <c r="O2866"/>
    </row>
    <row r="2867" spans="15:15">
      <c r="O2867"/>
    </row>
    <row r="2868" spans="15:15">
      <c r="O2868"/>
    </row>
    <row r="2869" spans="15:15">
      <c r="O2869"/>
    </row>
    <row r="2870" spans="15:15">
      <c r="O2870"/>
    </row>
    <row r="2871" spans="15:15">
      <c r="O2871"/>
    </row>
    <row r="2872" spans="15:15">
      <c r="O2872"/>
    </row>
    <row r="2873" spans="15:15">
      <c r="O2873"/>
    </row>
    <row r="2874" spans="15:15">
      <c r="O2874"/>
    </row>
    <row r="2875" spans="15:15">
      <c r="O2875"/>
    </row>
    <row r="2876" spans="15:15">
      <c r="O2876"/>
    </row>
    <row r="2877" spans="15:15">
      <c r="O2877"/>
    </row>
    <row r="2878" spans="15:15">
      <c r="O2878"/>
    </row>
    <row r="2879" spans="15:15">
      <c r="O2879"/>
    </row>
    <row r="2880" spans="15:15">
      <c r="O2880"/>
    </row>
    <row r="2881" spans="15:15">
      <c r="O2881"/>
    </row>
    <row r="2882" spans="15:15">
      <c r="O2882"/>
    </row>
    <row r="2883" spans="15:15">
      <c r="O2883"/>
    </row>
    <row r="2884" spans="15:15">
      <c r="O2884"/>
    </row>
    <row r="2885" spans="15:15">
      <c r="O2885"/>
    </row>
    <row r="2886" spans="15:15">
      <c r="O2886"/>
    </row>
    <row r="2887" spans="15:15">
      <c r="O2887"/>
    </row>
    <row r="2888" spans="15:15">
      <c r="O2888"/>
    </row>
    <row r="2889" spans="15:15">
      <c r="O2889"/>
    </row>
    <row r="2890" spans="15:15">
      <c r="O2890"/>
    </row>
    <row r="2891" spans="15:15">
      <c r="O2891"/>
    </row>
    <row r="2892" spans="15:15">
      <c r="O2892"/>
    </row>
    <row r="2893" spans="15:15">
      <c r="O2893"/>
    </row>
    <row r="2894" spans="15:15">
      <c r="O2894"/>
    </row>
    <row r="2895" spans="15:15">
      <c r="O2895"/>
    </row>
    <row r="2896" spans="15:15">
      <c r="O2896"/>
    </row>
    <row r="2897" spans="15:15">
      <c r="O2897"/>
    </row>
    <row r="2898" spans="15:15">
      <c r="O2898"/>
    </row>
    <row r="2899" spans="15:15">
      <c r="O2899"/>
    </row>
    <row r="2900" spans="15:15">
      <c r="O2900"/>
    </row>
    <row r="2901" spans="15:15">
      <c r="O2901"/>
    </row>
    <row r="2902" spans="15:15">
      <c r="O2902"/>
    </row>
    <row r="2903" spans="15:15">
      <c r="O2903"/>
    </row>
    <row r="2904" spans="15:15">
      <c r="O2904"/>
    </row>
    <row r="2905" spans="15:15">
      <c r="O2905"/>
    </row>
    <row r="2906" spans="15:15">
      <c r="O2906"/>
    </row>
    <row r="2907" spans="15:15">
      <c r="O2907"/>
    </row>
    <row r="2908" spans="15:15">
      <c r="O2908"/>
    </row>
    <row r="2909" spans="15:15">
      <c r="O2909"/>
    </row>
    <row r="2910" spans="15:15">
      <c r="O2910"/>
    </row>
    <row r="2911" spans="15:15">
      <c r="O2911"/>
    </row>
    <row r="2912" spans="15:15">
      <c r="O2912"/>
    </row>
    <row r="2913" spans="15:15">
      <c r="O2913"/>
    </row>
    <row r="2914" spans="15:15">
      <c r="O2914"/>
    </row>
    <row r="2915" spans="15:15">
      <c r="O2915"/>
    </row>
    <row r="2916" spans="15:15">
      <c r="O2916"/>
    </row>
    <row r="2917" spans="15:15">
      <c r="O2917"/>
    </row>
    <row r="2918" spans="15:15">
      <c r="O2918"/>
    </row>
    <row r="2919" spans="15:15">
      <c r="O2919"/>
    </row>
    <row r="2920" spans="15:15">
      <c r="O2920"/>
    </row>
    <row r="2921" spans="15:15">
      <c r="O2921"/>
    </row>
    <row r="2922" spans="15:15">
      <c r="O2922"/>
    </row>
    <row r="2923" spans="15:15">
      <c r="O2923"/>
    </row>
    <row r="2924" spans="15:15">
      <c r="O2924"/>
    </row>
    <row r="2925" spans="15:15">
      <c r="O2925"/>
    </row>
    <row r="2926" spans="15:15">
      <c r="O2926"/>
    </row>
    <row r="2927" spans="15:15">
      <c r="O2927"/>
    </row>
    <row r="2928" spans="15:15">
      <c r="O2928"/>
    </row>
    <row r="2929" spans="15:15">
      <c r="O2929"/>
    </row>
    <row r="2930" spans="15:15">
      <c r="O2930"/>
    </row>
    <row r="2931" spans="15:15">
      <c r="O2931"/>
    </row>
    <row r="2932" spans="15:15">
      <c r="O2932"/>
    </row>
    <row r="2933" spans="15:15">
      <c r="O2933"/>
    </row>
    <row r="2934" spans="15:15">
      <c r="O2934"/>
    </row>
    <row r="2935" spans="15:15">
      <c r="O2935"/>
    </row>
    <row r="2936" spans="15:15">
      <c r="O2936"/>
    </row>
    <row r="2937" spans="15:15">
      <c r="O2937"/>
    </row>
    <row r="2938" spans="15:15">
      <c r="O2938"/>
    </row>
    <row r="2939" spans="15:15">
      <c r="O2939"/>
    </row>
    <row r="2940" spans="15:15">
      <c r="O2940"/>
    </row>
    <row r="2941" spans="15:15">
      <c r="O2941"/>
    </row>
    <row r="2942" spans="15:15">
      <c r="O2942"/>
    </row>
    <row r="2943" spans="15:15">
      <c r="O2943"/>
    </row>
    <row r="2944" spans="15:15">
      <c r="O2944"/>
    </row>
    <row r="2945" spans="15:15">
      <c r="O2945"/>
    </row>
    <row r="2946" spans="15:15">
      <c r="O2946"/>
    </row>
    <row r="2947" spans="15:15">
      <c r="O2947"/>
    </row>
    <row r="2948" spans="15:15">
      <c r="O2948"/>
    </row>
    <row r="2949" spans="15:15">
      <c r="O2949"/>
    </row>
    <row r="2950" spans="15:15">
      <c r="O2950"/>
    </row>
    <row r="2951" spans="15:15">
      <c r="O2951"/>
    </row>
    <row r="2952" spans="15:15">
      <c r="O2952"/>
    </row>
    <row r="2953" spans="15:15">
      <c r="O2953"/>
    </row>
    <row r="2954" spans="15:15">
      <c r="O2954"/>
    </row>
    <row r="2955" spans="15:15">
      <c r="O2955"/>
    </row>
    <row r="2956" spans="15:15">
      <c r="O2956"/>
    </row>
    <row r="2957" spans="15:15">
      <c r="O2957"/>
    </row>
    <row r="2958" spans="15:15">
      <c r="O2958"/>
    </row>
    <row r="2959" spans="15:15">
      <c r="O2959"/>
    </row>
    <row r="2960" spans="15:15">
      <c r="O2960"/>
    </row>
    <row r="2961" spans="15:15">
      <c r="O2961"/>
    </row>
    <row r="2962" spans="15:15">
      <c r="O2962"/>
    </row>
    <row r="2963" spans="15:15">
      <c r="O2963"/>
    </row>
    <row r="2964" spans="15:15">
      <c r="O2964"/>
    </row>
    <row r="2965" spans="15:15">
      <c r="O2965"/>
    </row>
    <row r="2966" spans="15:15">
      <c r="O2966"/>
    </row>
    <row r="2967" spans="15:15">
      <c r="O2967"/>
    </row>
    <row r="2968" spans="15:15">
      <c r="O2968"/>
    </row>
    <row r="2969" spans="15:15">
      <c r="O2969"/>
    </row>
    <row r="2970" spans="15:15">
      <c r="O2970"/>
    </row>
    <row r="2971" spans="15:15">
      <c r="O2971"/>
    </row>
    <row r="2972" spans="15:15">
      <c r="O2972"/>
    </row>
    <row r="2973" spans="15:15">
      <c r="O2973"/>
    </row>
    <row r="2974" spans="15:15">
      <c r="O2974"/>
    </row>
    <row r="2975" spans="15:15">
      <c r="O2975"/>
    </row>
    <row r="2976" spans="15:15">
      <c r="O2976"/>
    </row>
    <row r="2977" spans="15:15">
      <c r="O2977"/>
    </row>
    <row r="2978" spans="15:15">
      <c r="O2978"/>
    </row>
    <row r="2979" spans="15:15">
      <c r="O2979"/>
    </row>
    <row r="2980" spans="15:15">
      <c r="O2980"/>
    </row>
    <row r="2981" spans="15:15">
      <c r="O2981"/>
    </row>
    <row r="2982" spans="15:15">
      <c r="O2982"/>
    </row>
    <row r="2983" spans="15:15">
      <c r="O2983"/>
    </row>
    <row r="2984" spans="15:15">
      <c r="O2984"/>
    </row>
    <row r="2985" spans="15:15">
      <c r="O2985"/>
    </row>
    <row r="2986" spans="15:15">
      <c r="O2986"/>
    </row>
    <row r="2987" spans="15:15">
      <c r="O2987"/>
    </row>
    <row r="2988" spans="15:15">
      <c r="O2988"/>
    </row>
    <row r="2989" spans="15:15">
      <c r="O2989"/>
    </row>
    <row r="2990" spans="15:15">
      <c r="O2990"/>
    </row>
    <row r="2991" spans="15:15">
      <c r="O2991"/>
    </row>
    <row r="2992" spans="15:15">
      <c r="O2992"/>
    </row>
    <row r="2993" spans="15:15">
      <c r="O2993"/>
    </row>
    <row r="2994" spans="15:15">
      <c r="O2994"/>
    </row>
    <row r="2995" spans="15:15">
      <c r="O2995"/>
    </row>
    <row r="2996" spans="15:15">
      <c r="O2996"/>
    </row>
    <row r="2997" spans="15:15">
      <c r="O2997"/>
    </row>
    <row r="2998" spans="15:15">
      <c r="O2998"/>
    </row>
    <row r="2999" spans="15:15">
      <c r="O2999"/>
    </row>
    <row r="3000" spans="15:15">
      <c r="O3000"/>
    </row>
    <row r="3001" spans="15:15">
      <c r="O3001"/>
    </row>
    <row r="3002" spans="15:15">
      <c r="O3002"/>
    </row>
    <row r="3003" spans="15:15">
      <c r="O3003"/>
    </row>
    <row r="3004" spans="15:15">
      <c r="O3004"/>
    </row>
    <row r="3005" spans="15:15">
      <c r="O3005"/>
    </row>
    <row r="3006" spans="15:15">
      <c r="O3006"/>
    </row>
    <row r="3007" spans="15:15">
      <c r="O3007"/>
    </row>
    <row r="3008" spans="15:15">
      <c r="O3008"/>
    </row>
    <row r="3009" spans="15:15">
      <c r="O3009"/>
    </row>
    <row r="3010" spans="15:15">
      <c r="O3010"/>
    </row>
    <row r="3011" spans="15:15">
      <c r="O3011"/>
    </row>
    <row r="3012" spans="15:15">
      <c r="O3012"/>
    </row>
    <row r="3013" spans="15:15">
      <c r="O3013"/>
    </row>
    <row r="3014" spans="15:15">
      <c r="O3014"/>
    </row>
    <row r="3015" spans="15:15">
      <c r="O3015"/>
    </row>
    <row r="3016" spans="15:15">
      <c r="O3016"/>
    </row>
    <row r="3017" spans="15:15">
      <c r="O3017"/>
    </row>
    <row r="3018" spans="15:15">
      <c r="O3018"/>
    </row>
    <row r="3019" spans="15:15">
      <c r="O3019"/>
    </row>
    <row r="3020" spans="15:15">
      <c r="O3020"/>
    </row>
  </sheetData>
  <autoFilter ref="K1:K3026" xr:uid="{00000000-0009-0000-0000-000002000000}"/>
  <sortState xmlns:xlrd2="http://schemas.microsoft.com/office/spreadsheetml/2017/richdata2" ref="O6:O901">
    <sortCondition descending="1" ref="O6:O901"/>
  </sortState>
  <mergeCells count="9">
    <mergeCell ref="A3:C3"/>
    <mergeCell ref="E3:G3"/>
    <mergeCell ref="I3:J3"/>
    <mergeCell ref="K3:M3"/>
    <mergeCell ref="A1:H2"/>
    <mergeCell ref="I1:J1"/>
    <mergeCell ref="K1:M1"/>
    <mergeCell ref="I2:J2"/>
    <mergeCell ref="K2:M2"/>
  </mergeCells>
  <conditionalFormatting sqref="I265:I1048576">
    <cfRule type="cellIs" dxfId="2706" priority="91" operator="equal">
      <formula>"SC1-7"</formula>
    </cfRule>
    <cfRule type="cellIs" dxfId="2705" priority="92" operator="equal">
      <formula>"B2-45"</formula>
    </cfRule>
  </conditionalFormatting>
  <conditionalFormatting sqref="I22:I42">
    <cfRule type="cellIs" dxfId="2704" priority="75" operator="equal">
      <formula>"SC1-7"</formula>
    </cfRule>
    <cfRule type="cellIs" dxfId="2703" priority="76" operator="equal">
      <formula>"B2-45"</formula>
    </cfRule>
  </conditionalFormatting>
  <conditionalFormatting sqref="I43:I77">
    <cfRule type="cellIs" dxfId="2702" priority="73" operator="equal">
      <formula>"SC1-7"</formula>
    </cfRule>
    <cfRule type="cellIs" dxfId="2701" priority="74" operator="equal">
      <formula>"B2-45"</formula>
    </cfRule>
  </conditionalFormatting>
  <conditionalFormatting sqref="I1:I4">
    <cfRule type="cellIs" dxfId="2700" priority="65" operator="equal">
      <formula>"SC1-7"</formula>
    </cfRule>
    <cfRule type="cellIs" dxfId="2699" priority="66" operator="equal">
      <formula>"B2-45"</formula>
    </cfRule>
  </conditionalFormatting>
  <conditionalFormatting sqref="I5">
    <cfRule type="cellIs" dxfId="2698" priority="19" operator="equal">
      <formula>"SC1-7"</formula>
    </cfRule>
    <cfRule type="cellIs" dxfId="2697" priority="20" operator="equal">
      <formula>"B2-45"</formula>
    </cfRule>
  </conditionalFormatting>
  <conditionalFormatting sqref="I16:I21">
    <cfRule type="cellIs" dxfId="2696" priority="55" operator="equal">
      <formula>"SC1-7"</formula>
    </cfRule>
    <cfRule type="cellIs" dxfId="2695" priority="56" operator="equal">
      <formula>"B2-45"</formula>
    </cfRule>
  </conditionalFormatting>
  <conditionalFormatting sqref="I6">
    <cfRule type="cellIs" dxfId="2694" priority="17" operator="equal">
      <formula>"SC1-7"</formula>
    </cfRule>
    <cfRule type="cellIs" dxfId="2693" priority="18" operator="equal">
      <formula>"B2-45"</formula>
    </cfRule>
  </conditionalFormatting>
  <conditionalFormatting sqref="I15">
    <cfRule type="cellIs" dxfId="2692" priority="43" operator="equal">
      <formula>"SC1-7"</formula>
    </cfRule>
    <cfRule type="cellIs" dxfId="2691" priority="44" operator="equal">
      <formula>"B2-45"</formula>
    </cfRule>
  </conditionalFormatting>
  <conditionalFormatting sqref="I14">
    <cfRule type="cellIs" dxfId="2690" priority="37" operator="equal">
      <formula>"SC1-7"</formula>
    </cfRule>
    <cfRule type="cellIs" dxfId="2689" priority="38" operator="equal">
      <formula>"B2-45"</formula>
    </cfRule>
  </conditionalFormatting>
  <conditionalFormatting sqref="I7">
    <cfRule type="cellIs" dxfId="2688" priority="15" operator="equal">
      <formula>"SC1-7"</formula>
    </cfRule>
    <cfRule type="cellIs" dxfId="2687" priority="16" operator="equal">
      <formula>"B2-45"</formula>
    </cfRule>
  </conditionalFormatting>
  <conditionalFormatting sqref="I8">
    <cfRule type="cellIs" dxfId="2686" priority="13" operator="equal">
      <formula>"SC1-7"</formula>
    </cfRule>
    <cfRule type="cellIs" dxfId="2685" priority="14" operator="equal">
      <formula>"B2-45"</formula>
    </cfRule>
  </conditionalFormatting>
  <conditionalFormatting sqref="I9">
    <cfRule type="cellIs" dxfId="2684" priority="11" operator="equal">
      <formula>"SC1-7"</formula>
    </cfRule>
    <cfRule type="cellIs" dxfId="2683" priority="12" operator="equal">
      <formula>"B2-45"</formula>
    </cfRule>
  </conditionalFormatting>
  <conditionalFormatting sqref="I10">
    <cfRule type="cellIs" dxfId="2682" priority="9" operator="equal">
      <formula>"SC1-7"</formula>
    </cfRule>
    <cfRule type="cellIs" dxfId="2681" priority="10" operator="equal">
      <formula>"B2-45"</formula>
    </cfRule>
  </conditionalFormatting>
  <conditionalFormatting sqref="I11">
    <cfRule type="cellIs" dxfId="2680" priority="7" operator="equal">
      <formula>"SC1-7"</formula>
    </cfRule>
    <cfRule type="cellIs" dxfId="2679" priority="8" operator="equal">
      <formula>"B2-45"</formula>
    </cfRule>
  </conditionalFormatting>
  <conditionalFormatting sqref="I12:I14">
    <cfRule type="cellIs" dxfId="2678" priority="5" operator="equal">
      <formula>"SC1-7"</formula>
    </cfRule>
    <cfRule type="cellIs" dxfId="2677" priority="6" operator="equal">
      <formula>"B2-45"</formula>
    </cfRule>
  </conditionalFormatting>
  <conditionalFormatting sqref="I13">
    <cfRule type="cellIs" dxfId="2676" priority="3" operator="equal">
      <formula>"SC1-7"</formula>
    </cfRule>
    <cfRule type="cellIs" dxfId="2675" priority="4" operator="equal">
      <formula>"B2-45"</formula>
    </cfRule>
  </conditionalFormatting>
  <conditionalFormatting sqref="I78:I264">
    <cfRule type="cellIs" dxfId="2674" priority="1" operator="equal">
      <formula>"SC1-7"</formula>
    </cfRule>
    <cfRule type="cellIs" dxfId="2673" priority="2" operator="equal">
      <formula>"B2-45"</formula>
    </cfRule>
  </conditionalFormatting>
  <pageMargins left="0.25" right="0" top="0" bottom="0" header="0.3" footer="0.3"/>
  <pageSetup orientation="portrait" r:id="rId1"/>
  <headerFooter>
    <oddFooter>&amp;C&amp;P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00B0F0"/>
    <pageSetUpPr fitToPage="1"/>
  </sheetPr>
  <dimension ref="A1:P2438"/>
  <sheetViews>
    <sheetView view="pageBreakPreview" topLeftCell="A75" zoomScaleNormal="85" zoomScaleSheetLayoutView="100" workbookViewId="0">
      <selection activeCell="E93" sqref="E93"/>
    </sheetView>
  </sheetViews>
  <sheetFormatPr defaultColWidth="8.7109375" defaultRowHeight="15"/>
  <cols>
    <col min="1" max="1" width="6.85546875" customWidth="1"/>
    <col min="2" max="2" width="35.85546875" customWidth="1"/>
    <col min="3" max="3" width="9" customWidth="1"/>
    <col min="4" max="4" width="4.42578125" bestFit="1" customWidth="1"/>
    <col min="5" max="5" width="7.7109375" customWidth="1"/>
    <col min="6" max="6" width="6.85546875" customWidth="1"/>
    <col min="7" max="7" width="4.140625" hidden="1" customWidth="1"/>
    <col min="8" max="8" width="5.5703125" customWidth="1"/>
    <col min="9" max="9" width="34.7109375" bestFit="1" customWidth="1"/>
    <col min="10" max="10" width="6.42578125" customWidth="1"/>
    <col min="11" max="11" width="8.7109375" customWidth="1"/>
    <col min="12" max="12" width="4.7109375" style="27" customWidth="1"/>
    <col min="13" max="13" width="7.28515625" customWidth="1"/>
    <col min="14" max="14" width="12.42578125" style="26" customWidth="1"/>
    <col min="15" max="15" width="20.42578125" style="26" hidden="1" customWidth="1"/>
    <col min="16" max="16" width="8.7109375" style="26" hidden="1" customWidth="1"/>
    <col min="17" max="16384" width="8.7109375" style="26"/>
  </cols>
  <sheetData>
    <row r="1" spans="1:16">
      <c r="A1" s="78" t="s">
        <v>4</v>
      </c>
      <c r="B1" s="79"/>
      <c r="C1" s="79"/>
      <c r="D1" s="79"/>
      <c r="E1" s="79"/>
      <c r="F1" s="79"/>
      <c r="G1" s="79"/>
      <c r="H1" s="80"/>
      <c r="I1" s="87" t="s">
        <v>8</v>
      </c>
      <c r="J1" s="88"/>
      <c r="K1" s="89" t="s">
        <v>70</v>
      </c>
      <c r="L1" s="90"/>
      <c r="M1" s="91"/>
      <c r="O1" s="26" t="str">
        <f t="shared" ref="O1:O6" si="0">IF(AND(J1051&gt;0,K1051&gt;0),I1051,"")</f>
        <v/>
      </c>
      <c r="P1" s="26" t="str">
        <f t="shared" ref="P1:P6" si="1">IF(AND(J1051&gt;0,K1051&gt;0),K1051,"")</f>
        <v/>
      </c>
    </row>
    <row r="2" spans="1:16">
      <c r="A2" s="81"/>
      <c r="B2" s="82"/>
      <c r="C2" s="82"/>
      <c r="D2" s="82"/>
      <c r="E2" s="82"/>
      <c r="F2" s="82"/>
      <c r="G2" s="82"/>
      <c r="H2" s="83"/>
      <c r="I2" s="87" t="s">
        <v>25</v>
      </c>
      <c r="J2" s="88"/>
      <c r="K2" s="92" t="s">
        <v>1662</v>
      </c>
      <c r="L2" s="93"/>
      <c r="M2" s="94"/>
      <c r="O2" s="26" t="str">
        <f t="shared" si="0"/>
        <v/>
      </c>
      <c r="P2" s="26" t="str">
        <f t="shared" si="1"/>
        <v/>
      </c>
    </row>
    <row r="3" spans="1:16">
      <c r="A3" s="84"/>
      <c r="B3" s="85"/>
      <c r="C3" s="85"/>
      <c r="D3" s="85"/>
      <c r="E3" s="85"/>
      <c r="F3" s="85"/>
      <c r="G3" s="85"/>
      <c r="H3" s="86"/>
      <c r="I3" s="87" t="s">
        <v>26</v>
      </c>
      <c r="J3" s="88"/>
      <c r="K3" s="95" t="s">
        <v>577</v>
      </c>
      <c r="L3" s="96"/>
      <c r="M3" s="97"/>
      <c r="O3" s="26" t="str">
        <f t="shared" si="0"/>
        <v/>
      </c>
      <c r="P3" s="26" t="str">
        <f t="shared" si="1"/>
        <v/>
      </c>
    </row>
    <row r="4" spans="1:16">
      <c r="A4" s="98" t="s">
        <v>31</v>
      </c>
      <c r="B4" s="99"/>
      <c r="C4" s="98" t="s">
        <v>32</v>
      </c>
      <c r="D4" s="102"/>
      <c r="E4" s="102"/>
      <c r="F4" s="102"/>
      <c r="G4" s="102"/>
      <c r="H4" s="99"/>
      <c r="I4" s="40" t="s">
        <v>29</v>
      </c>
      <c r="J4" s="41"/>
      <c r="K4" s="87" t="s">
        <v>1328</v>
      </c>
      <c r="L4" s="104"/>
      <c r="M4" s="88"/>
      <c r="O4" s="26" t="str">
        <f t="shared" si="0"/>
        <v>Marking</v>
      </c>
      <c r="P4" s="26" t="str">
        <f t="shared" si="1"/>
        <v>P. MARK [MM]</v>
      </c>
    </row>
    <row r="5" spans="1:16">
      <c r="A5" s="100"/>
      <c r="B5" s="101"/>
      <c r="C5" s="100"/>
      <c r="D5" s="103"/>
      <c r="E5" s="103"/>
      <c r="F5" s="103"/>
      <c r="G5" s="103"/>
      <c r="H5" s="101"/>
      <c r="I5" s="87" t="s">
        <v>30</v>
      </c>
      <c r="J5" s="88"/>
      <c r="K5" s="87" t="s">
        <v>1853</v>
      </c>
      <c r="L5" s="104"/>
      <c r="M5" s="88"/>
      <c r="O5" s="26" t="str">
        <f t="shared" si="0"/>
        <v>&lt;5&gt;_1R71-BFW-90022-03-2_EKO</v>
      </c>
      <c r="P5" s="26">
        <f t="shared" si="1"/>
        <v>696</v>
      </c>
    </row>
    <row r="6" spans="1:16">
      <c r="A6" s="105" t="s">
        <v>24</v>
      </c>
      <c r="B6" s="106"/>
      <c r="C6" s="107"/>
      <c r="D6" s="42">
        <v>1</v>
      </c>
      <c r="E6" s="108" t="s">
        <v>40</v>
      </c>
      <c r="F6" s="109"/>
      <c r="G6" s="110"/>
      <c r="H6" s="42">
        <v>1</v>
      </c>
      <c r="I6" s="87" t="s">
        <v>27</v>
      </c>
      <c r="J6" s="88"/>
      <c r="K6" s="87" t="s">
        <v>21</v>
      </c>
      <c r="L6" s="104"/>
      <c r="M6" s="88"/>
      <c r="O6" s="26" t="str">
        <f t="shared" si="0"/>
        <v>&lt;4&gt;_1R71-QW-20013-01-1_EKO</v>
      </c>
      <c r="P6" s="26">
        <f t="shared" si="1"/>
        <v>609</v>
      </c>
    </row>
    <row r="7" spans="1:16" ht="45">
      <c r="A7" s="3" t="s">
        <v>9</v>
      </c>
      <c r="B7" s="3" t="s">
        <v>10</v>
      </c>
      <c r="C7" s="3" t="s">
        <v>11</v>
      </c>
      <c r="D7" s="3" t="s">
        <v>3</v>
      </c>
      <c r="E7" s="4" t="s">
        <v>41</v>
      </c>
      <c r="F7" s="4" t="s">
        <v>12</v>
      </c>
      <c r="G7" s="3" t="s">
        <v>13</v>
      </c>
      <c r="H7" s="3" t="s">
        <v>14</v>
      </c>
      <c r="I7" s="3" t="s">
        <v>1103</v>
      </c>
      <c r="J7" s="3" t="s">
        <v>16</v>
      </c>
      <c r="K7" s="3" t="s">
        <v>17</v>
      </c>
      <c r="L7" s="3" t="s">
        <v>18</v>
      </c>
      <c r="M7" s="3" t="s">
        <v>19</v>
      </c>
      <c r="O7" s="26" t="str">
        <f t="shared" ref="O7:O12" si="2">IF(AND(J1057&gt;0,K1057&gt;0),I1057,"")</f>
        <v>&lt;4&gt;_1R71-BFW-90002-03-2_EKO</v>
      </c>
      <c r="P7" s="26">
        <f t="shared" ref="P7:P12" si="3">IF(AND(J1057&gt;0,K1057&gt;0),K1057,"")</f>
        <v>199</v>
      </c>
    </row>
    <row r="8" spans="1:16">
      <c r="A8" s="18">
        <v>1</v>
      </c>
      <c r="B8" s="111" t="s">
        <v>1854</v>
      </c>
      <c r="C8" s="18">
        <v>0</v>
      </c>
      <c r="D8" s="18">
        <v>1</v>
      </c>
      <c r="E8" s="20">
        <v>11500</v>
      </c>
      <c r="F8" s="20">
        <v>-26</v>
      </c>
      <c r="G8" s="18"/>
      <c r="H8" s="18">
        <v>1</v>
      </c>
      <c r="I8" s="21" t="s">
        <v>1851</v>
      </c>
      <c r="J8" s="18">
        <v>1</v>
      </c>
      <c r="K8" s="18">
        <v>11500</v>
      </c>
      <c r="L8" s="22"/>
      <c r="M8" s="18"/>
      <c r="O8" s="26" t="str">
        <f t="shared" si="2"/>
        <v/>
      </c>
      <c r="P8" s="26" t="str">
        <f t="shared" si="3"/>
        <v/>
      </c>
    </row>
    <row r="9" spans="1:16">
      <c r="A9" s="18"/>
      <c r="B9" s="112"/>
      <c r="C9" s="18"/>
      <c r="D9" s="18"/>
      <c r="E9" s="20"/>
      <c r="F9" s="20"/>
      <c r="G9" s="18"/>
      <c r="H9" s="18"/>
      <c r="I9" s="21"/>
      <c r="J9" s="18"/>
      <c r="K9" s="18"/>
      <c r="L9" s="22"/>
      <c r="M9" s="18"/>
      <c r="O9" s="26" t="str">
        <f t="shared" si="2"/>
        <v/>
      </c>
      <c r="P9" s="26" t="str">
        <f t="shared" si="3"/>
        <v/>
      </c>
    </row>
    <row r="10" spans="1:16">
      <c r="A10" s="78" t="s">
        <v>4</v>
      </c>
      <c r="B10" s="79"/>
      <c r="C10" s="79"/>
      <c r="D10" s="79"/>
      <c r="E10" s="79"/>
      <c r="F10" s="79"/>
      <c r="G10" s="79"/>
      <c r="H10" s="80"/>
      <c r="I10" s="87" t="s">
        <v>8</v>
      </c>
      <c r="J10" s="88"/>
      <c r="K10" s="89" t="s">
        <v>70</v>
      </c>
      <c r="L10" s="90"/>
      <c r="M10" s="91"/>
      <c r="O10" s="26" t="str">
        <f t="shared" si="2"/>
        <v/>
      </c>
      <c r="P10" s="26" t="str">
        <f t="shared" si="3"/>
        <v/>
      </c>
    </row>
    <row r="11" spans="1:16">
      <c r="A11" s="81"/>
      <c r="B11" s="82"/>
      <c r="C11" s="82"/>
      <c r="D11" s="82"/>
      <c r="E11" s="82"/>
      <c r="F11" s="82"/>
      <c r="G11" s="82"/>
      <c r="H11" s="83"/>
      <c r="I11" s="87" t="s">
        <v>25</v>
      </c>
      <c r="J11" s="88"/>
      <c r="K11" s="92" t="s">
        <v>1662</v>
      </c>
      <c r="L11" s="93"/>
      <c r="M11" s="94"/>
      <c r="O11" s="26" t="str">
        <f t="shared" si="2"/>
        <v/>
      </c>
      <c r="P11" s="26" t="str">
        <f t="shared" si="3"/>
        <v/>
      </c>
    </row>
    <row r="12" spans="1:16">
      <c r="A12" s="84"/>
      <c r="B12" s="85"/>
      <c r="C12" s="85"/>
      <c r="D12" s="85"/>
      <c r="E12" s="85"/>
      <c r="F12" s="85"/>
      <c r="G12" s="85"/>
      <c r="H12" s="86"/>
      <c r="I12" s="87" t="s">
        <v>26</v>
      </c>
      <c r="J12" s="88"/>
      <c r="K12" s="95" t="s">
        <v>1414</v>
      </c>
      <c r="L12" s="96"/>
      <c r="M12" s="97"/>
      <c r="O12" s="26" t="str">
        <f t="shared" si="2"/>
        <v/>
      </c>
      <c r="P12" s="26" t="str">
        <f t="shared" si="3"/>
        <v/>
      </c>
    </row>
    <row r="13" spans="1:16">
      <c r="A13" s="98" t="s">
        <v>31</v>
      </c>
      <c r="B13" s="99"/>
      <c r="C13" s="98" t="s">
        <v>32</v>
      </c>
      <c r="D13" s="102"/>
      <c r="E13" s="102"/>
      <c r="F13" s="102"/>
      <c r="G13" s="102"/>
      <c r="H13" s="99"/>
      <c r="I13" s="40" t="s">
        <v>29</v>
      </c>
      <c r="J13" s="41"/>
      <c r="K13" s="87" t="s">
        <v>1328</v>
      </c>
      <c r="L13" s="104"/>
      <c r="M13" s="88"/>
      <c r="O13" s="26" t="str">
        <f t="shared" ref="O13:O18" si="4">IF(AND(J1063&gt;0,K1063&gt;0),I1063,"")</f>
        <v/>
      </c>
      <c r="P13" s="26" t="str">
        <f t="shared" ref="P13:P18" si="5">IF(AND(J1063&gt;0,K1063&gt;0),K1063,"")</f>
        <v/>
      </c>
    </row>
    <row r="14" spans="1:16">
      <c r="A14" s="100"/>
      <c r="B14" s="101"/>
      <c r="C14" s="100"/>
      <c r="D14" s="103"/>
      <c r="E14" s="103"/>
      <c r="F14" s="103"/>
      <c r="G14" s="103"/>
      <c r="H14" s="101"/>
      <c r="I14" s="87" t="s">
        <v>30</v>
      </c>
      <c r="J14" s="88"/>
      <c r="K14" s="87" t="s">
        <v>1850</v>
      </c>
      <c r="L14" s="104"/>
      <c r="M14" s="88"/>
      <c r="O14" s="26" t="str">
        <f t="shared" si="4"/>
        <v/>
      </c>
      <c r="P14" s="26" t="str">
        <f t="shared" si="5"/>
        <v/>
      </c>
    </row>
    <row r="15" spans="1:16">
      <c r="A15" s="105" t="s">
        <v>24</v>
      </c>
      <c r="B15" s="106"/>
      <c r="C15" s="107"/>
      <c r="D15" s="42">
        <v>2</v>
      </c>
      <c r="E15" s="108" t="s">
        <v>40</v>
      </c>
      <c r="F15" s="109"/>
      <c r="G15" s="110"/>
      <c r="H15" s="42">
        <v>4</v>
      </c>
      <c r="I15" s="87" t="s">
        <v>27</v>
      </c>
      <c r="J15" s="88"/>
      <c r="K15" s="87" t="s">
        <v>21</v>
      </c>
      <c r="L15" s="104"/>
      <c r="M15" s="88"/>
      <c r="O15" s="26" t="str">
        <f t="shared" si="4"/>
        <v>Marking</v>
      </c>
      <c r="P15" s="26" t="str">
        <f t="shared" si="5"/>
        <v>P. MARK [MM]</v>
      </c>
    </row>
    <row r="16" spans="1:16" ht="45">
      <c r="A16" s="3" t="s">
        <v>9</v>
      </c>
      <c r="B16" s="3" t="s">
        <v>10</v>
      </c>
      <c r="C16" s="3" t="s">
        <v>11</v>
      </c>
      <c r="D16" s="3" t="s">
        <v>3</v>
      </c>
      <c r="E16" s="4" t="s">
        <v>41</v>
      </c>
      <c r="F16" s="4" t="s">
        <v>12</v>
      </c>
      <c r="G16" s="3" t="s">
        <v>13</v>
      </c>
      <c r="H16" s="3" t="s">
        <v>14</v>
      </c>
      <c r="I16" s="3" t="s">
        <v>1103</v>
      </c>
      <c r="J16" s="3" t="s">
        <v>16</v>
      </c>
      <c r="K16" s="3" t="s">
        <v>17</v>
      </c>
      <c r="L16" s="3" t="s">
        <v>18</v>
      </c>
      <c r="M16" s="3" t="s">
        <v>19</v>
      </c>
      <c r="O16" s="26" t="str">
        <f t="shared" si="4"/>
        <v>&lt;6&gt;_1R71-PL-60045-02-1_EKO</v>
      </c>
      <c r="P16" s="26">
        <f t="shared" si="5"/>
        <v>739</v>
      </c>
    </row>
    <row r="17" spans="1:16">
      <c r="A17" s="18">
        <v>1</v>
      </c>
      <c r="B17" s="111" t="s">
        <v>1416</v>
      </c>
      <c r="C17" s="18"/>
      <c r="D17" s="18">
        <v>1</v>
      </c>
      <c r="E17" s="20">
        <v>11500</v>
      </c>
      <c r="F17" s="20">
        <v>4074</v>
      </c>
      <c r="G17" s="18"/>
      <c r="H17" s="18">
        <v>1</v>
      </c>
      <c r="I17" s="21" t="s">
        <v>1848</v>
      </c>
      <c r="J17" s="18">
        <v>1</v>
      </c>
      <c r="K17" s="18">
        <v>3212</v>
      </c>
      <c r="L17" s="22"/>
      <c r="M17" s="18"/>
      <c r="O17" s="26" t="str">
        <f t="shared" si="4"/>
        <v>&lt;1&gt;_1R71-PL-60045-01-1_EKO</v>
      </c>
      <c r="P17" s="26">
        <f t="shared" si="5"/>
        <v>691</v>
      </c>
    </row>
    <row r="18" spans="1:16">
      <c r="A18" s="18"/>
      <c r="B18" s="113"/>
      <c r="C18" s="18"/>
      <c r="D18" s="18"/>
      <c r="E18" s="20"/>
      <c r="F18" s="20"/>
      <c r="G18" s="18"/>
      <c r="H18" s="18">
        <v>1</v>
      </c>
      <c r="I18" s="21" t="s">
        <v>1849</v>
      </c>
      <c r="J18" s="18">
        <v>1</v>
      </c>
      <c r="K18" s="18">
        <v>2724</v>
      </c>
      <c r="L18" s="22"/>
      <c r="M18" s="18"/>
      <c r="O18" s="26" t="str">
        <f t="shared" si="4"/>
        <v>&lt;5&gt;_1R71-PL-60045-02-1_EKO</v>
      </c>
      <c r="P18" s="26">
        <f t="shared" si="5"/>
        <v>11500</v>
      </c>
    </row>
    <row r="19" spans="1:16">
      <c r="A19" s="18"/>
      <c r="B19" s="113"/>
      <c r="C19" s="18"/>
      <c r="D19" s="18"/>
      <c r="E19" s="20"/>
      <c r="F19" s="20"/>
      <c r="G19" s="18"/>
      <c r="H19" s="18">
        <v>1</v>
      </c>
      <c r="I19" s="21" t="s">
        <v>1847</v>
      </c>
      <c r="J19" s="18">
        <v>1</v>
      </c>
      <c r="K19" s="18">
        <v>1412</v>
      </c>
      <c r="L19" s="22"/>
      <c r="M19" s="18"/>
      <c r="O19" s="26" t="str">
        <f t="shared" ref="O19:O24" si="6">IF(AND(J1069&gt;0,K1069&gt;0),I1069,"")</f>
        <v>&lt;2&gt;_1R71-PL-60045-01-1_EKO</v>
      </c>
      <c r="P19" s="26">
        <f t="shared" ref="P19:P24" si="7">IF(AND(J1069&gt;0,K1069&gt;0),K1069,"")</f>
        <v>11500</v>
      </c>
    </row>
    <row r="20" spans="1:16">
      <c r="A20" s="18">
        <v>2</v>
      </c>
      <c r="B20" s="112"/>
      <c r="C20" s="18"/>
      <c r="D20" s="18">
        <v>1</v>
      </c>
      <c r="E20" s="20">
        <v>11500</v>
      </c>
      <c r="F20" s="20"/>
      <c r="G20" s="18"/>
      <c r="H20" s="18">
        <v>1</v>
      </c>
      <c r="I20" s="21" t="s">
        <v>1846</v>
      </c>
      <c r="J20" s="18">
        <v>1</v>
      </c>
      <c r="K20" s="18">
        <v>11500</v>
      </c>
      <c r="L20" s="22"/>
      <c r="M20" s="18"/>
      <c r="O20" s="26" t="str">
        <f t="shared" si="6"/>
        <v/>
      </c>
      <c r="P20" s="26" t="str">
        <f t="shared" si="7"/>
        <v/>
      </c>
    </row>
    <row r="21" spans="1:16">
      <c r="A21" s="18"/>
      <c r="B21" s="18"/>
      <c r="C21" s="18"/>
      <c r="D21" s="18"/>
      <c r="E21" s="20"/>
      <c r="F21" s="20"/>
      <c r="G21" s="18"/>
      <c r="H21" s="18"/>
      <c r="I21" s="21"/>
      <c r="J21" s="18"/>
      <c r="K21" s="18"/>
      <c r="L21" s="22"/>
      <c r="M21" s="18"/>
      <c r="O21" s="26" t="str">
        <f t="shared" si="6"/>
        <v/>
      </c>
      <c r="P21" s="26" t="str">
        <f t="shared" si="7"/>
        <v/>
      </c>
    </row>
    <row r="22" spans="1:16">
      <c r="A22" s="78" t="s">
        <v>4</v>
      </c>
      <c r="B22" s="79"/>
      <c r="C22" s="79"/>
      <c r="D22" s="79"/>
      <c r="E22" s="79"/>
      <c r="F22" s="79"/>
      <c r="G22" s="79"/>
      <c r="H22" s="80"/>
      <c r="I22" s="87" t="s">
        <v>8</v>
      </c>
      <c r="J22" s="88"/>
      <c r="K22" s="89" t="s">
        <v>70</v>
      </c>
      <c r="L22" s="90"/>
      <c r="M22" s="91"/>
      <c r="O22" s="26" t="str">
        <f t="shared" si="6"/>
        <v/>
      </c>
      <c r="P22" s="26" t="str">
        <f t="shared" si="7"/>
        <v/>
      </c>
    </row>
    <row r="23" spans="1:16">
      <c r="A23" s="81"/>
      <c r="B23" s="82"/>
      <c r="C23" s="82"/>
      <c r="D23" s="82"/>
      <c r="E23" s="82"/>
      <c r="F23" s="82"/>
      <c r="G23" s="82"/>
      <c r="H23" s="83"/>
      <c r="I23" s="87" t="s">
        <v>25</v>
      </c>
      <c r="J23" s="88"/>
      <c r="K23" s="92" t="s">
        <v>1662</v>
      </c>
      <c r="L23" s="93"/>
      <c r="M23" s="94"/>
      <c r="O23" s="26" t="str">
        <f t="shared" si="6"/>
        <v/>
      </c>
      <c r="P23" s="26" t="str">
        <f t="shared" si="7"/>
        <v/>
      </c>
    </row>
    <row r="24" spans="1:16">
      <c r="A24" s="84"/>
      <c r="B24" s="85"/>
      <c r="C24" s="85"/>
      <c r="D24" s="85"/>
      <c r="E24" s="85"/>
      <c r="F24" s="85"/>
      <c r="G24" s="85"/>
      <c r="H24" s="86"/>
      <c r="I24" s="87" t="s">
        <v>26</v>
      </c>
      <c r="J24" s="88"/>
      <c r="K24" s="95" t="s">
        <v>1843</v>
      </c>
      <c r="L24" s="96"/>
      <c r="M24" s="97"/>
      <c r="O24" s="26" t="str">
        <f t="shared" si="6"/>
        <v/>
      </c>
      <c r="P24" s="26" t="str">
        <f t="shared" si="7"/>
        <v/>
      </c>
    </row>
    <row r="25" spans="1:16">
      <c r="A25" s="98" t="s">
        <v>31</v>
      </c>
      <c r="B25" s="99"/>
      <c r="C25" s="98" t="s">
        <v>32</v>
      </c>
      <c r="D25" s="102"/>
      <c r="E25" s="102"/>
      <c r="F25" s="102"/>
      <c r="G25" s="102"/>
      <c r="H25" s="99"/>
      <c r="I25" s="40" t="s">
        <v>29</v>
      </c>
      <c r="J25" s="41"/>
      <c r="K25" s="87" t="s">
        <v>1328</v>
      </c>
      <c r="L25" s="104"/>
      <c r="M25" s="88"/>
      <c r="O25" s="26" t="str">
        <f t="shared" ref="O25:O30" si="8">IF(AND(J1075&gt;0,K1075&gt;0),I1075,"")</f>
        <v/>
      </c>
      <c r="P25" s="26" t="str">
        <f t="shared" ref="P25:P30" si="9">IF(AND(J1075&gt;0,K1075&gt;0),K1075,"")</f>
        <v/>
      </c>
    </row>
    <row r="26" spans="1:16">
      <c r="A26" s="100"/>
      <c r="B26" s="101"/>
      <c r="C26" s="100"/>
      <c r="D26" s="103"/>
      <c r="E26" s="103"/>
      <c r="F26" s="103"/>
      <c r="G26" s="103"/>
      <c r="H26" s="101"/>
      <c r="I26" s="87" t="s">
        <v>30</v>
      </c>
      <c r="J26" s="88"/>
      <c r="K26" s="87" t="s">
        <v>1844</v>
      </c>
      <c r="L26" s="104"/>
      <c r="M26" s="88"/>
      <c r="O26" s="26" t="str">
        <f t="shared" si="8"/>
        <v/>
      </c>
      <c r="P26" s="26" t="str">
        <f t="shared" si="9"/>
        <v/>
      </c>
    </row>
    <row r="27" spans="1:16">
      <c r="A27" s="105" t="s">
        <v>24</v>
      </c>
      <c r="B27" s="106"/>
      <c r="C27" s="107"/>
      <c r="D27" s="42">
        <v>3</v>
      </c>
      <c r="E27" s="108" t="s">
        <v>40</v>
      </c>
      <c r="F27" s="109"/>
      <c r="G27" s="110"/>
      <c r="H27" s="42">
        <v>4</v>
      </c>
      <c r="I27" s="87" t="s">
        <v>27</v>
      </c>
      <c r="J27" s="88"/>
      <c r="K27" s="87" t="s">
        <v>21</v>
      </c>
      <c r="L27" s="104"/>
      <c r="M27" s="88"/>
      <c r="O27" s="26" t="str">
        <f t="shared" si="8"/>
        <v>Marking</v>
      </c>
      <c r="P27" s="26" t="str">
        <f t="shared" si="9"/>
        <v>P. MARK [MM]</v>
      </c>
    </row>
    <row r="28" spans="1:16" ht="45">
      <c r="A28" s="3" t="s">
        <v>9</v>
      </c>
      <c r="B28" s="3" t="s">
        <v>10</v>
      </c>
      <c r="C28" s="3" t="s">
        <v>11</v>
      </c>
      <c r="D28" s="3" t="s">
        <v>3</v>
      </c>
      <c r="E28" s="4" t="s">
        <v>41</v>
      </c>
      <c r="F28" s="4" t="s">
        <v>12</v>
      </c>
      <c r="G28" s="3" t="s">
        <v>13</v>
      </c>
      <c r="H28" s="3" t="s">
        <v>14</v>
      </c>
      <c r="I28" s="3" t="s">
        <v>1103</v>
      </c>
      <c r="J28" s="3" t="s">
        <v>16</v>
      </c>
      <c r="K28" s="3" t="s">
        <v>17</v>
      </c>
      <c r="L28" s="3" t="s">
        <v>18</v>
      </c>
      <c r="M28" s="3" t="s">
        <v>19</v>
      </c>
      <c r="O28" s="26" t="str">
        <f t="shared" si="8"/>
        <v>&lt;4&gt;_1R11-VBW-90011-03-3_EKO</v>
      </c>
      <c r="P28" s="26">
        <f t="shared" si="9"/>
        <v>7491</v>
      </c>
    </row>
    <row r="29" spans="1:16">
      <c r="A29" s="18">
        <v>1</v>
      </c>
      <c r="B29" s="111" t="s">
        <v>1845</v>
      </c>
      <c r="C29" s="18"/>
      <c r="D29" s="18">
        <v>1</v>
      </c>
      <c r="E29" s="20">
        <v>11500</v>
      </c>
      <c r="F29" s="20">
        <v>3143</v>
      </c>
      <c r="G29" s="18"/>
      <c r="H29" s="18">
        <v>1</v>
      </c>
      <c r="I29" s="21" t="s">
        <v>1841</v>
      </c>
      <c r="J29" s="18">
        <v>1</v>
      </c>
      <c r="K29" s="18">
        <v>8331</v>
      </c>
      <c r="L29" s="22"/>
      <c r="M29" s="18"/>
      <c r="O29" s="26" t="str">
        <f t="shared" si="8"/>
        <v>&lt;3&gt;_1R11-VBW-90011-03-2_EKO</v>
      </c>
      <c r="P29" s="26">
        <f t="shared" si="9"/>
        <v>3691</v>
      </c>
    </row>
    <row r="30" spans="1:16">
      <c r="A30" s="18">
        <v>2</v>
      </c>
      <c r="B30" s="113"/>
      <c r="C30" s="18"/>
      <c r="D30" s="18">
        <v>1</v>
      </c>
      <c r="E30" s="20">
        <v>11500</v>
      </c>
      <c r="F30" s="20">
        <v>7476</v>
      </c>
      <c r="G30" s="18"/>
      <c r="H30" s="18">
        <v>1</v>
      </c>
      <c r="I30" s="21" t="s">
        <v>1840</v>
      </c>
      <c r="J30" s="18">
        <v>1</v>
      </c>
      <c r="K30" s="18">
        <v>3998</v>
      </c>
      <c r="L30" s="22"/>
      <c r="M30" s="18"/>
      <c r="O30" s="26" t="str">
        <f t="shared" si="8"/>
        <v>&lt;4&gt;_1R11-VBW-90011-04-2_EKO</v>
      </c>
      <c r="P30" s="26">
        <f t="shared" si="9"/>
        <v>4397</v>
      </c>
    </row>
    <row r="31" spans="1:16">
      <c r="A31" s="18">
        <v>3</v>
      </c>
      <c r="B31" s="113"/>
      <c r="C31" s="18"/>
      <c r="D31" s="18">
        <v>1</v>
      </c>
      <c r="E31" s="20">
        <v>11500</v>
      </c>
      <c r="F31" s="20">
        <v>1255</v>
      </c>
      <c r="G31" s="18"/>
      <c r="H31" s="18">
        <v>1</v>
      </c>
      <c r="I31" s="21" t="s">
        <v>1842</v>
      </c>
      <c r="J31" s="18">
        <v>1</v>
      </c>
      <c r="K31" s="18">
        <v>9995</v>
      </c>
      <c r="L31" s="22"/>
      <c r="M31" s="18"/>
      <c r="O31" s="26" t="str">
        <f t="shared" ref="O31:O36" si="10">IF(AND(J1081&gt;0,K1081&gt;0),I1081,"")</f>
        <v>&lt;4&gt;_1R11-VBW-90011-05-2_EKO</v>
      </c>
      <c r="P31" s="26">
        <f t="shared" ref="P31:P36" si="11">IF(AND(J1081&gt;0,K1081&gt;0),K1081,"")</f>
        <v>4287</v>
      </c>
    </row>
    <row r="32" spans="1:16">
      <c r="A32" s="18"/>
      <c r="B32" s="112"/>
      <c r="C32" s="18"/>
      <c r="D32" s="18"/>
      <c r="E32" s="20"/>
      <c r="F32" s="20"/>
      <c r="G32" s="18"/>
      <c r="H32" s="18">
        <v>1</v>
      </c>
      <c r="I32" s="21" t="s">
        <v>1838</v>
      </c>
      <c r="J32" s="18">
        <v>1</v>
      </c>
      <c r="K32" s="18">
        <v>198</v>
      </c>
      <c r="L32" s="22"/>
      <c r="M32" s="18"/>
      <c r="O32" s="26" t="str">
        <f t="shared" si="10"/>
        <v>&lt;1&gt;_1R11-VBW-90011-01-1_EKO</v>
      </c>
      <c r="P32" s="26">
        <f t="shared" si="11"/>
        <v>691</v>
      </c>
    </row>
    <row r="33" spans="1:16">
      <c r="A33" s="18"/>
      <c r="B33" s="18"/>
      <c r="C33" s="18"/>
      <c r="D33" s="18"/>
      <c r="E33" s="20"/>
      <c r="F33" s="20"/>
      <c r="G33" s="18"/>
      <c r="H33" s="18"/>
      <c r="I33" s="21"/>
      <c r="J33" s="18"/>
      <c r="K33" s="18"/>
      <c r="L33" s="22"/>
      <c r="M33" s="18"/>
      <c r="O33" s="26" t="str">
        <f t="shared" si="10"/>
        <v>&lt;5&gt;_1R11-VBW-90011-03-3_EKO</v>
      </c>
      <c r="P33" s="26">
        <f t="shared" si="11"/>
        <v>691</v>
      </c>
    </row>
    <row r="34" spans="1:16">
      <c r="A34" s="78" t="s">
        <v>4</v>
      </c>
      <c r="B34" s="79"/>
      <c r="C34" s="79"/>
      <c r="D34" s="79"/>
      <c r="E34" s="79"/>
      <c r="F34" s="79"/>
      <c r="G34" s="79"/>
      <c r="H34" s="80"/>
      <c r="I34" s="87" t="s">
        <v>8</v>
      </c>
      <c r="J34" s="88"/>
      <c r="K34" s="89" t="s">
        <v>70</v>
      </c>
      <c r="L34" s="90"/>
      <c r="M34" s="91"/>
      <c r="O34" s="26" t="str">
        <f t="shared" si="10"/>
        <v>&lt;5&gt;_1R11-VBW-90011-05-2_EKO</v>
      </c>
      <c r="P34" s="26">
        <f t="shared" si="11"/>
        <v>4287</v>
      </c>
    </row>
    <row r="35" spans="1:16">
      <c r="A35" s="81"/>
      <c r="B35" s="82"/>
      <c r="C35" s="82"/>
      <c r="D35" s="82"/>
      <c r="E35" s="82"/>
      <c r="F35" s="82"/>
      <c r="G35" s="82"/>
      <c r="H35" s="83"/>
      <c r="I35" s="87" t="s">
        <v>25</v>
      </c>
      <c r="J35" s="88"/>
      <c r="K35" s="92" t="s">
        <v>1662</v>
      </c>
      <c r="L35" s="93"/>
      <c r="M35" s="94"/>
      <c r="O35" s="26" t="str">
        <f t="shared" si="10"/>
        <v>&lt;3&gt;_1R11-VBW-90011-04-2_EKO</v>
      </c>
      <c r="P35" s="26">
        <f t="shared" si="11"/>
        <v>4177</v>
      </c>
    </row>
    <row r="36" spans="1:16">
      <c r="A36" s="84"/>
      <c r="B36" s="85"/>
      <c r="C36" s="85"/>
      <c r="D36" s="85"/>
      <c r="E36" s="85"/>
      <c r="F36" s="85"/>
      <c r="G36" s="85"/>
      <c r="H36" s="86"/>
      <c r="I36" s="87" t="s">
        <v>26</v>
      </c>
      <c r="J36" s="88"/>
      <c r="K36" s="95" t="s">
        <v>736</v>
      </c>
      <c r="L36" s="96"/>
      <c r="M36" s="97"/>
      <c r="O36" s="26" t="str">
        <f t="shared" si="10"/>
        <v>&lt;6&gt;_1R11-VBW-90011-05-3_EKO</v>
      </c>
      <c r="P36" s="26">
        <f t="shared" si="11"/>
        <v>11500</v>
      </c>
    </row>
    <row r="37" spans="1:16">
      <c r="A37" s="98" t="s">
        <v>31</v>
      </c>
      <c r="B37" s="99"/>
      <c r="C37" s="98" t="s">
        <v>32</v>
      </c>
      <c r="D37" s="102"/>
      <c r="E37" s="102"/>
      <c r="F37" s="102"/>
      <c r="G37" s="102"/>
      <c r="H37" s="99"/>
      <c r="I37" s="40" t="s">
        <v>29</v>
      </c>
      <c r="J37" s="41"/>
      <c r="K37" s="87" t="s">
        <v>1328</v>
      </c>
      <c r="L37" s="104"/>
      <c r="M37" s="88"/>
      <c r="O37" s="26" t="str">
        <f t="shared" ref="O37:O42" si="12">IF(AND(J1087&gt;0,K1087&gt;0),I1087,"")</f>
        <v>&lt;5&gt;_1R11-VBW-90011-04-3_EKO</v>
      </c>
      <c r="P37" s="26">
        <f t="shared" ref="P37:P42" si="13">IF(AND(J1087&gt;0,K1087&gt;0),K1087,"")</f>
        <v>11500</v>
      </c>
    </row>
    <row r="38" spans="1:16">
      <c r="A38" s="100"/>
      <c r="B38" s="101"/>
      <c r="C38" s="100"/>
      <c r="D38" s="103"/>
      <c r="E38" s="103"/>
      <c r="F38" s="103"/>
      <c r="G38" s="103"/>
      <c r="H38" s="101"/>
      <c r="I38" s="87" t="s">
        <v>30</v>
      </c>
      <c r="J38" s="88"/>
      <c r="K38" s="87" t="s">
        <v>1837</v>
      </c>
      <c r="L38" s="104"/>
      <c r="M38" s="88"/>
      <c r="O38" s="26" t="str">
        <f t="shared" si="12"/>
        <v>&lt;4&gt;_1R11-VBW-90011-02-1_EKO</v>
      </c>
      <c r="P38" s="26">
        <f t="shared" si="13"/>
        <v>11500</v>
      </c>
    </row>
    <row r="39" spans="1:16">
      <c r="A39" s="105" t="s">
        <v>24</v>
      </c>
      <c r="B39" s="106"/>
      <c r="C39" s="107"/>
      <c r="D39" s="42">
        <v>1</v>
      </c>
      <c r="E39" s="108" t="s">
        <v>40</v>
      </c>
      <c r="F39" s="109"/>
      <c r="G39" s="110"/>
      <c r="H39" s="42">
        <v>2</v>
      </c>
      <c r="I39" s="87" t="s">
        <v>27</v>
      </c>
      <c r="J39" s="88"/>
      <c r="K39" s="87" t="s">
        <v>21</v>
      </c>
      <c r="L39" s="104"/>
      <c r="M39" s="88"/>
      <c r="O39" s="26" t="str">
        <f t="shared" si="12"/>
        <v>&lt;3&gt;_1R11-VBW-90011-05-1_EKO</v>
      </c>
      <c r="P39" s="26">
        <f t="shared" si="13"/>
        <v>11500</v>
      </c>
    </row>
    <row r="40" spans="1:16" ht="45">
      <c r="A40" s="3" t="s">
        <v>9</v>
      </c>
      <c r="B40" s="3" t="s">
        <v>10</v>
      </c>
      <c r="C40" s="3" t="s">
        <v>11</v>
      </c>
      <c r="D40" s="3" t="s">
        <v>3</v>
      </c>
      <c r="E40" s="4" t="s">
        <v>41</v>
      </c>
      <c r="F40" s="4" t="s">
        <v>12</v>
      </c>
      <c r="G40" s="3" t="s">
        <v>13</v>
      </c>
      <c r="H40" s="3" t="s">
        <v>14</v>
      </c>
      <c r="I40" s="3" t="s">
        <v>1103</v>
      </c>
      <c r="J40" s="3" t="s">
        <v>16</v>
      </c>
      <c r="K40" s="3" t="s">
        <v>17</v>
      </c>
      <c r="L40" s="3" t="s">
        <v>18</v>
      </c>
      <c r="M40" s="3" t="s">
        <v>19</v>
      </c>
      <c r="O40" s="26" t="str">
        <f t="shared" si="12"/>
        <v>&lt;2&gt;_1R11-VBW-90011-04-1_EKO</v>
      </c>
      <c r="P40" s="26">
        <f t="shared" si="13"/>
        <v>11500</v>
      </c>
    </row>
    <row r="41" spans="1:16">
      <c r="A41" s="18">
        <v>1</v>
      </c>
      <c r="B41" s="111" t="s">
        <v>1188</v>
      </c>
      <c r="C41" s="18"/>
      <c r="D41" s="18">
        <v>1</v>
      </c>
      <c r="E41" s="20">
        <v>11500</v>
      </c>
      <c r="F41" s="20">
        <v>7656</v>
      </c>
      <c r="G41" s="18"/>
      <c r="H41" s="18">
        <v>1</v>
      </c>
      <c r="I41" s="21" t="s">
        <v>1835</v>
      </c>
      <c r="J41" s="18">
        <v>1</v>
      </c>
      <c r="K41" s="18">
        <v>2706</v>
      </c>
      <c r="L41" s="22"/>
      <c r="M41" s="18"/>
      <c r="O41" s="26" t="str">
        <f t="shared" si="12"/>
        <v>&lt;2&gt;_1R11-VBW-90011-01-1_EKO</v>
      </c>
      <c r="P41" s="26">
        <f t="shared" si="13"/>
        <v>11500</v>
      </c>
    </row>
    <row r="42" spans="1:16">
      <c r="A42" s="18"/>
      <c r="B42" s="112"/>
      <c r="C42" s="18"/>
      <c r="D42" s="18"/>
      <c r="E42" s="20"/>
      <c r="F42" s="20"/>
      <c r="G42" s="18"/>
      <c r="H42" s="18">
        <v>1</v>
      </c>
      <c r="I42" s="21" t="s">
        <v>1836</v>
      </c>
      <c r="J42" s="18">
        <v>1</v>
      </c>
      <c r="K42" s="18">
        <v>1086</v>
      </c>
      <c r="L42" s="22"/>
      <c r="M42" s="18"/>
      <c r="O42" s="26" t="str">
        <f t="shared" si="12"/>
        <v/>
      </c>
      <c r="P42" s="26" t="str">
        <f t="shared" si="13"/>
        <v/>
      </c>
    </row>
    <row r="43" spans="1:16">
      <c r="A43" s="18"/>
      <c r="B43" s="18"/>
      <c r="C43" s="18"/>
      <c r="D43" s="18"/>
      <c r="E43" s="20"/>
      <c r="F43" s="20"/>
      <c r="G43" s="18"/>
      <c r="H43" s="18"/>
      <c r="I43" s="21"/>
      <c r="J43" s="18"/>
      <c r="K43" s="18"/>
      <c r="L43" s="22"/>
      <c r="M43" s="18"/>
      <c r="O43" s="26" t="str">
        <f t="shared" ref="O43:O48" si="14">IF(AND(J1093&gt;0,K1093&gt;0),I1093,"")</f>
        <v/>
      </c>
      <c r="P43" s="26" t="str">
        <f t="shared" ref="P43:P48" si="15">IF(AND(J1093&gt;0,K1093&gt;0),K1093,"")</f>
        <v/>
      </c>
    </row>
    <row r="44" spans="1:16">
      <c r="A44" s="78" t="s">
        <v>4</v>
      </c>
      <c r="B44" s="79"/>
      <c r="C44" s="79"/>
      <c r="D44" s="79"/>
      <c r="E44" s="79"/>
      <c r="F44" s="79"/>
      <c r="G44" s="79"/>
      <c r="H44" s="80"/>
      <c r="I44" s="87" t="s">
        <v>8</v>
      </c>
      <c r="J44" s="88"/>
      <c r="K44" s="89" t="s">
        <v>70</v>
      </c>
      <c r="L44" s="90"/>
      <c r="M44" s="91"/>
      <c r="O44" s="26" t="str">
        <f t="shared" si="14"/>
        <v/>
      </c>
      <c r="P44" s="26" t="str">
        <f t="shared" si="15"/>
        <v/>
      </c>
    </row>
    <row r="45" spans="1:16">
      <c r="A45" s="81"/>
      <c r="B45" s="82"/>
      <c r="C45" s="82"/>
      <c r="D45" s="82"/>
      <c r="E45" s="82"/>
      <c r="F45" s="82"/>
      <c r="G45" s="82"/>
      <c r="H45" s="83"/>
      <c r="I45" s="87" t="s">
        <v>25</v>
      </c>
      <c r="J45" s="88"/>
      <c r="K45" s="92" t="s">
        <v>1662</v>
      </c>
      <c r="L45" s="93"/>
      <c r="M45" s="94"/>
      <c r="O45" s="26" t="str">
        <f t="shared" si="14"/>
        <v/>
      </c>
      <c r="P45" s="26" t="str">
        <f t="shared" si="15"/>
        <v/>
      </c>
    </row>
    <row r="46" spans="1:16">
      <c r="A46" s="84"/>
      <c r="B46" s="85"/>
      <c r="C46" s="85"/>
      <c r="D46" s="85"/>
      <c r="E46" s="85"/>
      <c r="F46" s="85"/>
      <c r="G46" s="85"/>
      <c r="H46" s="86"/>
      <c r="I46" s="87" t="s">
        <v>26</v>
      </c>
      <c r="J46" s="88"/>
      <c r="K46" s="95" t="s">
        <v>530</v>
      </c>
      <c r="L46" s="96"/>
      <c r="M46" s="97"/>
      <c r="O46" s="26" t="str">
        <f t="shared" si="14"/>
        <v/>
      </c>
      <c r="P46" s="26" t="str">
        <f t="shared" si="15"/>
        <v/>
      </c>
    </row>
    <row r="47" spans="1:16">
      <c r="A47" s="98" t="s">
        <v>31</v>
      </c>
      <c r="B47" s="99"/>
      <c r="C47" s="98" t="s">
        <v>32</v>
      </c>
      <c r="D47" s="102"/>
      <c r="E47" s="102"/>
      <c r="F47" s="102"/>
      <c r="G47" s="102"/>
      <c r="H47" s="99"/>
      <c r="I47" s="40" t="s">
        <v>29</v>
      </c>
      <c r="J47" s="41"/>
      <c r="K47" s="87" t="s">
        <v>1328</v>
      </c>
      <c r="L47" s="104"/>
      <c r="M47" s="88"/>
      <c r="O47" s="26" t="str">
        <f t="shared" si="14"/>
        <v/>
      </c>
      <c r="P47" s="26" t="str">
        <f t="shared" si="15"/>
        <v/>
      </c>
    </row>
    <row r="48" spans="1:16">
      <c r="A48" s="100"/>
      <c r="B48" s="101"/>
      <c r="C48" s="100"/>
      <c r="D48" s="103"/>
      <c r="E48" s="103"/>
      <c r="F48" s="103"/>
      <c r="G48" s="103"/>
      <c r="H48" s="101"/>
      <c r="I48" s="87" t="s">
        <v>30</v>
      </c>
      <c r="J48" s="88"/>
      <c r="K48" s="87" t="s">
        <v>1834</v>
      </c>
      <c r="L48" s="104"/>
      <c r="M48" s="88"/>
      <c r="O48" s="26" t="str">
        <f t="shared" si="14"/>
        <v/>
      </c>
      <c r="P48" s="26" t="str">
        <f t="shared" si="15"/>
        <v/>
      </c>
    </row>
    <row r="49" spans="1:16">
      <c r="A49" s="105" t="s">
        <v>24</v>
      </c>
      <c r="B49" s="106"/>
      <c r="C49" s="107"/>
      <c r="D49" s="42">
        <v>1</v>
      </c>
      <c r="E49" s="108" t="s">
        <v>40</v>
      </c>
      <c r="F49" s="109"/>
      <c r="G49" s="110"/>
      <c r="H49" s="42">
        <v>6</v>
      </c>
      <c r="I49" s="87" t="s">
        <v>27</v>
      </c>
      <c r="J49" s="88"/>
      <c r="K49" s="87" t="s">
        <v>21</v>
      </c>
      <c r="L49" s="104"/>
      <c r="M49" s="88"/>
      <c r="O49" s="26" t="str">
        <f t="shared" ref="O49" si="16">IF(AND(J1099&gt;0,K1099&gt;0),I1099,"")</f>
        <v>Marking</v>
      </c>
      <c r="P49" s="26" t="str">
        <f t="shared" ref="P49" si="17">IF(AND(J1099&gt;0,K1099&gt;0),K1099,"")</f>
        <v>P. MARK [MM]</v>
      </c>
    </row>
    <row r="50" spans="1:16" ht="45">
      <c r="A50" s="3" t="s">
        <v>9</v>
      </c>
      <c r="B50" s="3" t="s">
        <v>10</v>
      </c>
      <c r="C50" s="3" t="s">
        <v>11</v>
      </c>
      <c r="D50" s="3" t="s">
        <v>3</v>
      </c>
      <c r="E50" s="4" t="s">
        <v>41</v>
      </c>
      <c r="F50" s="4" t="s">
        <v>12</v>
      </c>
      <c r="G50" s="3" t="s">
        <v>13</v>
      </c>
      <c r="H50" s="3" t="s">
        <v>14</v>
      </c>
      <c r="I50" s="3" t="s">
        <v>1103</v>
      </c>
      <c r="J50" s="3" t="s">
        <v>16</v>
      </c>
      <c r="K50" s="3" t="s">
        <v>17</v>
      </c>
      <c r="L50" s="3" t="s">
        <v>18</v>
      </c>
      <c r="M50" s="3" t="s">
        <v>19</v>
      </c>
      <c r="O50" s="26" t="str">
        <f t="shared" ref="O50:O55" si="18">IF(AND(J1100&gt;0,K1100&gt;0),I1100,"")</f>
        <v>&lt;3&gt;_1R11-VBW-90001-02-3_EKO</v>
      </c>
      <c r="P50" s="26">
        <f t="shared" ref="P50:P55" si="19">IF(AND(J1100&gt;0,K1100&gt;0),K1100,"")</f>
        <v>7082</v>
      </c>
    </row>
    <row r="51" spans="1:16">
      <c r="A51" s="18">
        <v>1</v>
      </c>
      <c r="B51" s="111" t="s">
        <v>1182</v>
      </c>
      <c r="C51" s="18"/>
      <c r="D51" s="18">
        <v>1</v>
      </c>
      <c r="E51" s="20">
        <v>11500</v>
      </c>
      <c r="F51" s="20">
        <v>368</v>
      </c>
      <c r="G51" s="18"/>
      <c r="H51" s="18">
        <v>1</v>
      </c>
      <c r="I51" s="21" t="s">
        <v>1828</v>
      </c>
      <c r="J51" s="18">
        <v>1</v>
      </c>
      <c r="K51" s="18">
        <v>4906</v>
      </c>
      <c r="L51" s="22"/>
      <c r="M51" s="18"/>
      <c r="O51" s="26" t="str">
        <f t="shared" si="18"/>
        <v>&lt;1&gt;_1R11-VBW-90001-02-1_EKO</v>
      </c>
      <c r="P51" s="26">
        <f t="shared" si="19"/>
        <v>7082</v>
      </c>
    </row>
    <row r="52" spans="1:16">
      <c r="A52" s="18"/>
      <c r="B52" s="113"/>
      <c r="C52" s="18"/>
      <c r="D52" s="18"/>
      <c r="E52" s="20"/>
      <c r="F52" s="20"/>
      <c r="G52" s="18"/>
      <c r="H52" s="18">
        <v>1</v>
      </c>
      <c r="I52" s="21" t="s">
        <v>1832</v>
      </c>
      <c r="J52" s="18">
        <v>1</v>
      </c>
      <c r="K52" s="18">
        <v>3047</v>
      </c>
      <c r="L52" s="22"/>
      <c r="M52" s="18"/>
      <c r="O52" s="26" t="str">
        <f t="shared" si="18"/>
        <v>&lt;9&gt;_1R11-VBW-90001-01-2_EKO</v>
      </c>
      <c r="P52" s="26">
        <f t="shared" si="19"/>
        <v>11500</v>
      </c>
    </row>
    <row r="53" spans="1:16">
      <c r="A53" s="18"/>
      <c r="B53" s="113"/>
      <c r="C53" s="18"/>
      <c r="D53" s="18"/>
      <c r="E53" s="20"/>
      <c r="F53" s="20"/>
      <c r="G53" s="18"/>
      <c r="H53" s="18">
        <v>1</v>
      </c>
      <c r="I53" s="21" t="s">
        <v>1830</v>
      </c>
      <c r="J53" s="18">
        <v>1</v>
      </c>
      <c r="K53" s="18">
        <v>1666</v>
      </c>
      <c r="L53" s="22"/>
      <c r="M53" s="18"/>
      <c r="O53" s="26" t="str">
        <f t="shared" si="18"/>
        <v>&lt;2&gt;_1R11-VBW-90001-01-1_EKO</v>
      </c>
      <c r="P53" s="26">
        <f t="shared" si="19"/>
        <v>11500</v>
      </c>
    </row>
    <row r="54" spans="1:16">
      <c r="A54" s="18"/>
      <c r="B54" s="113"/>
      <c r="C54" s="18"/>
      <c r="D54" s="18"/>
      <c r="E54" s="20"/>
      <c r="F54" s="20"/>
      <c r="G54" s="18"/>
      <c r="H54" s="18">
        <v>1</v>
      </c>
      <c r="I54" s="21" t="s">
        <v>1829</v>
      </c>
      <c r="J54" s="18">
        <v>1</v>
      </c>
      <c r="K54" s="18">
        <v>577</v>
      </c>
      <c r="L54" s="22"/>
      <c r="M54" s="18"/>
      <c r="O54" s="26" t="str">
        <f t="shared" si="18"/>
        <v>&lt;2&gt;_1R11-VBW-90001-02-2_EKO</v>
      </c>
      <c r="P54" s="26">
        <f t="shared" si="19"/>
        <v>3082</v>
      </c>
    </row>
    <row r="55" spans="1:16">
      <c r="A55" s="18"/>
      <c r="B55" s="113"/>
      <c r="C55" s="18"/>
      <c r="D55" s="18"/>
      <c r="E55" s="20"/>
      <c r="F55" s="20"/>
      <c r="G55" s="18"/>
      <c r="H55" s="18">
        <v>1</v>
      </c>
      <c r="I55" s="21" t="s">
        <v>1833</v>
      </c>
      <c r="J55" s="18">
        <v>1</v>
      </c>
      <c r="K55" s="18">
        <v>541</v>
      </c>
      <c r="L55" s="22"/>
      <c r="M55" s="18"/>
      <c r="O55" s="26" t="str">
        <f t="shared" si="18"/>
        <v>&lt;1&gt;_1R11-VBW-90001-01-1_EKO</v>
      </c>
      <c r="P55" s="26">
        <f t="shared" si="19"/>
        <v>632</v>
      </c>
    </row>
    <row r="56" spans="1:16">
      <c r="A56" s="18"/>
      <c r="B56" s="112"/>
      <c r="C56" s="18"/>
      <c r="D56" s="18"/>
      <c r="E56" s="20"/>
      <c r="F56" s="20"/>
      <c r="G56" s="18"/>
      <c r="H56" s="18">
        <v>1</v>
      </c>
      <c r="I56" s="21" t="s">
        <v>1831</v>
      </c>
      <c r="J56" s="18">
        <v>1</v>
      </c>
      <c r="K56" s="18">
        <v>239</v>
      </c>
      <c r="L56" s="22"/>
      <c r="M56" s="18"/>
      <c r="O56" s="26" t="str">
        <f t="shared" ref="O56:O61" si="20">IF(AND(J1106&gt;0,K1106&gt;0),I1106,"")</f>
        <v/>
      </c>
      <c r="P56" s="26" t="str">
        <f t="shared" ref="P56:P61" si="21">IF(AND(J1106&gt;0,K1106&gt;0),K1106,"")</f>
        <v/>
      </c>
    </row>
    <row r="57" spans="1:16" ht="15" customHeight="1">
      <c r="A57" s="18"/>
      <c r="B57" s="19"/>
      <c r="C57" s="18"/>
      <c r="D57" s="18"/>
      <c r="E57" s="20"/>
      <c r="F57" s="20"/>
      <c r="G57" s="18"/>
      <c r="H57" s="18"/>
      <c r="I57" s="21"/>
      <c r="J57" s="18"/>
      <c r="K57" s="18"/>
      <c r="L57" s="22"/>
      <c r="M57" s="18"/>
      <c r="O57" s="26" t="str">
        <f t="shared" si="20"/>
        <v/>
      </c>
      <c r="P57" s="26" t="str">
        <f t="shared" si="21"/>
        <v/>
      </c>
    </row>
    <row r="58" spans="1:16">
      <c r="A58" s="78" t="s">
        <v>4</v>
      </c>
      <c r="B58" s="79"/>
      <c r="C58" s="79"/>
      <c r="D58" s="79"/>
      <c r="E58" s="79"/>
      <c r="F58" s="79"/>
      <c r="G58" s="79"/>
      <c r="H58" s="80"/>
      <c r="I58" s="87" t="s">
        <v>8</v>
      </c>
      <c r="J58" s="88"/>
      <c r="K58" s="89" t="s">
        <v>70</v>
      </c>
      <c r="L58" s="90"/>
      <c r="M58" s="91"/>
      <c r="O58" s="26" t="str">
        <f t="shared" si="20"/>
        <v/>
      </c>
      <c r="P58" s="26" t="str">
        <f t="shared" si="21"/>
        <v/>
      </c>
    </row>
    <row r="59" spans="1:16">
      <c r="A59" s="81"/>
      <c r="B59" s="82"/>
      <c r="C59" s="82"/>
      <c r="D59" s="82"/>
      <c r="E59" s="82"/>
      <c r="F59" s="82"/>
      <c r="G59" s="82"/>
      <c r="H59" s="83"/>
      <c r="I59" s="87" t="s">
        <v>25</v>
      </c>
      <c r="J59" s="88"/>
      <c r="K59" s="92" t="s">
        <v>1662</v>
      </c>
      <c r="L59" s="93"/>
      <c r="M59" s="94"/>
      <c r="O59" s="26" t="str">
        <f t="shared" si="20"/>
        <v/>
      </c>
      <c r="P59" s="26" t="str">
        <f t="shared" si="21"/>
        <v/>
      </c>
    </row>
    <row r="60" spans="1:16">
      <c r="A60" s="84"/>
      <c r="B60" s="85"/>
      <c r="C60" s="85"/>
      <c r="D60" s="85"/>
      <c r="E60" s="85"/>
      <c r="F60" s="85"/>
      <c r="G60" s="85"/>
      <c r="H60" s="86"/>
      <c r="I60" s="87" t="s">
        <v>26</v>
      </c>
      <c r="J60" s="88"/>
      <c r="K60" s="95" t="s">
        <v>50</v>
      </c>
      <c r="L60" s="96"/>
      <c r="M60" s="97"/>
      <c r="O60" s="26" t="str">
        <f t="shared" si="20"/>
        <v/>
      </c>
      <c r="P60" s="26" t="str">
        <f t="shared" si="21"/>
        <v/>
      </c>
    </row>
    <row r="61" spans="1:16">
      <c r="A61" s="98" t="s">
        <v>31</v>
      </c>
      <c r="B61" s="99"/>
      <c r="C61" s="98" t="s">
        <v>32</v>
      </c>
      <c r="D61" s="102"/>
      <c r="E61" s="102"/>
      <c r="F61" s="102"/>
      <c r="G61" s="102"/>
      <c r="H61" s="99"/>
      <c r="I61" s="40" t="s">
        <v>29</v>
      </c>
      <c r="J61" s="41"/>
      <c r="K61" s="87" t="s">
        <v>1328</v>
      </c>
      <c r="L61" s="104"/>
      <c r="M61" s="88"/>
      <c r="O61" s="26" t="str">
        <f t="shared" si="20"/>
        <v/>
      </c>
      <c r="P61" s="26" t="str">
        <f t="shared" si="21"/>
        <v/>
      </c>
    </row>
    <row r="62" spans="1:16">
      <c r="A62" s="100"/>
      <c r="B62" s="101"/>
      <c r="C62" s="100"/>
      <c r="D62" s="103"/>
      <c r="E62" s="103"/>
      <c r="F62" s="103"/>
      <c r="G62" s="103"/>
      <c r="H62" s="101"/>
      <c r="I62" s="87" t="s">
        <v>30</v>
      </c>
      <c r="J62" s="88"/>
      <c r="K62" s="87" t="s">
        <v>1826</v>
      </c>
      <c r="L62" s="104"/>
      <c r="M62" s="88"/>
      <c r="O62" s="26" t="str">
        <f t="shared" ref="O62:O67" si="22">IF(AND(J1112&gt;0,K1112&gt;0),I1112,"")</f>
        <v/>
      </c>
      <c r="P62" s="26" t="str">
        <f t="shared" ref="P62:P67" si="23">IF(AND(J1112&gt;0,K1112&gt;0),K1112,"")</f>
        <v/>
      </c>
    </row>
    <row r="63" spans="1:16">
      <c r="A63" s="105" t="s">
        <v>24</v>
      </c>
      <c r="B63" s="106"/>
      <c r="C63" s="107"/>
      <c r="D63" s="42">
        <v>1</v>
      </c>
      <c r="E63" s="108" t="s">
        <v>40</v>
      </c>
      <c r="F63" s="109"/>
      <c r="G63" s="110"/>
      <c r="H63" s="42">
        <v>1</v>
      </c>
      <c r="I63" s="87" t="s">
        <v>27</v>
      </c>
      <c r="J63" s="88"/>
      <c r="K63" s="87" t="s">
        <v>21</v>
      </c>
      <c r="L63" s="104"/>
      <c r="M63" s="88"/>
      <c r="O63" s="26" t="str">
        <f t="shared" si="22"/>
        <v>Marking</v>
      </c>
      <c r="P63" s="26" t="str">
        <f t="shared" si="23"/>
        <v>P. MARK [MM]</v>
      </c>
    </row>
    <row r="64" spans="1:16" ht="45">
      <c r="A64" s="3" t="s">
        <v>9</v>
      </c>
      <c r="B64" s="3" t="s">
        <v>10</v>
      </c>
      <c r="C64" s="3" t="s">
        <v>11</v>
      </c>
      <c r="D64" s="3" t="s">
        <v>3</v>
      </c>
      <c r="E64" s="4" t="s">
        <v>41</v>
      </c>
      <c r="F64" s="4" t="s">
        <v>12</v>
      </c>
      <c r="G64" s="3" t="s">
        <v>13</v>
      </c>
      <c r="H64" s="3" t="s">
        <v>14</v>
      </c>
      <c r="I64" s="3" t="s">
        <v>1103</v>
      </c>
      <c r="J64" s="3" t="s">
        <v>16</v>
      </c>
      <c r="K64" s="3" t="s">
        <v>17</v>
      </c>
      <c r="L64" s="3" t="s">
        <v>18</v>
      </c>
      <c r="M64" s="3" t="s">
        <v>19</v>
      </c>
      <c r="O64" s="26" t="str">
        <f t="shared" si="22"/>
        <v>&lt;2&gt;_1R11-LS-90011-08-1_EKO</v>
      </c>
      <c r="P64" s="26">
        <f t="shared" si="23"/>
        <v>1593</v>
      </c>
    </row>
    <row r="65" spans="1:16">
      <c r="A65" s="18">
        <v>1</v>
      </c>
      <c r="B65" s="111" t="s">
        <v>1827</v>
      </c>
      <c r="C65" s="18"/>
      <c r="D65" s="18">
        <v>1</v>
      </c>
      <c r="E65" s="20">
        <v>11500</v>
      </c>
      <c r="F65" s="20">
        <v>633</v>
      </c>
      <c r="G65" s="18"/>
      <c r="H65" s="18">
        <v>1</v>
      </c>
      <c r="I65" s="21" t="s">
        <v>1824</v>
      </c>
      <c r="J65" s="18">
        <v>1</v>
      </c>
      <c r="K65" s="18">
        <v>10841</v>
      </c>
      <c r="L65" s="22"/>
      <c r="M65" s="18"/>
      <c r="O65" s="26" t="str">
        <f t="shared" si="22"/>
        <v>&lt;5&gt;_1R11-N-90038-04-1_EKO</v>
      </c>
      <c r="P65" s="26">
        <f t="shared" si="23"/>
        <v>1304</v>
      </c>
    </row>
    <row r="66" spans="1:16">
      <c r="A66" s="18"/>
      <c r="B66" s="112"/>
      <c r="C66" s="18"/>
      <c r="D66" s="18"/>
      <c r="E66" s="20"/>
      <c r="F66" s="20"/>
      <c r="G66" s="18"/>
      <c r="H66" s="18"/>
      <c r="I66" s="21"/>
      <c r="J66" s="18"/>
      <c r="K66" s="18"/>
      <c r="L66" s="22"/>
      <c r="M66" s="18"/>
      <c r="O66" s="26" t="str">
        <f t="shared" si="22"/>
        <v>&lt;3&gt;_1R11-LS-90011-08-1_EKO</v>
      </c>
      <c r="P66" s="26">
        <f t="shared" si="23"/>
        <v>1093</v>
      </c>
    </row>
    <row r="67" spans="1:16">
      <c r="A67" s="78" t="s">
        <v>4</v>
      </c>
      <c r="B67" s="79"/>
      <c r="C67" s="79"/>
      <c r="D67" s="79"/>
      <c r="E67" s="79"/>
      <c r="F67" s="79"/>
      <c r="G67" s="79"/>
      <c r="H67" s="80"/>
      <c r="I67" s="87" t="s">
        <v>8</v>
      </c>
      <c r="J67" s="88"/>
      <c r="K67" s="89" t="s">
        <v>70</v>
      </c>
      <c r="L67" s="90"/>
      <c r="M67" s="91"/>
      <c r="O67" s="26" t="str">
        <f t="shared" si="22"/>
        <v>&lt;5&gt;_1R11-LS-90011-06-1_EKO</v>
      </c>
      <c r="P67" s="26">
        <f t="shared" si="23"/>
        <v>993</v>
      </c>
    </row>
    <row r="68" spans="1:16">
      <c r="A68" s="81"/>
      <c r="B68" s="82"/>
      <c r="C68" s="82"/>
      <c r="D68" s="82"/>
      <c r="E68" s="82"/>
      <c r="F68" s="82"/>
      <c r="G68" s="82"/>
      <c r="H68" s="83"/>
      <c r="I68" s="87" t="s">
        <v>25</v>
      </c>
      <c r="J68" s="88"/>
      <c r="K68" s="92" t="s">
        <v>1662</v>
      </c>
      <c r="L68" s="93"/>
      <c r="M68" s="94"/>
      <c r="O68" s="26" t="str">
        <f>IF(AND(J1118&gt;0,K1118&gt;0),I1118,"")</f>
        <v>&lt;6&gt;_1R11-LS-90011-06-1_EKO</v>
      </c>
      <c r="P68" s="26">
        <f>IF(AND(J1118&gt;0,K1118&gt;0),K1118,"")</f>
        <v>993</v>
      </c>
    </row>
    <row r="69" spans="1:16">
      <c r="A69" s="84"/>
      <c r="B69" s="85"/>
      <c r="C69" s="85"/>
      <c r="D69" s="85"/>
      <c r="E69" s="85"/>
      <c r="F69" s="85"/>
      <c r="G69" s="85"/>
      <c r="H69" s="86"/>
      <c r="I69" s="87" t="s">
        <v>26</v>
      </c>
      <c r="J69" s="88"/>
      <c r="K69" s="95" t="s">
        <v>47</v>
      </c>
      <c r="L69" s="96"/>
      <c r="M69" s="97"/>
      <c r="O69" s="26" t="str">
        <f>IF(AND(J1119&gt;0,K1119&gt;0),I1119,"")</f>
        <v>&lt;11&gt;_1R11-N-90038-05-4_EKO</v>
      </c>
      <c r="P69" s="26">
        <f>IF(AND(J1119&gt;0,K1119&gt;0),K1119,"")</f>
        <v>804</v>
      </c>
    </row>
    <row r="70" spans="1:16">
      <c r="A70" s="98" t="s">
        <v>31</v>
      </c>
      <c r="B70" s="99"/>
      <c r="C70" s="98" t="s">
        <v>32</v>
      </c>
      <c r="D70" s="102"/>
      <c r="E70" s="102"/>
      <c r="F70" s="102"/>
      <c r="G70" s="102"/>
      <c r="H70" s="99"/>
      <c r="I70" s="40" t="s">
        <v>29</v>
      </c>
      <c r="J70" s="41"/>
      <c r="K70" s="87" t="s">
        <v>1328</v>
      </c>
      <c r="L70" s="104"/>
      <c r="M70" s="88"/>
      <c r="O70" s="26" t="str">
        <f>IF(AND(J1122&gt;0,K1122&gt;0),I1122,"")</f>
        <v>&lt;3&gt;_1R11-N-90038-06-1_EKO</v>
      </c>
      <c r="P70" s="26">
        <f>IF(AND(J1122&gt;0,K1122&gt;0),K1122,"")</f>
        <v>804</v>
      </c>
    </row>
    <row r="71" spans="1:16">
      <c r="A71" s="100"/>
      <c r="B71" s="101"/>
      <c r="C71" s="100"/>
      <c r="D71" s="103"/>
      <c r="E71" s="103"/>
      <c r="F71" s="103"/>
      <c r="G71" s="103"/>
      <c r="H71" s="101"/>
      <c r="I71" s="87" t="s">
        <v>30</v>
      </c>
      <c r="J71" s="88"/>
      <c r="K71" s="87" t="s">
        <v>1819</v>
      </c>
      <c r="L71" s="104"/>
      <c r="M71" s="88"/>
      <c r="O71" s="26" t="str">
        <f>IF(AND(J1120&gt;0,K1120&gt;0),I1120,"")</f>
        <v>&lt;2&gt;_1R11-N-90038-05-1_EKO</v>
      </c>
      <c r="P71" s="26">
        <f>IF(AND(J1120&gt;0,K1120&gt;0),K1120,"")</f>
        <v>804</v>
      </c>
    </row>
    <row r="72" spans="1:16">
      <c r="A72" s="105" t="s">
        <v>24</v>
      </c>
      <c r="B72" s="106"/>
      <c r="C72" s="107"/>
      <c r="D72" s="42">
        <v>1</v>
      </c>
      <c r="E72" s="108" t="s">
        <v>40</v>
      </c>
      <c r="F72" s="109"/>
      <c r="G72" s="110"/>
      <c r="H72" s="42">
        <v>4</v>
      </c>
      <c r="I72" s="87" t="s">
        <v>27</v>
      </c>
      <c r="J72" s="88"/>
      <c r="K72" s="87" t="s">
        <v>21</v>
      </c>
      <c r="L72" s="104"/>
      <c r="M72" s="88"/>
      <c r="O72" s="26" t="str">
        <f>IF(AND(J1121&gt;0,K1121&gt;0),I1121,"")</f>
        <v>&lt;3&gt;_1R11-N-90038-01-2_EKO</v>
      </c>
      <c r="P72" s="26">
        <f>IF(AND(J1121&gt;0,K1121&gt;0),K1121,"")</f>
        <v>804</v>
      </c>
    </row>
    <row r="73" spans="1:16" ht="45">
      <c r="A73" s="3" t="s">
        <v>9</v>
      </c>
      <c r="B73" s="3" t="s">
        <v>10</v>
      </c>
      <c r="C73" s="3" t="s">
        <v>11</v>
      </c>
      <c r="D73" s="3" t="s">
        <v>3</v>
      </c>
      <c r="E73" s="4" t="s">
        <v>41</v>
      </c>
      <c r="F73" s="4" t="s">
        <v>12</v>
      </c>
      <c r="G73" s="3" t="s">
        <v>13</v>
      </c>
      <c r="H73" s="3" t="s">
        <v>14</v>
      </c>
      <c r="I73" s="3" t="s">
        <v>1103</v>
      </c>
      <c r="J73" s="3" t="s">
        <v>16</v>
      </c>
      <c r="K73" s="3" t="s">
        <v>17</v>
      </c>
      <c r="L73" s="3" t="s">
        <v>18</v>
      </c>
      <c r="M73" s="3" t="s">
        <v>19</v>
      </c>
      <c r="O73" s="26" t="str">
        <f t="shared" ref="O73" si="24">IF(AND(J1123&gt;0,K1123&gt;0),I1123,"")</f>
        <v>&lt;5&gt;_1R11-N-90038-05-2_EKO</v>
      </c>
      <c r="P73" s="26">
        <f t="shared" ref="P73" si="25">IF(AND(J1123&gt;0,K1123&gt;0),K1123,"")</f>
        <v>804</v>
      </c>
    </row>
    <row r="74" spans="1:16">
      <c r="A74" s="18">
        <v>1</v>
      </c>
      <c r="B74" s="111" t="s">
        <v>1372</v>
      </c>
      <c r="C74" s="18"/>
      <c r="D74" s="18">
        <v>1</v>
      </c>
      <c r="E74" s="20">
        <v>11500</v>
      </c>
      <c r="F74" s="20">
        <v>10404</v>
      </c>
      <c r="G74" s="18"/>
      <c r="H74" s="18">
        <v>1</v>
      </c>
      <c r="I74" s="21" t="s">
        <v>1820</v>
      </c>
      <c r="J74" s="18">
        <v>1</v>
      </c>
      <c r="K74" s="18">
        <v>298</v>
      </c>
      <c r="L74" s="22"/>
      <c r="M74" s="18"/>
      <c r="O74" s="26" t="str">
        <f t="shared" ref="O74:O79" si="26">IF(AND(J1124&gt;0,K1124&gt;0),I1124,"")</f>
        <v>&lt;8&gt;_1R11-N-90038-05-3_EKO</v>
      </c>
      <c r="P74" s="26">
        <f t="shared" ref="P74:P79" si="27">IF(AND(J1124&gt;0,K1124&gt;0),K1124,"")</f>
        <v>804</v>
      </c>
    </row>
    <row r="75" spans="1:16">
      <c r="A75" s="18"/>
      <c r="B75" s="113"/>
      <c r="C75" s="18"/>
      <c r="D75" s="18"/>
      <c r="E75" s="20"/>
      <c r="F75" s="20"/>
      <c r="G75" s="18"/>
      <c r="H75" s="18">
        <v>1</v>
      </c>
      <c r="I75" s="21" t="s">
        <v>1821</v>
      </c>
      <c r="J75" s="18">
        <v>1</v>
      </c>
      <c r="K75" s="18">
        <v>298</v>
      </c>
      <c r="L75" s="22"/>
      <c r="M75" s="18"/>
      <c r="O75" s="26" t="str">
        <f t="shared" si="26"/>
        <v>&lt;6&gt;_1R11-N-90038-04-1_EKO</v>
      </c>
      <c r="P75" s="26">
        <f t="shared" si="27"/>
        <v>606</v>
      </c>
    </row>
    <row r="76" spans="1:16">
      <c r="A76" s="18"/>
      <c r="B76" s="113"/>
      <c r="C76" s="18"/>
      <c r="D76" s="18"/>
      <c r="E76" s="20"/>
      <c r="F76" s="20"/>
      <c r="G76" s="18"/>
      <c r="H76" s="18">
        <v>1</v>
      </c>
      <c r="I76" s="21" t="s">
        <v>1823</v>
      </c>
      <c r="J76" s="18">
        <v>1</v>
      </c>
      <c r="K76" s="18">
        <v>198</v>
      </c>
      <c r="L76" s="22"/>
      <c r="M76" s="18"/>
      <c r="O76" s="26" t="str">
        <f t="shared" si="26"/>
        <v>&lt;3&gt;_1R11-PA-90001-03-1_EKO</v>
      </c>
      <c r="P76" s="26">
        <f t="shared" si="27"/>
        <v>588</v>
      </c>
    </row>
    <row r="77" spans="1:16">
      <c r="A77" s="18"/>
      <c r="B77" s="112"/>
      <c r="C77" s="18"/>
      <c r="D77" s="18"/>
      <c r="E77" s="20"/>
      <c r="F77" s="20"/>
      <c r="G77" s="18"/>
      <c r="H77" s="18">
        <v>1</v>
      </c>
      <c r="I77" s="21" t="s">
        <v>1822</v>
      </c>
      <c r="J77" s="18">
        <v>1</v>
      </c>
      <c r="K77" s="18">
        <v>198</v>
      </c>
      <c r="L77" s="22"/>
      <c r="M77" s="18"/>
      <c r="O77" s="26" t="str">
        <f t="shared" si="26"/>
        <v>&lt;4&gt;_1R11-PA-90001-03-1_EKO</v>
      </c>
      <c r="P77" s="26">
        <f t="shared" si="27"/>
        <v>588</v>
      </c>
    </row>
    <row r="78" spans="1:16">
      <c r="A78" s="18"/>
      <c r="B78" s="18"/>
      <c r="C78" s="18"/>
      <c r="D78" s="18"/>
      <c r="E78" s="20"/>
      <c r="F78" s="20"/>
      <c r="G78" s="18"/>
      <c r="H78" s="18"/>
      <c r="I78" s="21"/>
      <c r="J78" s="18"/>
      <c r="K78" s="18"/>
      <c r="L78" s="22"/>
      <c r="M78" s="18"/>
      <c r="O78" s="26" t="str">
        <f t="shared" si="26"/>
        <v/>
      </c>
      <c r="P78" s="26" t="str">
        <f t="shared" si="27"/>
        <v/>
      </c>
    </row>
    <row r="79" spans="1:16">
      <c r="A79" s="78" t="s">
        <v>4</v>
      </c>
      <c r="B79" s="79"/>
      <c r="C79" s="79"/>
      <c r="D79" s="79"/>
      <c r="E79" s="79"/>
      <c r="F79" s="79"/>
      <c r="G79" s="79"/>
      <c r="H79" s="80"/>
      <c r="I79" s="87" t="s">
        <v>8</v>
      </c>
      <c r="J79" s="88"/>
      <c r="K79" s="89" t="s">
        <v>70</v>
      </c>
      <c r="L79" s="90"/>
      <c r="M79" s="91"/>
      <c r="O79" s="26" t="str">
        <f t="shared" si="26"/>
        <v/>
      </c>
      <c r="P79" s="26" t="str">
        <f t="shared" si="27"/>
        <v/>
      </c>
    </row>
    <row r="80" spans="1:16">
      <c r="A80" s="81"/>
      <c r="B80" s="82"/>
      <c r="C80" s="82"/>
      <c r="D80" s="82"/>
      <c r="E80" s="82"/>
      <c r="F80" s="82"/>
      <c r="G80" s="82"/>
      <c r="H80" s="83"/>
      <c r="I80" s="87" t="s">
        <v>25</v>
      </c>
      <c r="J80" s="88"/>
      <c r="K80" s="92" t="s">
        <v>1662</v>
      </c>
      <c r="L80" s="93"/>
      <c r="M80" s="94"/>
      <c r="O80" s="26" t="str">
        <f t="shared" ref="O80:O85" si="28">IF(AND(J1130&gt;0,K1130&gt;0),I1130,"")</f>
        <v/>
      </c>
      <c r="P80" s="26" t="str">
        <f t="shared" ref="P80:P85" si="29">IF(AND(J1130&gt;0,K1130&gt;0),K1130,"")</f>
        <v/>
      </c>
    </row>
    <row r="81" spans="1:16">
      <c r="A81" s="84"/>
      <c r="B81" s="85"/>
      <c r="C81" s="85"/>
      <c r="D81" s="85"/>
      <c r="E81" s="85"/>
      <c r="F81" s="85"/>
      <c r="G81" s="85"/>
      <c r="H81" s="86"/>
      <c r="I81" s="87" t="s">
        <v>26</v>
      </c>
      <c r="J81" s="88"/>
      <c r="K81" s="95" t="s">
        <v>43</v>
      </c>
      <c r="L81" s="96"/>
      <c r="M81" s="97"/>
      <c r="O81" s="26" t="str">
        <f t="shared" si="28"/>
        <v/>
      </c>
      <c r="P81" s="26" t="str">
        <f t="shared" si="29"/>
        <v/>
      </c>
    </row>
    <row r="82" spans="1:16">
      <c r="A82" s="98" t="s">
        <v>31</v>
      </c>
      <c r="B82" s="99"/>
      <c r="C82" s="98" t="s">
        <v>32</v>
      </c>
      <c r="D82" s="102"/>
      <c r="E82" s="102"/>
      <c r="F82" s="102"/>
      <c r="G82" s="102"/>
      <c r="H82" s="99"/>
      <c r="I82" s="40" t="s">
        <v>29</v>
      </c>
      <c r="J82" s="41"/>
      <c r="K82" s="87" t="s">
        <v>1328</v>
      </c>
      <c r="L82" s="104"/>
      <c r="M82" s="88"/>
      <c r="O82" s="26" t="str">
        <f t="shared" si="28"/>
        <v/>
      </c>
      <c r="P82" s="26" t="str">
        <f t="shared" si="29"/>
        <v/>
      </c>
    </row>
    <row r="83" spans="1:16">
      <c r="A83" s="100"/>
      <c r="B83" s="101"/>
      <c r="C83" s="100"/>
      <c r="D83" s="103"/>
      <c r="E83" s="103"/>
      <c r="F83" s="103"/>
      <c r="G83" s="103"/>
      <c r="H83" s="101"/>
      <c r="I83" s="87" t="s">
        <v>30</v>
      </c>
      <c r="J83" s="88"/>
      <c r="K83" s="87" t="s">
        <v>1764</v>
      </c>
      <c r="L83" s="104"/>
      <c r="M83" s="88"/>
      <c r="O83" s="26" t="str">
        <f t="shared" si="28"/>
        <v/>
      </c>
      <c r="P83" s="26" t="str">
        <f t="shared" si="29"/>
        <v/>
      </c>
    </row>
    <row r="84" spans="1:16">
      <c r="A84" s="105" t="s">
        <v>24</v>
      </c>
      <c r="B84" s="106"/>
      <c r="C84" s="107"/>
      <c r="D84" s="42">
        <v>8</v>
      </c>
      <c r="E84" s="108" t="s">
        <v>40</v>
      </c>
      <c r="F84" s="109"/>
      <c r="G84" s="110"/>
      <c r="H84" s="42">
        <v>53</v>
      </c>
      <c r="I84" s="87" t="s">
        <v>27</v>
      </c>
      <c r="J84" s="88"/>
      <c r="K84" s="87" t="s">
        <v>21</v>
      </c>
      <c r="L84" s="104"/>
      <c r="M84" s="88"/>
      <c r="O84" s="26" t="str">
        <f t="shared" si="28"/>
        <v/>
      </c>
      <c r="P84" s="26" t="str">
        <f t="shared" si="29"/>
        <v/>
      </c>
    </row>
    <row r="85" spans="1:16" ht="45">
      <c r="A85" s="3" t="s">
        <v>9</v>
      </c>
      <c r="B85" s="3" t="s">
        <v>10</v>
      </c>
      <c r="C85" s="3" t="s">
        <v>11</v>
      </c>
      <c r="D85" s="3" t="s">
        <v>3</v>
      </c>
      <c r="E85" s="4" t="s">
        <v>41</v>
      </c>
      <c r="F85" s="4" t="s">
        <v>12</v>
      </c>
      <c r="G85" s="3" t="s">
        <v>13</v>
      </c>
      <c r="H85" s="3" t="s">
        <v>14</v>
      </c>
      <c r="I85" s="3" t="s">
        <v>1103</v>
      </c>
      <c r="J85" s="3" t="s">
        <v>16</v>
      </c>
      <c r="K85" s="3" t="s">
        <v>17</v>
      </c>
      <c r="L85" s="3" t="s">
        <v>18</v>
      </c>
      <c r="M85" s="3" t="s">
        <v>19</v>
      </c>
      <c r="O85" s="26" t="str">
        <f t="shared" si="28"/>
        <v>Marking</v>
      </c>
      <c r="P85" s="26" t="str">
        <f t="shared" si="29"/>
        <v>P. MARK [MM]</v>
      </c>
    </row>
    <row r="86" spans="1:16">
      <c r="A86" s="18">
        <v>1</v>
      </c>
      <c r="B86" s="111" t="s">
        <v>1154</v>
      </c>
      <c r="C86" s="18"/>
      <c r="D86" s="18">
        <v>1</v>
      </c>
      <c r="E86" s="20">
        <v>11500</v>
      </c>
      <c r="F86" s="20">
        <v>13</v>
      </c>
      <c r="G86" s="18"/>
      <c r="H86" s="18">
        <v>1</v>
      </c>
      <c r="I86" s="21" t="s">
        <v>1775</v>
      </c>
      <c r="J86" s="18">
        <v>1</v>
      </c>
      <c r="K86" s="18">
        <v>8541</v>
      </c>
      <c r="L86" s="22"/>
      <c r="M86" s="18"/>
      <c r="O86" s="26" t="str">
        <f>IF(AND(J1136&gt;0,K1136&gt;0),I1136,"")</f>
        <v>&lt;1&gt;_1R11-LS-90011-08-1_EKO</v>
      </c>
      <c r="P86" s="26">
        <f>IF(AND(J1136&gt;0,K1136&gt;0),K1136,"")</f>
        <v>8603</v>
      </c>
    </row>
    <row r="87" spans="1:16">
      <c r="A87" s="18"/>
      <c r="B87" s="113"/>
      <c r="C87" s="18"/>
      <c r="D87" s="18"/>
      <c r="E87" s="20"/>
      <c r="F87" s="20"/>
      <c r="G87" s="18"/>
      <c r="H87" s="18">
        <v>1</v>
      </c>
      <c r="I87" s="21" t="s">
        <v>1815</v>
      </c>
      <c r="J87" s="18">
        <v>1</v>
      </c>
      <c r="K87" s="18">
        <v>2741</v>
      </c>
      <c r="L87" s="22"/>
      <c r="M87" s="18"/>
      <c r="O87" s="26" t="str">
        <f>IF(AND(J1137&gt;0,K1137&gt;0),I1137,"")</f>
        <v>&lt;1&gt;_1R71-QO-20027-06-1_EKO</v>
      </c>
      <c r="P87" s="26">
        <f>IF(AND(J1137&gt;0,K1137&gt;0),K1137,"")</f>
        <v>389</v>
      </c>
    </row>
    <row r="88" spans="1:16">
      <c r="A88" s="18"/>
      <c r="B88" s="113"/>
      <c r="C88" s="18"/>
      <c r="D88" s="18"/>
      <c r="E88" s="20"/>
      <c r="F88" s="20"/>
      <c r="G88" s="18"/>
      <c r="H88" s="18">
        <v>1</v>
      </c>
      <c r="I88" s="21" t="s">
        <v>1809</v>
      </c>
      <c r="J88" s="18">
        <v>1</v>
      </c>
      <c r="K88" s="18">
        <v>127</v>
      </c>
      <c r="L88" s="22"/>
      <c r="M88" s="18"/>
      <c r="O88" s="26" t="str">
        <f>IF(AND(J1138&gt;0,K1138&gt;0),I1138,"")</f>
        <v>&lt;1&gt;_1R71-QO-20027-07-1_EKO</v>
      </c>
      <c r="P88" s="26">
        <f>IF(AND(J1138&gt;0,K1138&gt;0),K1138,"")</f>
        <v>389</v>
      </c>
    </row>
    <row r="89" spans="1:16">
      <c r="A89" s="18">
        <v>2</v>
      </c>
      <c r="B89" s="113"/>
      <c r="C89" s="18"/>
      <c r="D89" s="18">
        <v>1</v>
      </c>
      <c r="E89" s="20">
        <v>11500</v>
      </c>
      <c r="F89" s="20">
        <v>4428</v>
      </c>
      <c r="G89" s="18"/>
      <c r="H89" s="18">
        <v>1</v>
      </c>
      <c r="I89" s="21" t="s">
        <v>1801</v>
      </c>
      <c r="J89" s="18">
        <v>1</v>
      </c>
      <c r="K89" s="18">
        <v>691</v>
      </c>
      <c r="L89" s="22"/>
      <c r="M89" s="18"/>
      <c r="O89" s="26" t="str">
        <f>IF(AND(J1139&gt;0,K1139&gt;0),I1139,"")</f>
        <v>&lt;1&gt;_1R71-QO-20029-05-1_EKO</v>
      </c>
      <c r="P89" s="26">
        <f>IF(AND(J1139&gt;0,K1139&gt;0),K1139,"")</f>
        <v>389</v>
      </c>
    </row>
    <row r="90" spans="1:16">
      <c r="A90" s="18"/>
      <c r="B90" s="113"/>
      <c r="C90" s="18"/>
      <c r="D90" s="18"/>
      <c r="E90" s="20"/>
      <c r="F90" s="20"/>
      <c r="G90" s="18"/>
      <c r="H90" s="18">
        <v>1</v>
      </c>
      <c r="I90" s="21" t="s">
        <v>1788</v>
      </c>
      <c r="J90" s="18">
        <v>1</v>
      </c>
      <c r="K90" s="18">
        <v>541</v>
      </c>
      <c r="L90" s="22"/>
      <c r="M90" s="18"/>
      <c r="O90" s="26" t="str">
        <f t="shared" ref="O90:O95" si="30">IF(AND(J1148&gt;0,K1148&gt;0),I1148,"")</f>
        <v/>
      </c>
      <c r="P90" s="26" t="str">
        <f t="shared" ref="P90:P95" si="31">IF(AND(J1148&gt;0,K1148&gt;0),K1148,"")</f>
        <v/>
      </c>
    </row>
    <row r="91" spans="1:16">
      <c r="A91" s="18"/>
      <c r="B91" s="113"/>
      <c r="C91" s="18"/>
      <c r="D91" s="18"/>
      <c r="E91" s="20"/>
      <c r="F91" s="20"/>
      <c r="G91" s="18"/>
      <c r="H91" s="18">
        <v>1</v>
      </c>
      <c r="I91" s="21" t="s">
        <v>1794</v>
      </c>
      <c r="J91" s="18">
        <v>1</v>
      </c>
      <c r="K91" s="18">
        <v>541</v>
      </c>
      <c r="L91" s="22"/>
      <c r="M91" s="18"/>
      <c r="O91" s="26" t="str">
        <f t="shared" si="30"/>
        <v/>
      </c>
      <c r="P91" s="26" t="str">
        <f t="shared" si="31"/>
        <v/>
      </c>
    </row>
    <row r="92" spans="1:16">
      <c r="A92" s="18"/>
      <c r="B92" s="113"/>
      <c r="C92" s="18"/>
      <c r="D92" s="18"/>
      <c r="E92" s="20"/>
      <c r="F92" s="20"/>
      <c r="G92" s="18"/>
      <c r="H92" s="18">
        <v>1</v>
      </c>
      <c r="I92" s="21" t="s">
        <v>1789</v>
      </c>
      <c r="J92" s="18">
        <v>1</v>
      </c>
      <c r="K92" s="18">
        <v>541</v>
      </c>
      <c r="L92" s="22"/>
      <c r="M92" s="18"/>
      <c r="O92" s="26" t="str">
        <f t="shared" si="30"/>
        <v/>
      </c>
      <c r="P92" s="26" t="str">
        <f t="shared" si="31"/>
        <v/>
      </c>
    </row>
    <row r="93" spans="1:16">
      <c r="A93" s="18"/>
      <c r="B93" s="113"/>
      <c r="C93" s="18"/>
      <c r="D93" s="18"/>
      <c r="E93" s="20"/>
      <c r="F93" s="20"/>
      <c r="G93" s="18"/>
      <c r="H93" s="18">
        <v>1</v>
      </c>
      <c r="I93" s="21" t="s">
        <v>1783</v>
      </c>
      <c r="J93" s="18">
        <v>1</v>
      </c>
      <c r="K93" s="18">
        <v>528</v>
      </c>
      <c r="L93" s="22"/>
      <c r="M93" s="18"/>
      <c r="O93" s="26" t="str">
        <f t="shared" si="30"/>
        <v>Marking</v>
      </c>
      <c r="P93" s="26" t="str">
        <f t="shared" si="31"/>
        <v>P. MARK [MM]</v>
      </c>
    </row>
    <row r="94" spans="1:16">
      <c r="A94" s="18"/>
      <c r="B94" s="113"/>
      <c r="C94" s="18"/>
      <c r="D94" s="18"/>
      <c r="E94" s="20"/>
      <c r="F94" s="20"/>
      <c r="G94" s="18"/>
      <c r="H94" s="18">
        <v>1</v>
      </c>
      <c r="I94" s="21" t="s">
        <v>1811</v>
      </c>
      <c r="J94" s="18">
        <v>1</v>
      </c>
      <c r="K94" s="18">
        <v>447</v>
      </c>
      <c r="L94" s="22"/>
      <c r="M94" s="18"/>
      <c r="O94" s="26" t="str">
        <f t="shared" si="30"/>
        <v>&lt;5&gt;_1R11-LS-15001-01-3_EKO</v>
      </c>
      <c r="P94" s="26">
        <f t="shared" si="31"/>
        <v>9741</v>
      </c>
    </row>
    <row r="95" spans="1:16">
      <c r="A95" s="18"/>
      <c r="B95" s="113"/>
      <c r="C95" s="18"/>
      <c r="D95" s="18"/>
      <c r="E95" s="20"/>
      <c r="F95" s="20"/>
      <c r="G95" s="18"/>
      <c r="H95" s="18">
        <v>1</v>
      </c>
      <c r="I95" s="21" t="s">
        <v>1803</v>
      </c>
      <c r="J95" s="18">
        <v>1</v>
      </c>
      <c r="K95" s="18">
        <v>430</v>
      </c>
      <c r="L95" s="22"/>
      <c r="M95" s="18"/>
      <c r="O95" s="26" t="str">
        <f t="shared" si="30"/>
        <v>&lt;1&gt;_1R71-OG-30001-05-1_EKO</v>
      </c>
      <c r="P95" s="26">
        <f t="shared" si="31"/>
        <v>1691</v>
      </c>
    </row>
    <row r="96" spans="1:16">
      <c r="A96" s="18"/>
      <c r="B96" s="113"/>
      <c r="C96" s="18"/>
      <c r="D96" s="18"/>
      <c r="E96" s="20"/>
      <c r="F96" s="20"/>
      <c r="G96" s="18"/>
      <c r="H96" s="18">
        <v>1</v>
      </c>
      <c r="I96" s="21" t="s">
        <v>1816</v>
      </c>
      <c r="J96" s="18">
        <v>1</v>
      </c>
      <c r="K96" s="18">
        <v>398</v>
      </c>
      <c r="L96" s="22"/>
      <c r="M96" s="18"/>
      <c r="O96" s="26" t="str">
        <f>IF(AND(J1154&gt;0,K1154&gt;0),I1154,"")</f>
        <v>&lt;4&gt;_1R11-N-90038-06-2_EKO</v>
      </c>
      <c r="P96" s="26">
        <f>IF(AND(J1154&gt;0,K1154&gt;0),K1154,"")</f>
        <v>9667</v>
      </c>
    </row>
    <row r="97" spans="1:16">
      <c r="A97" s="18"/>
      <c r="B97" s="113"/>
      <c r="C97" s="18"/>
      <c r="D97" s="18"/>
      <c r="E97" s="20"/>
      <c r="F97" s="20"/>
      <c r="G97" s="18"/>
      <c r="H97" s="18">
        <v>1</v>
      </c>
      <c r="I97" s="21" t="s">
        <v>1804</v>
      </c>
      <c r="J97" s="18">
        <v>1</v>
      </c>
      <c r="K97" s="18">
        <v>375</v>
      </c>
      <c r="L97" s="22"/>
      <c r="M97" s="18"/>
      <c r="O97" s="26" t="str">
        <f t="shared" ref="O97:O104" si="32">IF(AND(J1272&gt;0,K1272&gt;0),I1272,"")</f>
        <v>&lt;2&gt;_1R71-P-30162-01-1_EKO</v>
      </c>
      <c r="P97" s="26">
        <f t="shared" ref="P97:P104" si="33">IF(AND(J1272&gt;0,K1272&gt;0),K1272,"")</f>
        <v>11500</v>
      </c>
    </row>
    <row r="98" spans="1:16">
      <c r="A98" s="18"/>
      <c r="B98" s="113"/>
      <c r="C98" s="18"/>
      <c r="D98" s="18"/>
      <c r="E98" s="20"/>
      <c r="F98" s="20"/>
      <c r="G98" s="18"/>
      <c r="H98" s="18">
        <v>1</v>
      </c>
      <c r="I98" s="21" t="s">
        <v>1784</v>
      </c>
      <c r="J98" s="18">
        <v>1</v>
      </c>
      <c r="K98" s="18">
        <v>371</v>
      </c>
      <c r="L98" s="22"/>
      <c r="M98" s="18"/>
      <c r="O98" s="26" t="str">
        <f t="shared" si="32"/>
        <v>&lt;2&gt;_1R71-P-30021-01-1_EKO</v>
      </c>
      <c r="P98" s="26">
        <f t="shared" si="33"/>
        <v>11500</v>
      </c>
    </row>
    <row r="99" spans="1:16">
      <c r="A99" s="18"/>
      <c r="B99" s="113"/>
      <c r="C99" s="18"/>
      <c r="D99" s="18"/>
      <c r="E99" s="20"/>
      <c r="F99" s="20"/>
      <c r="G99" s="18"/>
      <c r="H99" s="18">
        <v>1</v>
      </c>
      <c r="I99" s="21" t="s">
        <v>1798</v>
      </c>
      <c r="J99" s="18">
        <v>1</v>
      </c>
      <c r="K99" s="18">
        <v>333</v>
      </c>
      <c r="L99" s="22"/>
      <c r="M99" s="18"/>
      <c r="O99" s="26" t="str">
        <f t="shared" si="32"/>
        <v>&lt;2&gt;_1R11-N-90038-06-1_EKO</v>
      </c>
      <c r="P99" s="26">
        <f t="shared" si="33"/>
        <v>11500</v>
      </c>
    </row>
    <row r="100" spans="1:16">
      <c r="A100" s="18"/>
      <c r="B100" s="113"/>
      <c r="C100" s="18"/>
      <c r="D100" s="18"/>
      <c r="E100" s="20"/>
      <c r="F100" s="20"/>
      <c r="G100" s="18"/>
      <c r="H100" s="18">
        <v>1</v>
      </c>
      <c r="I100" s="21" t="s">
        <v>1805</v>
      </c>
      <c r="J100" s="18">
        <v>1</v>
      </c>
      <c r="K100" s="18">
        <v>333</v>
      </c>
      <c r="L100" s="22"/>
      <c r="M100" s="18"/>
      <c r="O100" s="26" t="str">
        <f t="shared" si="32"/>
        <v>&lt;1&gt;_1R71-P-10008-02-1_EKO</v>
      </c>
      <c r="P100" s="26">
        <f t="shared" si="33"/>
        <v>11500</v>
      </c>
    </row>
    <row r="101" spans="1:16">
      <c r="A101" s="5"/>
      <c r="B101" s="113"/>
      <c r="C101" s="5"/>
      <c r="D101" s="5"/>
      <c r="E101" s="6"/>
      <c r="F101" s="6"/>
      <c r="G101" s="5"/>
      <c r="H101" s="5">
        <v>1</v>
      </c>
      <c r="I101" s="7" t="s">
        <v>1802</v>
      </c>
      <c r="J101" s="5">
        <v>1</v>
      </c>
      <c r="K101" s="5">
        <v>241</v>
      </c>
      <c r="L101" s="8"/>
      <c r="M101" s="5"/>
      <c r="O101" s="26" t="str">
        <f t="shared" si="32"/>
        <v>&lt;1&gt;_1R71-OG-30001-01-1_EKO</v>
      </c>
      <c r="P101" s="26">
        <f t="shared" si="33"/>
        <v>11500</v>
      </c>
    </row>
    <row r="102" spans="1:16">
      <c r="A102" s="5"/>
      <c r="B102" s="113"/>
      <c r="C102" s="5"/>
      <c r="D102" s="5"/>
      <c r="E102" s="6"/>
      <c r="F102" s="6"/>
      <c r="G102" s="5"/>
      <c r="H102" s="5">
        <v>1</v>
      </c>
      <c r="I102" s="7" t="s">
        <v>1812</v>
      </c>
      <c r="J102" s="5">
        <v>1</v>
      </c>
      <c r="K102" s="5">
        <v>232</v>
      </c>
      <c r="L102" s="8"/>
      <c r="M102" s="18"/>
      <c r="O102" s="26" t="str">
        <f t="shared" si="32"/>
        <v>&lt;1&gt;_1R71-DR-90001-03-1_EKO</v>
      </c>
      <c r="P102" s="26">
        <f t="shared" si="33"/>
        <v>11500</v>
      </c>
    </row>
    <row r="103" spans="1:16">
      <c r="A103" s="5"/>
      <c r="B103" s="113"/>
      <c r="C103" s="5"/>
      <c r="D103" s="5"/>
      <c r="E103" s="6"/>
      <c r="F103" s="6"/>
      <c r="G103" s="5"/>
      <c r="H103" s="5">
        <v>1</v>
      </c>
      <c r="I103" s="7" t="s">
        <v>1813</v>
      </c>
      <c r="J103" s="5">
        <v>1</v>
      </c>
      <c r="K103" s="5">
        <v>232</v>
      </c>
      <c r="L103" s="8"/>
      <c r="M103" s="5"/>
      <c r="O103" s="26" t="str">
        <f t="shared" si="32"/>
        <v>&lt;4&gt;_1R71-OG-30002-03-2_EKO</v>
      </c>
      <c r="P103" s="26">
        <f t="shared" si="33"/>
        <v>10481</v>
      </c>
    </row>
    <row r="104" spans="1:16">
      <c r="A104" s="5"/>
      <c r="B104" s="113"/>
      <c r="C104" s="5"/>
      <c r="D104" s="5"/>
      <c r="E104" s="6"/>
      <c r="F104" s="6"/>
      <c r="G104" s="5"/>
      <c r="H104" s="5">
        <v>1</v>
      </c>
      <c r="I104" s="7" t="s">
        <v>1782</v>
      </c>
      <c r="J104" s="5">
        <v>1</v>
      </c>
      <c r="K104" s="5">
        <v>198</v>
      </c>
      <c r="L104" s="8"/>
      <c r="M104" s="5"/>
      <c r="O104" s="26" t="str">
        <f t="shared" si="32"/>
        <v>&lt;1&gt;_1R11-N-90038-03-1_EKO</v>
      </c>
      <c r="P104" s="26">
        <f t="shared" si="33"/>
        <v>791</v>
      </c>
    </row>
    <row r="105" spans="1:16">
      <c r="A105" s="5"/>
      <c r="B105" s="113"/>
      <c r="C105" s="5"/>
      <c r="D105" s="5"/>
      <c r="E105" s="6"/>
      <c r="F105" s="6"/>
      <c r="G105" s="5"/>
      <c r="H105" s="5">
        <v>1</v>
      </c>
      <c r="I105" s="7" t="s">
        <v>1781</v>
      </c>
      <c r="J105" s="5">
        <v>1</v>
      </c>
      <c r="K105" s="5">
        <v>198</v>
      </c>
      <c r="L105" s="8"/>
      <c r="M105" s="5"/>
      <c r="O105" s="26" t="str">
        <f>IF(AND(J1288&gt;0,K1288&gt;0),I1288,"")</f>
        <v>Marking</v>
      </c>
      <c r="P105" s="26" t="str">
        <f>IF(AND(J1288&gt;0,K1288&gt;0),K1288,"")</f>
        <v>P. MARK [MM]</v>
      </c>
    </row>
    <row r="106" spans="1:16">
      <c r="A106" s="5">
        <v>3</v>
      </c>
      <c r="B106" s="113"/>
      <c r="C106" s="5"/>
      <c r="D106" s="5">
        <v>1</v>
      </c>
      <c r="E106" s="6">
        <v>11500</v>
      </c>
      <c r="F106" s="6">
        <v>23</v>
      </c>
      <c r="G106" s="5"/>
      <c r="H106" s="5">
        <v>1</v>
      </c>
      <c r="I106" s="7" t="s">
        <v>1795</v>
      </c>
      <c r="J106" s="5">
        <v>1</v>
      </c>
      <c r="K106" s="5">
        <v>5791</v>
      </c>
      <c r="L106" s="8"/>
      <c r="M106" s="5"/>
      <c r="O106" s="26" t="str">
        <f>IF(AND(J1289&gt;0,K1289&gt;0),I1289,"")</f>
        <v>&lt;2&gt;_1R71-FG-30008-02-2_EKO</v>
      </c>
      <c r="P106" s="26">
        <f>IF(AND(J1289&gt;0,K1289&gt;0),K1289,"")</f>
        <v>637</v>
      </c>
    </row>
    <row r="107" spans="1:16">
      <c r="A107" s="5"/>
      <c r="B107" s="113"/>
      <c r="C107" s="5"/>
      <c r="D107" s="5"/>
      <c r="E107" s="6"/>
      <c r="F107" s="6"/>
      <c r="G107" s="5"/>
      <c r="H107" s="5">
        <v>1</v>
      </c>
      <c r="I107" s="7" t="s">
        <v>1800</v>
      </c>
      <c r="J107" s="5">
        <v>1</v>
      </c>
      <c r="K107" s="5">
        <v>5019</v>
      </c>
      <c r="L107" s="8"/>
      <c r="M107" s="5"/>
      <c r="O107" s="26" t="str">
        <f t="shared" ref="O107:O135" si="34">IF(AND(J1298&gt;0,K1298&gt;0),I1298,"")</f>
        <v/>
      </c>
      <c r="P107" s="26" t="str">
        <f t="shared" ref="P107:P135" si="35">IF(AND(J1298&gt;0,K1298&gt;0),K1298,"")</f>
        <v/>
      </c>
    </row>
    <row r="108" spans="1:16">
      <c r="A108" s="5"/>
      <c r="B108" s="113"/>
      <c r="C108" s="5"/>
      <c r="D108" s="5"/>
      <c r="E108" s="6"/>
      <c r="F108" s="6"/>
      <c r="G108" s="5"/>
      <c r="H108" s="5">
        <v>1</v>
      </c>
      <c r="I108" s="7" t="s">
        <v>1808</v>
      </c>
      <c r="J108" s="5">
        <v>1</v>
      </c>
      <c r="K108" s="5">
        <v>589</v>
      </c>
      <c r="L108" s="8"/>
      <c r="M108" s="5"/>
      <c r="O108" s="26" t="str">
        <f t="shared" si="34"/>
        <v/>
      </c>
      <c r="P108" s="26" t="str">
        <f t="shared" si="35"/>
        <v/>
      </c>
    </row>
    <row r="109" spans="1:16">
      <c r="A109" s="5">
        <v>4</v>
      </c>
      <c r="B109" s="113"/>
      <c r="C109" s="5"/>
      <c r="D109" s="5">
        <v>1</v>
      </c>
      <c r="E109" s="6">
        <v>11500</v>
      </c>
      <c r="F109" s="6">
        <v>8</v>
      </c>
      <c r="G109" s="5"/>
      <c r="H109" s="5">
        <v>1</v>
      </c>
      <c r="I109" s="7" t="s">
        <v>1792</v>
      </c>
      <c r="J109" s="5">
        <v>1</v>
      </c>
      <c r="K109" s="5">
        <v>4521</v>
      </c>
      <c r="L109" s="8"/>
      <c r="M109" s="5"/>
      <c r="O109" s="26" t="str">
        <f t="shared" si="34"/>
        <v/>
      </c>
      <c r="P109" s="26" t="str">
        <f t="shared" si="35"/>
        <v/>
      </c>
    </row>
    <row r="110" spans="1:16">
      <c r="A110" s="5"/>
      <c r="B110" s="113"/>
      <c r="C110" s="5"/>
      <c r="D110" s="5"/>
      <c r="E110" s="6"/>
      <c r="F110" s="6"/>
      <c r="G110" s="5"/>
      <c r="H110" s="5">
        <v>1</v>
      </c>
      <c r="I110" s="7" t="s">
        <v>1785</v>
      </c>
      <c r="J110" s="5">
        <v>1</v>
      </c>
      <c r="K110" s="5">
        <v>3161</v>
      </c>
      <c r="L110" s="8"/>
      <c r="M110" s="5"/>
      <c r="O110" s="26" t="str">
        <f t="shared" si="34"/>
        <v/>
      </c>
      <c r="P110" s="26" t="str">
        <f t="shared" si="35"/>
        <v/>
      </c>
    </row>
    <row r="111" spans="1:16">
      <c r="A111" s="5"/>
      <c r="B111" s="113"/>
      <c r="C111" s="5"/>
      <c r="D111" s="5"/>
      <c r="E111" s="6"/>
      <c r="F111" s="6"/>
      <c r="G111" s="5"/>
      <c r="H111" s="5">
        <v>1</v>
      </c>
      <c r="I111" s="7" t="s">
        <v>1817</v>
      </c>
      <c r="J111" s="5">
        <v>1</v>
      </c>
      <c r="K111" s="5">
        <v>2741</v>
      </c>
      <c r="L111" s="8"/>
      <c r="M111" s="5"/>
      <c r="O111" s="26" t="str">
        <f t="shared" si="34"/>
        <v>Marking</v>
      </c>
      <c r="P111" s="26" t="str">
        <f t="shared" si="35"/>
        <v>P. MARK [MM]</v>
      </c>
    </row>
    <row r="112" spans="1:16">
      <c r="A112" s="5"/>
      <c r="B112" s="113"/>
      <c r="C112" s="5"/>
      <c r="D112" s="5"/>
      <c r="E112" s="6"/>
      <c r="F112" s="6"/>
      <c r="G112" s="5"/>
      <c r="H112" s="5">
        <v>1</v>
      </c>
      <c r="I112" s="7" t="s">
        <v>1797</v>
      </c>
      <c r="J112" s="5">
        <v>1</v>
      </c>
      <c r="K112" s="5">
        <v>855</v>
      </c>
      <c r="L112" s="8"/>
      <c r="M112" s="5"/>
      <c r="O112" s="26" t="str">
        <f t="shared" si="34"/>
        <v>&lt;2&gt;_1R71-QW-20013-01-1_EKO</v>
      </c>
      <c r="P112" s="26">
        <f t="shared" si="35"/>
        <v>3540</v>
      </c>
    </row>
    <row r="113" spans="1:16">
      <c r="A113" s="5"/>
      <c r="B113" s="112"/>
      <c r="C113" s="5"/>
      <c r="D113" s="5"/>
      <c r="E113" s="6"/>
      <c r="F113" s="6"/>
      <c r="G113" s="5"/>
      <c r="H113" s="5">
        <v>1</v>
      </c>
      <c r="I113" s="7" t="s">
        <v>1799</v>
      </c>
      <c r="J113" s="5">
        <v>1</v>
      </c>
      <c r="K113" s="5">
        <v>84</v>
      </c>
      <c r="L113" s="8"/>
      <c r="M113" s="5"/>
      <c r="O113" s="26" t="str">
        <f t="shared" si="34"/>
        <v>&lt;3&gt;_1R71-BFW-90002-03-2_EKO</v>
      </c>
      <c r="P113" s="26">
        <f t="shared" si="35"/>
        <v>3189</v>
      </c>
    </row>
    <row r="114" spans="1:16">
      <c r="A114" s="5">
        <v>5</v>
      </c>
      <c r="B114" s="111" t="s">
        <v>1154</v>
      </c>
      <c r="C114" s="5"/>
      <c r="D114" s="5">
        <v>1</v>
      </c>
      <c r="E114" s="6">
        <v>11500</v>
      </c>
      <c r="F114" s="6">
        <v>15</v>
      </c>
      <c r="G114" s="5"/>
      <c r="H114" s="5">
        <v>1</v>
      </c>
      <c r="I114" s="7" t="s">
        <v>1772</v>
      </c>
      <c r="J114" s="5">
        <v>1</v>
      </c>
      <c r="K114" s="5">
        <v>2539</v>
      </c>
      <c r="L114" s="8"/>
      <c r="M114" s="5"/>
      <c r="O114" s="26" t="str">
        <f t="shared" si="34"/>
        <v>&lt;1&gt;_1R71-QW-20013-01-1_EKO</v>
      </c>
      <c r="P114" s="26">
        <f t="shared" si="35"/>
        <v>239</v>
      </c>
    </row>
    <row r="115" spans="1:16">
      <c r="A115" s="5"/>
      <c r="B115" s="113"/>
      <c r="C115" s="5"/>
      <c r="D115" s="5"/>
      <c r="E115" s="6"/>
      <c r="F115" s="6"/>
      <c r="G115" s="5"/>
      <c r="H115" s="5">
        <v>1</v>
      </c>
      <c r="I115" s="7" t="s">
        <v>1777</v>
      </c>
      <c r="J115" s="5">
        <v>1</v>
      </c>
      <c r="K115" s="5">
        <v>2327</v>
      </c>
      <c r="L115" s="8"/>
      <c r="M115" s="5"/>
      <c r="O115" s="26" t="str">
        <f t="shared" si="34"/>
        <v/>
      </c>
      <c r="P115" s="26" t="str">
        <f t="shared" si="35"/>
        <v/>
      </c>
    </row>
    <row r="116" spans="1:16">
      <c r="A116" s="5"/>
      <c r="B116" s="113"/>
      <c r="C116" s="5"/>
      <c r="D116" s="5"/>
      <c r="E116" s="6"/>
      <c r="F116" s="6"/>
      <c r="G116" s="5"/>
      <c r="H116" s="5">
        <v>1</v>
      </c>
      <c r="I116" s="7" t="s">
        <v>1774</v>
      </c>
      <c r="J116" s="5">
        <v>1</v>
      </c>
      <c r="K116" s="5">
        <v>2051</v>
      </c>
      <c r="L116" s="8"/>
      <c r="M116" s="5"/>
      <c r="O116" s="26" t="str">
        <f t="shared" si="34"/>
        <v/>
      </c>
      <c r="P116" s="26" t="str">
        <f t="shared" si="35"/>
        <v/>
      </c>
    </row>
    <row r="117" spans="1:16">
      <c r="A117" s="5"/>
      <c r="B117" s="113"/>
      <c r="C117" s="5"/>
      <c r="D117" s="5"/>
      <c r="E117" s="6"/>
      <c r="F117" s="6"/>
      <c r="G117" s="5"/>
      <c r="H117" s="5">
        <v>1</v>
      </c>
      <c r="I117" s="7" t="s">
        <v>1807</v>
      </c>
      <c r="J117" s="5">
        <v>1</v>
      </c>
      <c r="K117" s="5">
        <v>1741</v>
      </c>
      <c r="L117" s="8"/>
      <c r="M117" s="5"/>
      <c r="O117" s="26" t="str">
        <f t="shared" si="34"/>
        <v/>
      </c>
      <c r="P117" s="26" t="str">
        <f t="shared" si="35"/>
        <v/>
      </c>
    </row>
    <row r="118" spans="1:16">
      <c r="A118" s="5"/>
      <c r="B118" s="113"/>
      <c r="C118" s="5"/>
      <c r="D118" s="5"/>
      <c r="E118" s="6"/>
      <c r="F118" s="6"/>
      <c r="G118" s="5"/>
      <c r="H118" s="5">
        <v>1</v>
      </c>
      <c r="I118" s="7" t="s">
        <v>1810</v>
      </c>
      <c r="J118" s="5">
        <v>1</v>
      </c>
      <c r="K118" s="5">
        <v>1741</v>
      </c>
      <c r="L118" s="8"/>
      <c r="M118" s="5"/>
      <c r="O118" s="26" t="str">
        <f t="shared" si="34"/>
        <v/>
      </c>
      <c r="P118" s="26" t="str">
        <f t="shared" si="35"/>
        <v/>
      </c>
    </row>
    <row r="119" spans="1:16">
      <c r="A119" s="5"/>
      <c r="B119" s="113"/>
      <c r="C119" s="5"/>
      <c r="D119" s="5"/>
      <c r="E119" s="6"/>
      <c r="F119" s="6"/>
      <c r="G119" s="5"/>
      <c r="H119" s="5">
        <v>1</v>
      </c>
      <c r="I119" s="7" t="s">
        <v>1780</v>
      </c>
      <c r="J119" s="5">
        <v>1</v>
      </c>
      <c r="K119" s="5">
        <v>777</v>
      </c>
      <c r="L119" s="8"/>
      <c r="M119" s="5"/>
      <c r="O119" s="26" t="str">
        <f t="shared" si="34"/>
        <v/>
      </c>
      <c r="P119" s="26" t="str">
        <f t="shared" si="35"/>
        <v/>
      </c>
    </row>
    <row r="120" spans="1:16">
      <c r="A120" s="5"/>
      <c r="B120" s="113"/>
      <c r="C120" s="5"/>
      <c r="D120" s="5"/>
      <c r="E120" s="6"/>
      <c r="F120" s="6"/>
      <c r="G120" s="5"/>
      <c r="H120" s="5">
        <v>1</v>
      </c>
      <c r="I120" s="7" t="s">
        <v>1814</v>
      </c>
      <c r="J120" s="5">
        <v>1</v>
      </c>
      <c r="K120" s="5">
        <v>127</v>
      </c>
      <c r="L120" s="8"/>
      <c r="M120" s="5"/>
      <c r="O120" s="26" t="str">
        <f t="shared" si="34"/>
        <v/>
      </c>
      <c r="P120" s="26" t="str">
        <f t="shared" si="35"/>
        <v/>
      </c>
    </row>
    <row r="121" spans="1:16">
      <c r="A121" s="5">
        <v>6</v>
      </c>
      <c r="B121" s="113"/>
      <c r="C121" s="5"/>
      <c r="D121" s="5">
        <v>1</v>
      </c>
      <c r="E121" s="6">
        <v>11500</v>
      </c>
      <c r="F121" s="6">
        <v>6</v>
      </c>
      <c r="G121" s="5"/>
      <c r="H121" s="5">
        <v>1</v>
      </c>
      <c r="I121" s="7" t="s">
        <v>1778</v>
      </c>
      <c r="J121" s="5">
        <v>1</v>
      </c>
      <c r="K121" s="5">
        <v>1527</v>
      </c>
      <c r="L121" s="8"/>
      <c r="M121" s="5"/>
      <c r="O121" s="26" t="str">
        <f t="shared" si="34"/>
        <v/>
      </c>
      <c r="P121" s="26" t="str">
        <f t="shared" si="35"/>
        <v/>
      </c>
    </row>
    <row r="122" spans="1:16">
      <c r="A122" s="5"/>
      <c r="B122" s="113"/>
      <c r="C122" s="5"/>
      <c r="D122" s="5"/>
      <c r="E122" s="6"/>
      <c r="F122" s="6"/>
      <c r="G122" s="5"/>
      <c r="H122" s="5">
        <v>1</v>
      </c>
      <c r="I122" s="7" t="s">
        <v>1806</v>
      </c>
      <c r="J122" s="5">
        <v>1</v>
      </c>
      <c r="K122" s="5">
        <v>1477</v>
      </c>
      <c r="L122" s="8"/>
      <c r="M122" s="5"/>
      <c r="O122" s="26" t="str">
        <f t="shared" si="34"/>
        <v>Marking</v>
      </c>
      <c r="P122" s="26" t="str">
        <f t="shared" si="35"/>
        <v>P. MARK [MM]</v>
      </c>
    </row>
    <row r="123" spans="1:16">
      <c r="A123" s="5"/>
      <c r="B123" s="113"/>
      <c r="C123" s="5"/>
      <c r="D123" s="5"/>
      <c r="E123" s="6"/>
      <c r="F123" s="6"/>
      <c r="G123" s="5"/>
      <c r="H123" s="5">
        <v>1</v>
      </c>
      <c r="I123" s="7" t="s">
        <v>1790</v>
      </c>
      <c r="J123" s="5">
        <v>1</v>
      </c>
      <c r="K123" s="5">
        <v>1441</v>
      </c>
      <c r="L123" s="8"/>
      <c r="M123" s="5"/>
      <c r="O123" s="26" t="str">
        <f t="shared" si="34"/>
        <v>&lt;3&gt;_1R71-QW-20013-01-1_EKO</v>
      </c>
      <c r="P123" s="26">
        <f t="shared" si="35"/>
        <v>6160</v>
      </c>
    </row>
    <row r="124" spans="1:16">
      <c r="A124" s="5"/>
      <c r="B124" s="113"/>
      <c r="C124" s="5"/>
      <c r="D124" s="5"/>
      <c r="E124" s="6"/>
      <c r="F124" s="6"/>
      <c r="G124" s="5"/>
      <c r="H124" s="5">
        <v>1</v>
      </c>
      <c r="I124" s="7" t="s">
        <v>1787</v>
      </c>
      <c r="J124" s="5">
        <v>1</v>
      </c>
      <c r="K124" s="5">
        <v>1423</v>
      </c>
      <c r="L124" s="8"/>
      <c r="M124" s="5"/>
      <c r="O124" s="26" t="str">
        <f t="shared" si="34"/>
        <v/>
      </c>
      <c r="P124" s="26" t="str">
        <f t="shared" si="35"/>
        <v/>
      </c>
    </row>
    <row r="125" spans="1:16">
      <c r="A125" s="5"/>
      <c r="B125" s="113"/>
      <c r="C125" s="5"/>
      <c r="D125" s="5"/>
      <c r="E125" s="6"/>
      <c r="F125" s="6"/>
      <c r="G125" s="5"/>
      <c r="H125" s="5">
        <v>1</v>
      </c>
      <c r="I125" s="7" t="s">
        <v>1791</v>
      </c>
      <c r="J125" s="5">
        <v>1</v>
      </c>
      <c r="K125" s="5">
        <v>1364</v>
      </c>
      <c r="L125" s="8"/>
      <c r="M125" s="5"/>
      <c r="O125" s="26" t="str">
        <f t="shared" si="34"/>
        <v/>
      </c>
      <c r="P125" s="26" t="str">
        <f t="shared" si="35"/>
        <v/>
      </c>
    </row>
    <row r="126" spans="1:16">
      <c r="A126" s="5"/>
      <c r="B126" s="113"/>
      <c r="C126" s="5"/>
      <c r="D126" s="5"/>
      <c r="E126" s="6"/>
      <c r="F126" s="6"/>
      <c r="G126" s="5"/>
      <c r="H126" s="5">
        <v>1</v>
      </c>
      <c r="I126" s="7" t="s">
        <v>1796</v>
      </c>
      <c r="J126" s="5">
        <v>1</v>
      </c>
      <c r="K126" s="5">
        <v>1091</v>
      </c>
      <c r="L126" s="8"/>
      <c r="M126" s="5"/>
      <c r="O126" s="26" t="str">
        <f t="shared" si="34"/>
        <v/>
      </c>
      <c r="P126" s="26" t="str">
        <f t="shared" si="35"/>
        <v/>
      </c>
    </row>
    <row r="127" spans="1:16">
      <c r="A127" s="5"/>
      <c r="B127" s="113"/>
      <c r="C127" s="5"/>
      <c r="D127" s="5"/>
      <c r="E127" s="6"/>
      <c r="F127" s="6"/>
      <c r="G127" s="5"/>
      <c r="H127" s="5">
        <v>1</v>
      </c>
      <c r="I127" s="7" t="s">
        <v>1773</v>
      </c>
      <c r="J127" s="5">
        <v>1</v>
      </c>
      <c r="K127" s="5">
        <v>1041</v>
      </c>
      <c r="L127" s="8"/>
      <c r="M127" s="5"/>
      <c r="O127" s="26" t="str">
        <f t="shared" si="34"/>
        <v/>
      </c>
      <c r="P127" s="26" t="str">
        <f t="shared" si="35"/>
        <v/>
      </c>
    </row>
    <row r="128" spans="1:16">
      <c r="A128" s="5"/>
      <c r="B128" s="113"/>
      <c r="C128" s="5"/>
      <c r="D128" s="5"/>
      <c r="E128" s="6"/>
      <c r="F128" s="6"/>
      <c r="G128" s="5"/>
      <c r="H128" s="5">
        <v>1</v>
      </c>
      <c r="I128" s="7" t="s">
        <v>1776</v>
      </c>
      <c r="J128" s="5">
        <v>1</v>
      </c>
      <c r="K128" s="5">
        <v>741</v>
      </c>
      <c r="L128" s="8"/>
      <c r="M128" s="5"/>
      <c r="O128" s="26" t="str">
        <f t="shared" si="34"/>
        <v/>
      </c>
      <c r="P128" s="26" t="str">
        <f t="shared" si="35"/>
        <v/>
      </c>
    </row>
    <row r="129" spans="1:16">
      <c r="A129" s="5"/>
      <c r="B129" s="113"/>
      <c r="C129" s="5"/>
      <c r="D129" s="5"/>
      <c r="E129" s="6"/>
      <c r="F129" s="6"/>
      <c r="G129" s="5"/>
      <c r="H129" s="5">
        <v>1</v>
      </c>
      <c r="I129" s="7" t="s">
        <v>1779</v>
      </c>
      <c r="J129" s="5">
        <v>1</v>
      </c>
      <c r="K129" s="5">
        <v>691</v>
      </c>
      <c r="L129" s="8"/>
      <c r="M129" s="5"/>
      <c r="O129" s="26" t="str">
        <f t="shared" si="34"/>
        <v/>
      </c>
      <c r="P129" s="26" t="str">
        <f t="shared" si="35"/>
        <v/>
      </c>
    </row>
    <row r="130" spans="1:16">
      <c r="A130" s="5"/>
      <c r="B130" s="113"/>
      <c r="C130" s="5"/>
      <c r="D130" s="5"/>
      <c r="E130" s="6"/>
      <c r="F130" s="6"/>
      <c r="G130" s="5"/>
      <c r="H130" s="5">
        <v>1</v>
      </c>
      <c r="I130" s="7" t="s">
        <v>1818</v>
      </c>
      <c r="J130" s="5">
        <v>1</v>
      </c>
      <c r="K130" s="5">
        <v>438</v>
      </c>
      <c r="L130" s="8"/>
      <c r="M130" s="5"/>
      <c r="O130" s="26" t="str">
        <f t="shared" si="34"/>
        <v/>
      </c>
      <c r="P130" s="26" t="str">
        <f t="shared" si="35"/>
        <v/>
      </c>
    </row>
    <row r="131" spans="1:16">
      <c r="A131" s="5">
        <v>7</v>
      </c>
      <c r="B131" s="113"/>
      <c r="C131" s="5"/>
      <c r="D131" s="5">
        <v>1</v>
      </c>
      <c r="E131" s="6">
        <v>11500</v>
      </c>
      <c r="F131" s="6"/>
      <c r="G131" s="5"/>
      <c r="H131" s="5">
        <v>1</v>
      </c>
      <c r="I131" s="7" t="s">
        <v>1793</v>
      </c>
      <c r="J131" s="5">
        <v>1</v>
      </c>
      <c r="K131" s="5">
        <v>11500</v>
      </c>
      <c r="L131" s="8"/>
      <c r="M131" s="5"/>
      <c r="O131" s="26" t="str">
        <f t="shared" si="34"/>
        <v>Marking</v>
      </c>
      <c r="P131" s="26" t="str">
        <f t="shared" si="35"/>
        <v>P. MARK [MM]</v>
      </c>
    </row>
    <row r="132" spans="1:16">
      <c r="A132" s="5">
        <v>8</v>
      </c>
      <c r="B132" s="113"/>
      <c r="C132" s="5"/>
      <c r="D132" s="5">
        <v>1</v>
      </c>
      <c r="E132" s="6">
        <v>11500</v>
      </c>
      <c r="F132" s="6"/>
      <c r="G132" s="5"/>
      <c r="H132" s="5">
        <v>1</v>
      </c>
      <c r="I132" s="7" t="s">
        <v>1786</v>
      </c>
      <c r="J132" s="5">
        <v>1</v>
      </c>
      <c r="K132" s="5">
        <v>11500</v>
      </c>
      <c r="L132" s="8"/>
      <c r="M132" s="5"/>
      <c r="O132" s="26" t="str">
        <f t="shared" si="34"/>
        <v>&lt;1&gt;_1R71-FO-20009-06-1_EKO</v>
      </c>
      <c r="P132" s="26">
        <f t="shared" si="35"/>
        <v>107</v>
      </c>
    </row>
    <row r="133" spans="1:16">
      <c r="A133" s="18">
        <v>9</v>
      </c>
      <c r="B133" s="113"/>
      <c r="C133" s="18"/>
      <c r="D133" s="18">
        <v>1</v>
      </c>
      <c r="E133" s="20">
        <v>142</v>
      </c>
      <c r="F133" s="20"/>
      <c r="G133" s="18"/>
      <c r="H133" s="18">
        <v>1</v>
      </c>
      <c r="I133" s="21" t="s">
        <v>1771</v>
      </c>
      <c r="J133" s="18">
        <v>1</v>
      </c>
      <c r="K133" s="18">
        <v>127</v>
      </c>
      <c r="L133" s="123" t="s">
        <v>873</v>
      </c>
      <c r="M133" s="124"/>
      <c r="O133" s="26" t="str">
        <f t="shared" si="34"/>
        <v>&lt;2&gt;_1R71-FO-20009-06-2_EKO</v>
      </c>
      <c r="P133" s="26">
        <f t="shared" si="35"/>
        <v>107</v>
      </c>
    </row>
    <row r="134" spans="1:16">
      <c r="A134" s="18">
        <v>10</v>
      </c>
      <c r="B134" s="113"/>
      <c r="C134" s="18"/>
      <c r="D134" s="18">
        <v>1</v>
      </c>
      <c r="E134" s="20">
        <v>160</v>
      </c>
      <c r="F134" s="20"/>
      <c r="G134" s="18"/>
      <c r="H134" s="18">
        <v>1</v>
      </c>
      <c r="I134" s="21" t="s">
        <v>1770</v>
      </c>
      <c r="J134" s="18">
        <v>1</v>
      </c>
      <c r="K134" s="18">
        <v>141</v>
      </c>
      <c r="L134" s="125"/>
      <c r="M134" s="126"/>
      <c r="O134" s="26" t="str">
        <f t="shared" si="34"/>
        <v>&lt;2&gt;_1R11-WF-10005-01-3_EKO</v>
      </c>
      <c r="P134" s="26">
        <f t="shared" si="35"/>
        <v>120</v>
      </c>
    </row>
    <row r="135" spans="1:16">
      <c r="A135" s="18">
        <v>11</v>
      </c>
      <c r="B135" s="113"/>
      <c r="C135" s="18"/>
      <c r="D135" s="18">
        <v>1</v>
      </c>
      <c r="E135" s="20">
        <v>180</v>
      </c>
      <c r="F135" s="20"/>
      <c r="G135" s="18"/>
      <c r="H135" s="18">
        <v>1</v>
      </c>
      <c r="I135" s="21" t="s">
        <v>1769</v>
      </c>
      <c r="J135" s="18">
        <v>1</v>
      </c>
      <c r="K135" s="18">
        <v>161</v>
      </c>
      <c r="L135" s="125"/>
      <c r="M135" s="126"/>
      <c r="O135" s="26" t="str">
        <f t="shared" si="34"/>
        <v>&lt;3&gt;_1R71-FO-20009-06-2_EKO</v>
      </c>
      <c r="P135" s="26">
        <f t="shared" si="35"/>
        <v>127</v>
      </c>
    </row>
    <row r="136" spans="1:16">
      <c r="A136" s="18">
        <v>12</v>
      </c>
      <c r="B136" s="113"/>
      <c r="C136" s="18"/>
      <c r="D136" s="18">
        <v>1</v>
      </c>
      <c r="E136" s="20">
        <v>230</v>
      </c>
      <c r="F136" s="20"/>
      <c r="G136" s="18"/>
      <c r="H136" s="18">
        <v>1</v>
      </c>
      <c r="I136" s="21" t="s">
        <v>1768</v>
      </c>
      <c r="J136" s="18">
        <v>1</v>
      </c>
      <c r="K136" s="18">
        <v>198</v>
      </c>
      <c r="L136" s="125"/>
      <c r="M136" s="126"/>
      <c r="O136" s="26" t="str">
        <f>IF(AND(J1335&gt;0,K1335&gt;0),I1335,"")</f>
        <v>&lt;2&gt;_1R71-FO-20009-03-1_EKO</v>
      </c>
      <c r="P136" s="26">
        <f>IF(AND(J1335&gt;0,K1335&gt;0),K1335,"")</f>
        <v>9144</v>
      </c>
    </row>
    <row r="137" spans="1:16">
      <c r="A137" s="18">
        <v>13</v>
      </c>
      <c r="B137" s="113"/>
      <c r="C137" s="18"/>
      <c r="D137" s="18">
        <v>1</v>
      </c>
      <c r="E137" s="20">
        <v>265</v>
      </c>
      <c r="F137" s="20"/>
      <c r="G137" s="18"/>
      <c r="H137" s="18">
        <v>1</v>
      </c>
      <c r="I137" s="21" t="s">
        <v>1767</v>
      </c>
      <c r="J137" s="18">
        <v>1</v>
      </c>
      <c r="K137" s="18">
        <v>232</v>
      </c>
      <c r="L137" s="125"/>
      <c r="M137" s="126"/>
      <c r="O137" s="26" t="str">
        <f>IF(AND(J1336&gt;0,K1336&gt;0),I1336,"")</f>
        <v>&lt;2&gt;_1R71-WW-90006-01-1_EKO</v>
      </c>
      <c r="P137" s="26">
        <f>IF(AND(J1336&gt;0,K1336&gt;0),K1336,"")</f>
        <v>1789</v>
      </c>
    </row>
    <row r="138" spans="1:16">
      <c r="A138" s="18">
        <v>14</v>
      </c>
      <c r="B138" s="112"/>
      <c r="C138" s="18"/>
      <c r="D138" s="18">
        <v>1</v>
      </c>
      <c r="E138" s="20">
        <v>255</v>
      </c>
      <c r="F138" s="20"/>
      <c r="G138" s="18"/>
      <c r="H138" s="18">
        <v>1</v>
      </c>
      <c r="I138" s="21" t="s">
        <v>1766</v>
      </c>
      <c r="J138" s="18">
        <v>1</v>
      </c>
      <c r="K138" s="18">
        <v>232</v>
      </c>
      <c r="L138" s="127"/>
      <c r="M138" s="128"/>
      <c r="O138" s="26" t="str">
        <f t="shared" ref="O138:O146" si="36">IF(AND(J1408&gt;0,K1408&gt;0),I1408,"")</f>
        <v>&lt;2&gt;_1R11-WW-90006-01-1_EKO</v>
      </c>
      <c r="P138" s="26">
        <f t="shared" ref="P138:P146" si="37">IF(AND(J1408&gt;0,K1408&gt;0),K1408,"")</f>
        <v>11500</v>
      </c>
    </row>
    <row r="139" spans="1:16">
      <c r="A139" s="18"/>
      <c r="B139" s="18"/>
      <c r="C139" s="18"/>
      <c r="D139" s="18"/>
      <c r="E139" s="20"/>
      <c r="F139" s="20"/>
      <c r="G139" s="18"/>
      <c r="H139" s="18"/>
      <c r="I139" s="21"/>
      <c r="J139" s="18"/>
      <c r="K139" s="18"/>
      <c r="L139" s="22"/>
      <c r="M139" s="18"/>
      <c r="O139" s="26" t="str">
        <f t="shared" si="36"/>
        <v>&lt;2&gt;_1R11-HSC-10002-06-2_EKO</v>
      </c>
      <c r="P139" s="26">
        <f t="shared" si="37"/>
        <v>11500</v>
      </c>
    </row>
    <row r="140" spans="1:16">
      <c r="A140" s="117" t="s">
        <v>4</v>
      </c>
      <c r="B140" s="117"/>
      <c r="C140" s="117"/>
      <c r="D140" s="117"/>
      <c r="E140" s="117"/>
      <c r="F140" s="117"/>
      <c r="G140" s="117"/>
      <c r="H140" s="117"/>
      <c r="I140" s="118" t="s">
        <v>8</v>
      </c>
      <c r="J140" s="118"/>
      <c r="K140" s="89" t="s">
        <v>70</v>
      </c>
      <c r="L140" s="119"/>
      <c r="M140" s="120"/>
      <c r="O140" s="26" t="str">
        <f t="shared" si="36"/>
        <v>&lt;1&gt;_1R71-FO-20009-01-1_EKO</v>
      </c>
      <c r="P140" s="26">
        <f t="shared" si="37"/>
        <v>11500</v>
      </c>
    </row>
    <row r="141" spans="1:16">
      <c r="A141" s="117"/>
      <c r="B141" s="117"/>
      <c r="C141" s="117"/>
      <c r="D141" s="117"/>
      <c r="E141" s="117"/>
      <c r="F141" s="117"/>
      <c r="G141" s="117"/>
      <c r="H141" s="117"/>
      <c r="I141" s="118" t="s">
        <v>25</v>
      </c>
      <c r="J141" s="118"/>
      <c r="K141" s="121" t="s">
        <v>1662</v>
      </c>
      <c r="L141" s="118"/>
      <c r="M141" s="118"/>
      <c r="O141" s="26" t="str">
        <f t="shared" si="36"/>
        <v>&lt;1&gt;_1R11-MS-90015-01-1_EKO</v>
      </c>
      <c r="P141" s="26">
        <f t="shared" si="37"/>
        <v>11500</v>
      </c>
    </row>
    <row r="142" spans="1:16">
      <c r="A142" s="117"/>
      <c r="B142" s="117"/>
      <c r="C142" s="117"/>
      <c r="D142" s="117"/>
      <c r="E142" s="117"/>
      <c r="F142" s="117"/>
      <c r="G142" s="117"/>
      <c r="H142" s="117"/>
      <c r="I142" s="87" t="s">
        <v>26</v>
      </c>
      <c r="J142" s="88"/>
      <c r="K142" s="95" t="s">
        <v>423</v>
      </c>
      <c r="L142" s="104"/>
      <c r="M142" s="88"/>
      <c r="O142" s="26" t="str">
        <f t="shared" si="36"/>
        <v>&lt;1&gt;_1R11-WW-90006-04-1_EKO</v>
      </c>
      <c r="P142" s="26">
        <f t="shared" si="37"/>
        <v>10339</v>
      </c>
    </row>
    <row r="143" spans="1:16">
      <c r="A143" s="118" t="s">
        <v>31</v>
      </c>
      <c r="B143" s="118"/>
      <c r="C143" s="118" t="s">
        <v>32</v>
      </c>
      <c r="D143" s="118"/>
      <c r="E143" s="118"/>
      <c r="F143" s="118"/>
      <c r="G143" s="118"/>
      <c r="H143" s="118"/>
      <c r="I143" s="40" t="s">
        <v>29</v>
      </c>
      <c r="J143" s="41"/>
      <c r="K143" s="118" t="s">
        <v>1328</v>
      </c>
      <c r="L143" s="118"/>
      <c r="M143" s="118"/>
      <c r="O143" s="26" t="str">
        <f t="shared" si="36"/>
        <v>&lt;1&gt;_1R71-H-40003-03-1_EKO</v>
      </c>
      <c r="P143" s="26">
        <f t="shared" si="37"/>
        <v>917</v>
      </c>
    </row>
    <row r="144" spans="1:16">
      <c r="A144" s="118"/>
      <c r="B144" s="118"/>
      <c r="C144" s="118"/>
      <c r="D144" s="118"/>
      <c r="E144" s="118"/>
      <c r="F144" s="118"/>
      <c r="G144" s="118"/>
      <c r="H144" s="118"/>
      <c r="I144" s="118" t="s">
        <v>30</v>
      </c>
      <c r="J144" s="118"/>
      <c r="K144" s="118" t="s">
        <v>1765</v>
      </c>
      <c r="L144" s="118"/>
      <c r="M144" s="118"/>
      <c r="O144" s="26" t="str">
        <f t="shared" si="36"/>
        <v>&lt;1&gt;_1R71-BFW-90002-07-1_EKO</v>
      </c>
      <c r="P144" s="26">
        <f t="shared" si="37"/>
        <v>96</v>
      </c>
    </row>
    <row r="145" spans="1:16">
      <c r="A145" s="122" t="s">
        <v>24</v>
      </c>
      <c r="B145" s="122"/>
      <c r="C145" s="122"/>
      <c r="D145" s="42">
        <v>22</v>
      </c>
      <c r="E145" s="117" t="s">
        <v>40</v>
      </c>
      <c r="F145" s="117"/>
      <c r="G145" s="117"/>
      <c r="H145" s="42">
        <v>75</v>
      </c>
      <c r="I145" s="118" t="s">
        <v>27</v>
      </c>
      <c r="J145" s="118"/>
      <c r="K145" s="118" t="s">
        <v>21</v>
      </c>
      <c r="L145" s="118"/>
      <c r="M145" s="118"/>
      <c r="O145" s="26" t="str">
        <f t="shared" si="36"/>
        <v/>
      </c>
      <c r="P145" s="26" t="str">
        <f t="shared" si="37"/>
        <v/>
      </c>
    </row>
    <row r="146" spans="1:16" ht="45">
      <c r="A146" s="3" t="s">
        <v>9</v>
      </c>
      <c r="B146" s="3" t="s">
        <v>10</v>
      </c>
      <c r="C146" s="3" t="s">
        <v>11</v>
      </c>
      <c r="D146" s="3" t="s">
        <v>3</v>
      </c>
      <c r="E146" s="4" t="s">
        <v>41</v>
      </c>
      <c r="F146" s="4" t="s">
        <v>12</v>
      </c>
      <c r="G146" s="3" t="s">
        <v>13</v>
      </c>
      <c r="H146" s="3" t="s">
        <v>14</v>
      </c>
      <c r="I146" s="3" t="s">
        <v>1103</v>
      </c>
      <c r="J146" s="3" t="s">
        <v>16</v>
      </c>
      <c r="K146" s="3" t="s">
        <v>17</v>
      </c>
      <c r="L146" s="3" t="s">
        <v>18</v>
      </c>
      <c r="M146" s="3" t="s">
        <v>19</v>
      </c>
      <c r="O146" s="26" t="str">
        <f t="shared" si="36"/>
        <v/>
      </c>
      <c r="P146" s="26" t="str">
        <f t="shared" si="37"/>
        <v/>
      </c>
    </row>
    <row r="147" spans="1:16">
      <c r="A147" s="18">
        <v>1</v>
      </c>
      <c r="B147" s="111" t="s">
        <v>1130</v>
      </c>
      <c r="C147" s="18"/>
      <c r="D147" s="18">
        <v>1</v>
      </c>
      <c r="E147" s="20">
        <v>11500</v>
      </c>
      <c r="F147" s="20">
        <v>3</v>
      </c>
      <c r="G147" s="18"/>
      <c r="H147" s="18">
        <v>1</v>
      </c>
      <c r="I147" s="21" t="s">
        <v>1717</v>
      </c>
      <c r="J147" s="18">
        <v>1</v>
      </c>
      <c r="K147" s="18">
        <v>9493</v>
      </c>
      <c r="L147" s="22"/>
      <c r="M147" s="18"/>
      <c r="O147" s="26" t="str">
        <f t="shared" ref="O147:O149" si="38">IF(AND(J1217&gt;0,K1217&gt;0),I1217,"")</f>
        <v>&lt;2&gt;_1R11-WF-90008-01-1_EKO</v>
      </c>
      <c r="P147" s="26">
        <f t="shared" ref="P147:P149" si="39">IF(AND(J1217&gt;0,K1217&gt;0),K1217,"")</f>
        <v>2141</v>
      </c>
    </row>
    <row r="148" spans="1:16">
      <c r="A148" s="18"/>
      <c r="B148" s="113"/>
      <c r="C148" s="18"/>
      <c r="D148" s="18"/>
      <c r="E148" s="20"/>
      <c r="F148" s="20"/>
      <c r="G148" s="18"/>
      <c r="H148" s="18">
        <v>1</v>
      </c>
      <c r="I148" s="21" t="s">
        <v>1711</v>
      </c>
      <c r="J148" s="18">
        <v>1</v>
      </c>
      <c r="K148" s="18">
        <v>1693</v>
      </c>
      <c r="L148" s="22"/>
      <c r="M148" s="18"/>
      <c r="O148" s="26" t="str">
        <f t="shared" si="38"/>
        <v>&lt;1&gt;_1R71-ME-90003-01-1_EKO</v>
      </c>
      <c r="P148" s="26">
        <f t="shared" si="39"/>
        <v>1941</v>
      </c>
    </row>
    <row r="149" spans="1:16">
      <c r="A149" s="18"/>
      <c r="B149" s="113"/>
      <c r="C149" s="18"/>
      <c r="D149" s="18"/>
      <c r="E149" s="20"/>
      <c r="F149" s="20"/>
      <c r="G149" s="18"/>
      <c r="H149" s="18">
        <v>1</v>
      </c>
      <c r="I149" s="21" t="s">
        <v>1739</v>
      </c>
      <c r="J149" s="18">
        <v>1</v>
      </c>
      <c r="K149" s="18">
        <v>233</v>
      </c>
      <c r="L149" s="22"/>
      <c r="M149" s="18"/>
      <c r="O149" s="26" t="str">
        <f t="shared" si="38"/>
        <v>&lt;4&gt;_1R71-DR-90001-03-2_EKO</v>
      </c>
      <c r="P149" s="26">
        <f t="shared" si="39"/>
        <v>951</v>
      </c>
    </row>
    <row r="150" spans="1:16">
      <c r="A150" s="18">
        <v>2</v>
      </c>
      <c r="B150" s="113"/>
      <c r="C150" s="18"/>
      <c r="D150" s="18">
        <v>1</v>
      </c>
      <c r="E150" s="20">
        <v>11500</v>
      </c>
      <c r="F150" s="20">
        <v>43</v>
      </c>
      <c r="G150" s="18"/>
      <c r="H150" s="18">
        <v>1</v>
      </c>
      <c r="I150" s="21" t="s">
        <v>1701</v>
      </c>
      <c r="J150" s="18">
        <v>1</v>
      </c>
      <c r="K150" s="18">
        <v>7843</v>
      </c>
      <c r="L150" s="22"/>
      <c r="M150" s="18"/>
      <c r="O150" s="26" t="str">
        <f t="shared" ref="O150:O155" si="40">IF(AND(J1220&gt;0,K1220&gt;0),I1220,"")</f>
        <v>&lt;2&gt;_1R11-LS-12001-01-1_EKO</v>
      </c>
      <c r="P150" s="26">
        <f t="shared" ref="P150:P155" si="41">IF(AND(J1220&gt;0,K1220&gt;0),K1220,"")</f>
        <v>3941</v>
      </c>
    </row>
    <row r="151" spans="1:16">
      <c r="A151" s="18"/>
      <c r="B151" s="113"/>
      <c r="C151" s="18"/>
      <c r="D151" s="18"/>
      <c r="E151" s="20"/>
      <c r="F151" s="20"/>
      <c r="G151" s="18"/>
      <c r="H151" s="18">
        <v>1</v>
      </c>
      <c r="I151" s="21" t="s">
        <v>1708</v>
      </c>
      <c r="J151" s="18">
        <v>1</v>
      </c>
      <c r="K151" s="18">
        <v>2493</v>
      </c>
      <c r="L151" s="22"/>
      <c r="M151" s="18"/>
      <c r="O151" s="26" t="str">
        <f t="shared" si="40"/>
        <v>&lt;2&gt;_1R71-DR-90001-01-1_EKO</v>
      </c>
      <c r="P151" s="26">
        <f t="shared" si="41"/>
        <v>3399</v>
      </c>
    </row>
    <row r="152" spans="1:16">
      <c r="A152" s="18"/>
      <c r="B152" s="113"/>
      <c r="C152" s="18"/>
      <c r="D152" s="18"/>
      <c r="E152" s="20"/>
      <c r="F152" s="20"/>
      <c r="G152" s="18"/>
      <c r="H152" s="18">
        <v>1</v>
      </c>
      <c r="I152" s="21" t="s">
        <v>1746</v>
      </c>
      <c r="J152" s="18">
        <v>1</v>
      </c>
      <c r="K152" s="18">
        <v>1043</v>
      </c>
      <c r="L152" s="22"/>
      <c r="M152" s="18"/>
      <c r="O152" s="26" t="str">
        <f t="shared" si="40"/>
        <v>&lt;7&gt;_1R71-FG-30008-01-3_EKO</v>
      </c>
      <c r="P152" s="26">
        <f t="shared" si="41"/>
        <v>2937</v>
      </c>
    </row>
    <row r="153" spans="1:16">
      <c r="A153" s="18">
        <v>3</v>
      </c>
      <c r="B153" s="113"/>
      <c r="C153" s="18"/>
      <c r="D153" s="18">
        <v>1</v>
      </c>
      <c r="E153" s="20">
        <v>11500</v>
      </c>
      <c r="F153" s="20">
        <v>43</v>
      </c>
      <c r="G153" s="18"/>
      <c r="H153" s="18">
        <v>1</v>
      </c>
      <c r="I153" s="21" t="s">
        <v>1741</v>
      </c>
      <c r="J153" s="18">
        <v>1</v>
      </c>
      <c r="K153" s="18">
        <v>7663</v>
      </c>
      <c r="L153" s="22"/>
      <c r="M153" s="18"/>
      <c r="O153" s="26" t="str">
        <f t="shared" si="40"/>
        <v>&lt;1&gt;_1R71-OG-30002-03-1_EKO</v>
      </c>
      <c r="P153" s="26">
        <f t="shared" si="41"/>
        <v>1102</v>
      </c>
    </row>
    <row r="154" spans="1:16">
      <c r="A154" s="18"/>
      <c r="B154" s="113"/>
      <c r="C154" s="18"/>
      <c r="D154" s="18"/>
      <c r="E154" s="20"/>
      <c r="F154" s="20"/>
      <c r="G154" s="18"/>
      <c r="H154" s="18">
        <v>1</v>
      </c>
      <c r="I154" s="21" t="s">
        <v>1760</v>
      </c>
      <c r="J154" s="18">
        <v>1</v>
      </c>
      <c r="K154" s="18">
        <v>1093</v>
      </c>
      <c r="L154" s="22"/>
      <c r="M154" s="18"/>
      <c r="O154" s="26" t="str">
        <f t="shared" si="40"/>
        <v>&lt;2&gt;_1R11-LS-11001-01-1_EKO</v>
      </c>
      <c r="P154" s="26">
        <f t="shared" si="41"/>
        <v>3941</v>
      </c>
    </row>
    <row r="155" spans="1:16">
      <c r="A155" s="18"/>
      <c r="B155" s="113"/>
      <c r="C155" s="18"/>
      <c r="D155" s="18"/>
      <c r="E155" s="20"/>
      <c r="F155" s="20"/>
      <c r="G155" s="18"/>
      <c r="H155" s="18">
        <v>1</v>
      </c>
      <c r="I155" s="21" t="s">
        <v>1734</v>
      </c>
      <c r="J155" s="18">
        <v>1</v>
      </c>
      <c r="K155" s="18">
        <v>1032</v>
      </c>
      <c r="L155" s="22"/>
      <c r="M155" s="18"/>
      <c r="O155" s="26" t="str">
        <f t="shared" si="40"/>
        <v>&lt;4&gt;_1R11-LS-11001-01-2_EKO</v>
      </c>
      <c r="P155" s="26">
        <f t="shared" si="41"/>
        <v>1091</v>
      </c>
    </row>
    <row r="156" spans="1:16">
      <c r="A156" s="18"/>
      <c r="B156" s="113"/>
      <c r="C156" s="18"/>
      <c r="D156" s="18"/>
      <c r="E156" s="20"/>
      <c r="F156" s="20"/>
      <c r="G156" s="18"/>
      <c r="H156" s="18">
        <v>1</v>
      </c>
      <c r="I156" s="21" t="s">
        <v>1736</v>
      </c>
      <c r="J156" s="18">
        <v>1</v>
      </c>
      <c r="K156" s="18">
        <v>1023</v>
      </c>
      <c r="L156" s="22"/>
      <c r="M156" s="18"/>
      <c r="O156" s="26" t="str">
        <f t="shared" ref="O156:O161" si="42">IF(AND(J1226&gt;0,K1226&gt;0),I1226,"")</f>
        <v>&lt;4&gt;_1R11-LS-12001-01-3_EKO</v>
      </c>
      <c r="P156" s="26">
        <f t="shared" ref="P156:P161" si="43">IF(AND(J1226&gt;0,K1226&gt;0),K1226,"")</f>
        <v>1091</v>
      </c>
    </row>
    <row r="157" spans="1:16">
      <c r="A157" s="18"/>
      <c r="B157" s="113"/>
      <c r="C157" s="18"/>
      <c r="D157" s="18"/>
      <c r="E157" s="20"/>
      <c r="F157" s="20"/>
      <c r="G157" s="18"/>
      <c r="H157" s="18">
        <v>1</v>
      </c>
      <c r="I157" s="21" t="s">
        <v>1752</v>
      </c>
      <c r="J157" s="18">
        <v>1</v>
      </c>
      <c r="K157" s="18">
        <v>516</v>
      </c>
      <c r="L157" s="22"/>
      <c r="M157" s="18"/>
      <c r="O157" s="26" t="str">
        <f t="shared" si="42"/>
        <v>&lt;4&gt;_1R11-LS-13001-01-3_EKO</v>
      </c>
      <c r="P157" s="26">
        <f t="shared" si="43"/>
        <v>1091</v>
      </c>
    </row>
    <row r="158" spans="1:16">
      <c r="A158" s="18">
        <v>4</v>
      </c>
      <c r="B158" s="113"/>
      <c r="C158" s="18"/>
      <c r="D158" s="18">
        <v>1</v>
      </c>
      <c r="E158" s="20">
        <v>11500</v>
      </c>
      <c r="F158" s="20">
        <v>48</v>
      </c>
      <c r="G158" s="18"/>
      <c r="H158" s="18">
        <v>1</v>
      </c>
      <c r="I158" s="21" t="s">
        <v>1735</v>
      </c>
      <c r="J158" s="18">
        <v>1</v>
      </c>
      <c r="K158" s="18">
        <v>6993</v>
      </c>
      <c r="L158" s="22"/>
      <c r="M158" s="18"/>
      <c r="O158" s="26" t="str">
        <f t="shared" si="42"/>
        <v>&lt;4&gt;_1R11-LS-14001-01-3_EKO</v>
      </c>
      <c r="P158" s="26">
        <f t="shared" si="43"/>
        <v>1091</v>
      </c>
    </row>
    <row r="159" spans="1:16">
      <c r="A159" s="18"/>
      <c r="B159" s="113"/>
      <c r="C159" s="18"/>
      <c r="D159" s="18"/>
      <c r="E159" s="20"/>
      <c r="F159" s="20"/>
      <c r="G159" s="18"/>
      <c r="H159" s="18">
        <v>1</v>
      </c>
      <c r="I159" s="21" t="s">
        <v>1723</v>
      </c>
      <c r="J159" s="18">
        <v>1</v>
      </c>
      <c r="K159" s="18">
        <v>4183</v>
      </c>
      <c r="L159" s="22"/>
      <c r="M159" s="18"/>
      <c r="O159" s="26" t="str">
        <f t="shared" si="42"/>
        <v>&lt;4&gt;_1R11-LS-16001-01-3_EKO</v>
      </c>
      <c r="P159" s="26">
        <f t="shared" si="43"/>
        <v>1091</v>
      </c>
    </row>
    <row r="160" spans="1:16">
      <c r="A160" s="18"/>
      <c r="B160" s="113"/>
      <c r="C160" s="18"/>
      <c r="D160" s="18"/>
      <c r="E160" s="20"/>
      <c r="F160" s="20"/>
      <c r="G160" s="18"/>
      <c r="H160" s="18">
        <v>1</v>
      </c>
      <c r="I160" s="21" t="s">
        <v>1702</v>
      </c>
      <c r="J160" s="18">
        <v>1</v>
      </c>
      <c r="K160" s="18">
        <v>198</v>
      </c>
      <c r="L160" s="22"/>
      <c r="M160" s="18"/>
      <c r="O160" s="26" t="str">
        <f t="shared" si="42"/>
        <v>&lt;4&gt;_1R11-LS-17001-01-3_EKO</v>
      </c>
      <c r="P160" s="26">
        <f t="shared" si="43"/>
        <v>1091</v>
      </c>
    </row>
    <row r="161" spans="1:16">
      <c r="A161" s="18">
        <v>5</v>
      </c>
      <c r="B161" s="113"/>
      <c r="C161" s="18"/>
      <c r="D161" s="18">
        <v>1</v>
      </c>
      <c r="E161" s="20">
        <v>11500</v>
      </c>
      <c r="F161" s="20">
        <v>6</v>
      </c>
      <c r="G161" s="18"/>
      <c r="H161" s="18">
        <v>1</v>
      </c>
      <c r="I161" s="21" t="s">
        <v>1712</v>
      </c>
      <c r="J161" s="18">
        <v>1</v>
      </c>
      <c r="K161" s="18">
        <v>6732</v>
      </c>
      <c r="L161" s="22"/>
      <c r="M161" s="18"/>
      <c r="O161" s="26" t="str">
        <f t="shared" si="42"/>
        <v>&lt;5&gt;_1R11-N-90038-03-2_EKO</v>
      </c>
      <c r="P161" s="26">
        <f t="shared" si="43"/>
        <v>791</v>
      </c>
    </row>
    <row r="162" spans="1:16">
      <c r="A162" s="5"/>
      <c r="B162" s="113"/>
      <c r="C162" s="5"/>
      <c r="D162" s="5"/>
      <c r="E162" s="6"/>
      <c r="F162" s="6"/>
      <c r="G162" s="5"/>
      <c r="H162" s="5">
        <v>1</v>
      </c>
      <c r="I162" s="7" t="s">
        <v>1693</v>
      </c>
      <c r="J162" s="5">
        <v>1</v>
      </c>
      <c r="K162" s="5">
        <v>4043</v>
      </c>
      <c r="L162" s="8"/>
      <c r="M162" s="5"/>
      <c r="O162" s="26" t="str">
        <f t="shared" ref="O162:O167" si="44">IF(AND(J1232&gt;0,K1232&gt;0),I1232,"")</f>
        <v>&lt;10&gt;_1R11-N-90038-05-4_EKO</v>
      </c>
      <c r="P162" s="26">
        <f t="shared" ref="P162:P167" si="45">IF(AND(J1232&gt;0,K1232&gt;0),K1232,"")</f>
        <v>3717</v>
      </c>
    </row>
    <row r="163" spans="1:16">
      <c r="A163" s="5"/>
      <c r="B163" s="113"/>
      <c r="C163" s="5"/>
      <c r="D163" s="5"/>
      <c r="E163" s="6"/>
      <c r="F163" s="6"/>
      <c r="G163" s="5"/>
      <c r="H163" s="5">
        <v>1</v>
      </c>
      <c r="I163" s="7" t="s">
        <v>1761</v>
      </c>
      <c r="J163" s="5">
        <v>1</v>
      </c>
      <c r="K163" s="5">
        <v>641</v>
      </c>
      <c r="L163" s="8"/>
      <c r="M163" s="18"/>
      <c r="O163" s="26" t="str">
        <f t="shared" si="44"/>
        <v>&lt;1&gt;_1R11-LS-13001-01-1_EKO</v>
      </c>
      <c r="P163" s="26">
        <f t="shared" si="45"/>
        <v>936</v>
      </c>
    </row>
    <row r="164" spans="1:16">
      <c r="A164" s="5">
        <v>6</v>
      </c>
      <c r="B164" s="113"/>
      <c r="C164" s="5"/>
      <c r="D164" s="5">
        <v>1</v>
      </c>
      <c r="E164" s="6">
        <v>11500</v>
      </c>
      <c r="F164" s="6">
        <v>12</v>
      </c>
      <c r="G164" s="5"/>
      <c r="H164" s="5">
        <v>1</v>
      </c>
      <c r="I164" s="7" t="s">
        <v>1698</v>
      </c>
      <c r="J164" s="5">
        <v>1</v>
      </c>
      <c r="K164" s="5">
        <v>6633</v>
      </c>
      <c r="L164" s="8"/>
      <c r="M164" s="5"/>
      <c r="O164" s="26" t="str">
        <f t="shared" si="44"/>
        <v>&lt;1&gt;_1R11-LS-14001-01-1_EKO</v>
      </c>
      <c r="P164" s="26">
        <f t="shared" si="45"/>
        <v>936</v>
      </c>
    </row>
    <row r="165" spans="1:16">
      <c r="A165" s="5"/>
      <c r="B165" s="113"/>
      <c r="C165" s="5"/>
      <c r="D165" s="5"/>
      <c r="E165" s="6"/>
      <c r="F165" s="6"/>
      <c r="G165" s="5"/>
      <c r="H165" s="5">
        <v>1</v>
      </c>
      <c r="I165" s="7" t="s">
        <v>1697</v>
      </c>
      <c r="J165" s="5">
        <v>1</v>
      </c>
      <c r="K165" s="5">
        <v>741</v>
      </c>
      <c r="L165" s="8"/>
      <c r="M165" s="5"/>
      <c r="O165" s="26" t="str">
        <f t="shared" si="44"/>
        <v>&lt;1&gt;_1R11-LS-15001-01-1_EKO</v>
      </c>
      <c r="P165" s="26">
        <f t="shared" si="45"/>
        <v>936</v>
      </c>
    </row>
    <row r="166" spans="1:16">
      <c r="A166" s="5"/>
      <c r="B166" s="113"/>
      <c r="C166" s="5"/>
      <c r="D166" s="5"/>
      <c r="E166" s="6"/>
      <c r="F166" s="6"/>
      <c r="G166" s="5"/>
      <c r="H166" s="5">
        <v>1</v>
      </c>
      <c r="I166" s="7" t="s">
        <v>1754</v>
      </c>
      <c r="J166" s="5">
        <v>1</v>
      </c>
      <c r="K166" s="5">
        <v>730</v>
      </c>
      <c r="L166" s="8"/>
      <c r="M166" s="5"/>
      <c r="O166" s="26" t="str">
        <f t="shared" si="44"/>
        <v>&lt;5&gt;_1R11-N-90038-06-2_EKO</v>
      </c>
      <c r="P166" s="26">
        <f t="shared" si="45"/>
        <v>915</v>
      </c>
    </row>
    <row r="167" spans="1:16">
      <c r="A167" s="5"/>
      <c r="B167" s="113"/>
      <c r="C167" s="5"/>
      <c r="D167" s="5"/>
      <c r="E167" s="6"/>
      <c r="F167" s="6"/>
      <c r="G167" s="5"/>
      <c r="H167" s="5">
        <v>1</v>
      </c>
      <c r="I167" s="7" t="s">
        <v>1755</v>
      </c>
      <c r="J167" s="5">
        <v>1</v>
      </c>
      <c r="K167" s="5">
        <v>730</v>
      </c>
      <c r="L167" s="8"/>
      <c r="M167" s="5"/>
      <c r="O167" s="26" t="str">
        <f t="shared" si="44"/>
        <v>&lt;1&gt;_1R71-DR-90001-02-1_EKO</v>
      </c>
      <c r="P167" s="26">
        <f t="shared" si="45"/>
        <v>741</v>
      </c>
    </row>
    <row r="168" spans="1:16">
      <c r="A168" s="5"/>
      <c r="B168" s="113"/>
      <c r="C168" s="5"/>
      <c r="D168" s="5"/>
      <c r="E168" s="6"/>
      <c r="F168" s="6"/>
      <c r="G168" s="5"/>
      <c r="H168" s="5">
        <v>1</v>
      </c>
      <c r="I168" s="7" t="s">
        <v>1756</v>
      </c>
      <c r="J168" s="5">
        <v>1</v>
      </c>
      <c r="K168" s="5">
        <v>730</v>
      </c>
      <c r="L168" s="8"/>
      <c r="M168" s="5"/>
      <c r="O168" s="26" t="str">
        <f t="shared" ref="O168:O171" si="46">IF(AND(J1238&gt;0,K1238&gt;0),I1238,"")</f>
        <v>&lt;5&gt;_1R11-LS-12001-01-3_EKO</v>
      </c>
      <c r="P168" s="26">
        <f t="shared" ref="P168:P171" si="47">IF(AND(J1238&gt;0,K1238&gt;0),K1238,"")</f>
        <v>716</v>
      </c>
    </row>
    <row r="169" spans="1:16">
      <c r="A169" s="5"/>
      <c r="B169" s="113"/>
      <c r="C169" s="5"/>
      <c r="D169" s="5"/>
      <c r="E169" s="6"/>
      <c r="F169" s="6"/>
      <c r="G169" s="5"/>
      <c r="H169" s="5">
        <v>1</v>
      </c>
      <c r="I169" s="7" t="s">
        <v>1757</v>
      </c>
      <c r="J169" s="5">
        <v>1</v>
      </c>
      <c r="K169" s="5">
        <v>730</v>
      </c>
      <c r="L169" s="8"/>
      <c r="M169" s="5"/>
      <c r="O169" s="26" t="str">
        <f t="shared" si="46"/>
        <v>&lt;10&gt;_1R71-DR-90001-01-5_EKO</v>
      </c>
      <c r="P169" s="26">
        <f t="shared" si="47"/>
        <v>711</v>
      </c>
    </row>
    <row r="170" spans="1:16">
      <c r="A170" s="5"/>
      <c r="B170" s="113"/>
      <c r="C170" s="5"/>
      <c r="D170" s="5"/>
      <c r="E170" s="6"/>
      <c r="F170" s="6"/>
      <c r="G170" s="5"/>
      <c r="H170" s="5">
        <v>1</v>
      </c>
      <c r="I170" s="7" t="s">
        <v>1704</v>
      </c>
      <c r="J170" s="5">
        <v>1</v>
      </c>
      <c r="K170" s="5">
        <v>693</v>
      </c>
      <c r="L170" s="8"/>
      <c r="M170" s="5"/>
      <c r="O170" s="26" t="str">
        <f t="shared" si="46"/>
        <v>&lt;3&gt;_1R71-DR-90001-02-1_EKO</v>
      </c>
      <c r="P170" s="26">
        <f t="shared" si="47"/>
        <v>711</v>
      </c>
    </row>
    <row r="171" spans="1:16">
      <c r="A171" s="5"/>
      <c r="B171" s="113"/>
      <c r="C171" s="5"/>
      <c r="D171" s="5"/>
      <c r="E171" s="6"/>
      <c r="F171" s="6"/>
      <c r="G171" s="5"/>
      <c r="H171" s="5">
        <v>1</v>
      </c>
      <c r="I171" s="7" t="s">
        <v>1724</v>
      </c>
      <c r="J171" s="5">
        <v>1</v>
      </c>
      <c r="K171" s="5">
        <v>293</v>
      </c>
      <c r="L171" s="8"/>
      <c r="M171" s="5"/>
      <c r="O171" s="26" t="str">
        <f t="shared" si="46"/>
        <v>&lt;1&gt;_1R71-P-30021-01-1_EKO</v>
      </c>
      <c r="P171" s="26">
        <f t="shared" si="47"/>
        <v>691</v>
      </c>
    </row>
    <row r="172" spans="1:16">
      <c r="A172" s="5">
        <v>7</v>
      </c>
      <c r="B172" s="113"/>
      <c r="C172" s="5"/>
      <c r="D172" s="5">
        <v>1</v>
      </c>
      <c r="E172" s="6">
        <v>11500</v>
      </c>
      <c r="F172" s="6">
        <v>81</v>
      </c>
      <c r="G172" s="5"/>
      <c r="H172" s="5">
        <v>1</v>
      </c>
      <c r="I172" s="7" t="s">
        <v>1743</v>
      </c>
      <c r="J172" s="5">
        <v>1</v>
      </c>
      <c r="K172" s="5">
        <v>5593</v>
      </c>
      <c r="L172" s="8"/>
      <c r="M172" s="5"/>
      <c r="O172" s="26" t="str">
        <f t="shared" ref="O172:O173" si="48">IF(AND(J1254&gt;0,K1254&gt;0),I1254,"")</f>
        <v>&lt;9&gt;_1R71-DR-90001-01-5_EKO</v>
      </c>
      <c r="P172" s="26">
        <f t="shared" ref="P172:P173" si="49">IF(AND(J1254&gt;0,K1254&gt;0),K1254,"")</f>
        <v>11500</v>
      </c>
    </row>
    <row r="173" spans="1:16">
      <c r="A173" s="5"/>
      <c r="B173" s="113"/>
      <c r="C173" s="5"/>
      <c r="D173" s="5"/>
      <c r="E173" s="6"/>
      <c r="F173" s="6"/>
      <c r="G173" s="5"/>
      <c r="H173" s="5">
        <v>1</v>
      </c>
      <c r="I173" s="7" t="s">
        <v>1710</v>
      </c>
      <c r="J173" s="5">
        <v>1</v>
      </c>
      <c r="K173" s="5">
        <v>5243</v>
      </c>
      <c r="L173" s="8"/>
      <c r="M173" s="5"/>
      <c r="O173" s="26" t="str">
        <f t="shared" si="48"/>
        <v>&lt;9&gt;_1R11-N-90038-05-3_EKO</v>
      </c>
      <c r="P173" s="26">
        <f t="shared" si="49"/>
        <v>11500</v>
      </c>
    </row>
    <row r="174" spans="1:16">
      <c r="A174" s="5"/>
      <c r="B174" s="112"/>
      <c r="C174" s="5"/>
      <c r="D174" s="5"/>
      <c r="E174" s="6"/>
      <c r="F174" s="6"/>
      <c r="G174" s="5"/>
      <c r="H174" s="5">
        <v>1</v>
      </c>
      <c r="I174" s="7" t="s">
        <v>1714</v>
      </c>
      <c r="J174" s="5">
        <v>1</v>
      </c>
      <c r="K174" s="5">
        <v>505</v>
      </c>
      <c r="L174" s="8"/>
      <c r="M174" s="5"/>
      <c r="O174" s="26" t="str">
        <f t="shared" ref="O174:O179" si="50">IF(AND(J1256&gt;0,K1256&gt;0),I1256,"")</f>
        <v>&lt;6&gt;_1R71-P-30021-02-1_EKO</v>
      </c>
      <c r="P174" s="26">
        <f t="shared" ref="P174:P179" si="51">IF(AND(J1256&gt;0,K1256&gt;0),K1256,"")</f>
        <v>11500</v>
      </c>
    </row>
    <row r="175" spans="1:16">
      <c r="A175" s="5">
        <v>8</v>
      </c>
      <c r="B175" s="114" t="s">
        <v>1130</v>
      </c>
      <c r="C175" s="5"/>
      <c r="D175" s="5">
        <v>1</v>
      </c>
      <c r="E175" s="6">
        <v>11500</v>
      </c>
      <c r="F175" s="6">
        <v>39</v>
      </c>
      <c r="G175" s="5"/>
      <c r="H175" s="5">
        <v>1</v>
      </c>
      <c r="I175" s="7" t="s">
        <v>1725</v>
      </c>
      <c r="J175" s="5">
        <v>1</v>
      </c>
      <c r="K175" s="5">
        <v>3893</v>
      </c>
      <c r="L175" s="8"/>
      <c r="M175" s="5"/>
      <c r="O175" s="26" t="str">
        <f t="shared" si="50"/>
        <v>&lt;6&gt;_1R11-N-90038-05-2_EKO</v>
      </c>
      <c r="P175" s="26">
        <f t="shared" si="51"/>
        <v>11500</v>
      </c>
    </row>
    <row r="176" spans="1:16">
      <c r="A176" s="5"/>
      <c r="B176" s="115"/>
      <c r="C176" s="5"/>
      <c r="D176" s="5"/>
      <c r="E176" s="6"/>
      <c r="F176" s="6"/>
      <c r="G176" s="5"/>
      <c r="H176" s="5">
        <v>1</v>
      </c>
      <c r="I176" s="7" t="s">
        <v>1722</v>
      </c>
      <c r="J176" s="5">
        <v>1</v>
      </c>
      <c r="K176" s="5">
        <v>2493</v>
      </c>
      <c r="L176" s="8"/>
      <c r="M176" s="5"/>
      <c r="O176" s="26" t="str">
        <f t="shared" si="50"/>
        <v>&lt;4&gt;_1R71-P-30162-02-1_EKO</v>
      </c>
      <c r="P176" s="26">
        <f t="shared" si="51"/>
        <v>11500</v>
      </c>
    </row>
    <row r="177" spans="1:16">
      <c r="A177" s="5"/>
      <c r="B177" s="115"/>
      <c r="C177" s="5"/>
      <c r="D177" s="5"/>
      <c r="E177" s="6"/>
      <c r="F177" s="6"/>
      <c r="G177" s="5"/>
      <c r="H177" s="5">
        <v>1</v>
      </c>
      <c r="I177" s="7" t="s">
        <v>1753</v>
      </c>
      <c r="J177" s="5">
        <v>1</v>
      </c>
      <c r="K177" s="5">
        <v>2193</v>
      </c>
      <c r="L177" s="8"/>
      <c r="M177" s="5"/>
      <c r="O177" s="26" t="str">
        <f t="shared" si="50"/>
        <v>&lt;4&gt;_1R71-OG-30001-04-1_EKO</v>
      </c>
      <c r="P177" s="26">
        <f t="shared" si="51"/>
        <v>11500</v>
      </c>
    </row>
    <row r="178" spans="1:16">
      <c r="A178" s="5"/>
      <c r="B178" s="115"/>
      <c r="C178" s="5"/>
      <c r="D178" s="5"/>
      <c r="E178" s="6"/>
      <c r="F178" s="6"/>
      <c r="G178" s="5"/>
      <c r="H178" s="5">
        <v>1</v>
      </c>
      <c r="I178" s="7" t="s">
        <v>1751</v>
      </c>
      <c r="J178" s="5">
        <v>1</v>
      </c>
      <c r="K178" s="5">
        <v>2059</v>
      </c>
      <c r="L178" s="8"/>
      <c r="M178" s="5"/>
      <c r="O178" s="26" t="str">
        <f t="shared" si="50"/>
        <v>&lt;4&gt;_1R71-FG-30008-01-1_EKO</v>
      </c>
      <c r="P178" s="26">
        <f t="shared" si="51"/>
        <v>11500</v>
      </c>
    </row>
    <row r="179" spans="1:16">
      <c r="A179" s="5"/>
      <c r="B179" s="115"/>
      <c r="C179" s="5"/>
      <c r="D179" s="5"/>
      <c r="E179" s="6"/>
      <c r="F179" s="6"/>
      <c r="G179" s="5"/>
      <c r="H179" s="5">
        <v>1</v>
      </c>
      <c r="I179" s="7" t="s">
        <v>1699</v>
      </c>
      <c r="J179" s="5">
        <v>1</v>
      </c>
      <c r="K179" s="5">
        <v>693</v>
      </c>
      <c r="L179" s="8"/>
      <c r="M179" s="5"/>
      <c r="O179" s="26" t="str">
        <f t="shared" si="50"/>
        <v>&lt;4&gt;_1R11-N-90038-04-1_EKO</v>
      </c>
      <c r="P179" s="26">
        <f t="shared" si="51"/>
        <v>11500</v>
      </c>
    </row>
    <row r="180" spans="1:16">
      <c r="A180" s="5">
        <v>9</v>
      </c>
      <c r="B180" s="115"/>
      <c r="C180" s="5"/>
      <c r="D180" s="5">
        <v>1</v>
      </c>
      <c r="E180" s="6">
        <v>11500</v>
      </c>
      <c r="F180" s="6">
        <v>1642</v>
      </c>
      <c r="G180" s="5"/>
      <c r="H180" s="5">
        <v>1</v>
      </c>
      <c r="I180" s="7" t="s">
        <v>1689</v>
      </c>
      <c r="J180" s="5">
        <v>1</v>
      </c>
      <c r="K180" s="5">
        <v>1993</v>
      </c>
      <c r="L180" s="8"/>
      <c r="M180" s="5"/>
      <c r="O180" s="26" t="str">
        <f>IF(AND(J1262&gt;0,K1262&gt;0),I1262,"")</f>
        <v>&lt;4&gt;_1R11-N-90038-01-2_EKO</v>
      </c>
      <c r="P180" s="26">
        <f>IF(AND(J1262&gt;0,K1262&gt;0),K1262,"")</f>
        <v>11500</v>
      </c>
    </row>
    <row r="181" spans="1:16">
      <c r="A181" s="5"/>
      <c r="B181" s="115"/>
      <c r="C181" s="5"/>
      <c r="D181" s="5"/>
      <c r="E181" s="6"/>
      <c r="F181" s="6"/>
      <c r="G181" s="5"/>
      <c r="H181" s="5">
        <v>1</v>
      </c>
      <c r="I181" s="7" t="s">
        <v>1692</v>
      </c>
      <c r="J181" s="5">
        <v>1</v>
      </c>
      <c r="K181" s="5">
        <v>993</v>
      </c>
      <c r="L181" s="8"/>
      <c r="M181" s="5"/>
      <c r="O181" s="26" t="str">
        <f>IF(AND(J1263&gt;0,K1263&gt;0),I1263,"")</f>
        <v>&lt;3&gt;_1R71-OG-30002-07-1_EKO</v>
      </c>
      <c r="P181" s="26">
        <f>IF(AND(J1263&gt;0,K1263&gt;0),K1263,"")</f>
        <v>11500</v>
      </c>
    </row>
    <row r="182" spans="1:16">
      <c r="A182" s="5"/>
      <c r="B182" s="115"/>
      <c r="C182" s="5"/>
      <c r="D182" s="5"/>
      <c r="E182" s="6"/>
      <c r="F182" s="6"/>
      <c r="G182" s="5"/>
      <c r="H182" s="5">
        <v>1</v>
      </c>
      <c r="I182" s="7" t="s">
        <v>1716</v>
      </c>
      <c r="J182" s="5">
        <v>1</v>
      </c>
      <c r="K182" s="5">
        <v>993</v>
      </c>
      <c r="L182" s="8"/>
      <c r="M182" s="5"/>
      <c r="O182" s="26" t="str">
        <f>IF(AND(J1345&gt;0,K1345&gt;0),I1345,"")</f>
        <v>&lt;4&gt;_1R11-HSC-10002-04-3_EKO</v>
      </c>
      <c r="P182" s="26">
        <f>IF(AND(J1345&gt;0,K1345&gt;0),K1345,"")</f>
        <v>475</v>
      </c>
    </row>
    <row r="183" spans="1:16">
      <c r="A183" s="5"/>
      <c r="B183" s="115"/>
      <c r="C183" s="5"/>
      <c r="D183" s="5"/>
      <c r="E183" s="6"/>
      <c r="F183" s="6"/>
      <c r="G183" s="5"/>
      <c r="H183" s="5">
        <v>1</v>
      </c>
      <c r="I183" s="7" t="s">
        <v>1707</v>
      </c>
      <c r="J183" s="5">
        <v>1</v>
      </c>
      <c r="K183" s="5">
        <v>693</v>
      </c>
      <c r="L183" s="8"/>
      <c r="M183" s="5"/>
      <c r="O183" s="26" t="str">
        <f>IF(AND(J1337&gt;0,K1337&gt;0),I1337,"")</f>
        <v>&lt;1&gt;_1R71-FO-20009-03-1_EKO</v>
      </c>
      <c r="P183" s="26">
        <f>IF(AND(J1337&gt;0,K1337&gt;0),K1337,"")</f>
        <v>489</v>
      </c>
    </row>
    <row r="184" spans="1:16">
      <c r="A184" s="5"/>
      <c r="B184" s="115"/>
      <c r="C184" s="5"/>
      <c r="D184" s="5"/>
      <c r="E184" s="6"/>
      <c r="F184" s="6"/>
      <c r="G184" s="5"/>
      <c r="H184" s="5">
        <v>1</v>
      </c>
      <c r="I184" s="7" t="s">
        <v>1744</v>
      </c>
      <c r="J184" s="5">
        <v>1</v>
      </c>
      <c r="K184" s="5">
        <v>604</v>
      </c>
      <c r="L184" s="8"/>
      <c r="M184" s="5"/>
      <c r="O184" s="26" t="str">
        <f t="shared" ref="O184:O187" si="52">IF(AND(J1354&gt;0,K1354&gt;0),I1354,"")</f>
        <v>&lt;1&gt;_1R71-P-30123-01-1_EKO</v>
      </c>
      <c r="P184" s="26">
        <f t="shared" ref="P184:P187" si="53">IF(AND(J1354&gt;0,K1354&gt;0),K1354,"")</f>
        <v>539</v>
      </c>
    </row>
    <row r="185" spans="1:16">
      <c r="A185" s="5"/>
      <c r="B185" s="115"/>
      <c r="C185" s="5"/>
      <c r="D185" s="5"/>
      <c r="E185" s="6"/>
      <c r="F185" s="6"/>
      <c r="G185" s="5"/>
      <c r="H185" s="5">
        <v>1</v>
      </c>
      <c r="I185" s="7" t="s">
        <v>1745</v>
      </c>
      <c r="J185" s="5">
        <v>1</v>
      </c>
      <c r="K185" s="5">
        <v>596</v>
      </c>
      <c r="L185" s="8"/>
      <c r="M185" s="5"/>
      <c r="O185" s="26" t="str">
        <f t="shared" si="52"/>
        <v>&lt;2&gt;_1R11-P-80005-03-1_EKO</v>
      </c>
      <c r="P185" s="26">
        <f t="shared" si="53"/>
        <v>6329</v>
      </c>
    </row>
    <row r="186" spans="1:16">
      <c r="A186" s="5"/>
      <c r="B186" s="115"/>
      <c r="C186" s="5"/>
      <c r="D186" s="5"/>
      <c r="E186" s="6"/>
      <c r="F186" s="6"/>
      <c r="G186" s="5"/>
      <c r="H186" s="5">
        <v>1</v>
      </c>
      <c r="I186" s="7" t="s">
        <v>1759</v>
      </c>
      <c r="J186" s="5">
        <v>1</v>
      </c>
      <c r="K186" s="5">
        <v>593</v>
      </c>
      <c r="L186" s="8"/>
      <c r="M186" s="5"/>
      <c r="O186" s="26" t="str">
        <f t="shared" si="52"/>
        <v>&lt;4&gt;_1R71-H-40003-05-1_EKO</v>
      </c>
      <c r="P186" s="26">
        <f t="shared" si="53"/>
        <v>4547</v>
      </c>
    </row>
    <row r="187" spans="1:16">
      <c r="A187" s="5"/>
      <c r="B187" s="115"/>
      <c r="C187" s="5"/>
      <c r="D187" s="5"/>
      <c r="E187" s="6"/>
      <c r="F187" s="6"/>
      <c r="G187" s="5"/>
      <c r="H187" s="5">
        <v>1</v>
      </c>
      <c r="I187" s="7" t="s">
        <v>1737</v>
      </c>
      <c r="J187" s="5">
        <v>1</v>
      </c>
      <c r="K187" s="5">
        <v>593</v>
      </c>
      <c r="L187" s="8"/>
      <c r="M187" s="5"/>
      <c r="O187" s="26" t="str">
        <f t="shared" si="52"/>
        <v>&lt;1&gt;_1R71-H-40003-01-1_EKO</v>
      </c>
      <c r="P187" s="26">
        <f t="shared" si="53"/>
        <v>539</v>
      </c>
    </row>
    <row r="188" spans="1:16">
      <c r="A188" s="5"/>
      <c r="B188" s="115"/>
      <c r="C188" s="5"/>
      <c r="D188" s="5"/>
      <c r="E188" s="6"/>
      <c r="F188" s="6"/>
      <c r="G188" s="5"/>
      <c r="H188" s="5">
        <v>1</v>
      </c>
      <c r="I188" s="7" t="s">
        <v>1732</v>
      </c>
      <c r="J188" s="5">
        <v>1</v>
      </c>
      <c r="K188" s="5">
        <v>505</v>
      </c>
      <c r="L188" s="8"/>
      <c r="M188" s="5"/>
      <c r="O188" s="26" t="str">
        <f>IF(AND(J1358&gt;0,K1358&gt;0),I1358,"")</f>
        <v>&lt;4&gt;_1R11-HSC-10002-02-3_EKO</v>
      </c>
      <c r="P188" s="26">
        <f>IF(AND(J1358&gt;0,K1358&gt;0),K1358,"")</f>
        <v>6289</v>
      </c>
    </row>
    <row r="189" spans="1:16">
      <c r="A189" s="5"/>
      <c r="B189" s="115"/>
      <c r="C189" s="5"/>
      <c r="D189" s="5"/>
      <c r="E189" s="6"/>
      <c r="F189" s="6"/>
      <c r="G189" s="5"/>
      <c r="H189" s="5">
        <v>1</v>
      </c>
      <c r="I189" s="7" t="s">
        <v>1758</v>
      </c>
      <c r="J189" s="5">
        <v>1</v>
      </c>
      <c r="K189" s="5">
        <v>363</v>
      </c>
      <c r="L189" s="8"/>
      <c r="M189" s="5"/>
      <c r="O189" s="26" t="str">
        <f>IF(AND(J1378&gt;0,K1378&gt;0),I1378,"")</f>
        <v>&lt;1&gt;_1R11-HSC-10002-07-1_EKO</v>
      </c>
      <c r="P189" s="26">
        <f>IF(AND(J1378&gt;0,K1378&gt;0),K1378,"")</f>
        <v>5189</v>
      </c>
    </row>
    <row r="190" spans="1:16">
      <c r="A190" s="5"/>
      <c r="B190" s="115"/>
      <c r="C190" s="5"/>
      <c r="D190" s="5"/>
      <c r="E190" s="6"/>
      <c r="F190" s="6"/>
      <c r="G190" s="5"/>
      <c r="H190" s="5">
        <v>1</v>
      </c>
      <c r="I190" s="7" t="s">
        <v>1742</v>
      </c>
      <c r="J190" s="5">
        <v>1</v>
      </c>
      <c r="K190" s="5">
        <v>343</v>
      </c>
      <c r="L190" s="8"/>
      <c r="M190" s="5"/>
      <c r="O190" s="26" t="str">
        <f>IF(AND(J1379&gt;0,K1379&gt;0),I1379,"")</f>
        <v>&lt;3&gt;_1R11-HSC-10002-07-3_EKO</v>
      </c>
      <c r="P190" s="26">
        <f>IF(AND(J1379&gt;0,K1379&gt;0),K1379,"")</f>
        <v>5189</v>
      </c>
    </row>
    <row r="191" spans="1:16">
      <c r="A191" s="5"/>
      <c r="B191" s="115"/>
      <c r="C191" s="5"/>
      <c r="D191" s="5"/>
      <c r="E191" s="6"/>
      <c r="F191" s="6"/>
      <c r="G191" s="5"/>
      <c r="H191" s="5">
        <v>1</v>
      </c>
      <c r="I191" s="7" t="s">
        <v>1713</v>
      </c>
      <c r="J191" s="5">
        <v>1</v>
      </c>
      <c r="K191" s="5">
        <v>341</v>
      </c>
      <c r="L191" s="8"/>
      <c r="M191" s="5"/>
      <c r="O191" s="26" t="str">
        <f>IF(AND(J1380&gt;0,K1380&gt;0),I1380,"")</f>
        <v>&lt;3&gt;_1R11-MS-90015-01-2_EKO</v>
      </c>
      <c r="P191" s="26">
        <f>IF(AND(J1380&gt;0,K1380&gt;0),K1380,"")</f>
        <v>889</v>
      </c>
    </row>
    <row r="192" spans="1:16">
      <c r="A192" s="5"/>
      <c r="B192" s="115"/>
      <c r="C192" s="5"/>
      <c r="D192" s="5"/>
      <c r="E192" s="6"/>
      <c r="F192" s="6"/>
      <c r="G192" s="5"/>
      <c r="H192" s="5">
        <v>1</v>
      </c>
      <c r="I192" s="7" t="s">
        <v>1731</v>
      </c>
      <c r="J192" s="5">
        <v>1</v>
      </c>
      <c r="K192" s="5">
        <v>293</v>
      </c>
      <c r="L192" s="8"/>
      <c r="M192" s="5"/>
      <c r="O192" s="26" t="str">
        <f>IF(AND(J1377&gt;0,K1377&gt;0),I1377,"")</f>
        <v>&lt;5&gt;_1R71-BFW-90002-06-3_EKO</v>
      </c>
      <c r="P192" s="26">
        <f>IF(AND(J1377&gt;0,K1377&gt;0),K1377,"")</f>
        <v>1689</v>
      </c>
    </row>
    <row r="193" spans="1:16">
      <c r="A193" s="5"/>
      <c r="B193" s="115"/>
      <c r="C193" s="5"/>
      <c r="D193" s="5"/>
      <c r="E193" s="6"/>
      <c r="F193" s="6"/>
      <c r="G193" s="5"/>
      <c r="H193" s="5">
        <v>1</v>
      </c>
      <c r="I193" s="7" t="s">
        <v>1703</v>
      </c>
      <c r="J193" s="5">
        <v>1</v>
      </c>
      <c r="K193" s="5">
        <v>198</v>
      </c>
      <c r="L193" s="8"/>
      <c r="M193" s="5"/>
      <c r="O193" s="26" t="str">
        <f>IF(AND(J1378&gt;0,K1378&gt;0),I1378,"")</f>
        <v>&lt;1&gt;_1R11-HSC-10002-07-1_EKO</v>
      </c>
      <c r="P193" s="26">
        <f>IF(AND(J1378&gt;0,K1378&gt;0),K1378,"")</f>
        <v>5189</v>
      </c>
    </row>
    <row r="194" spans="1:16">
      <c r="A194" s="5"/>
      <c r="B194" s="115"/>
      <c r="C194" s="5"/>
      <c r="D194" s="5"/>
      <c r="E194" s="6"/>
      <c r="F194" s="6"/>
      <c r="G194" s="5"/>
      <c r="H194" s="5">
        <v>1</v>
      </c>
      <c r="I194" s="7" t="s">
        <v>1749</v>
      </c>
      <c r="J194" s="5">
        <v>1</v>
      </c>
      <c r="K194" s="5">
        <v>193</v>
      </c>
      <c r="L194" s="8"/>
      <c r="M194" s="5"/>
      <c r="O194" s="26" t="str">
        <f>IF(AND(J1379&gt;0,K1379&gt;0),I1379,"")</f>
        <v>&lt;3&gt;_1R11-HSC-10002-07-3_EKO</v>
      </c>
      <c r="P194" s="26">
        <f>IF(AND(J1379&gt;0,K1379&gt;0),K1379,"")</f>
        <v>5189</v>
      </c>
    </row>
    <row r="195" spans="1:16">
      <c r="A195" s="5"/>
      <c r="B195" s="115"/>
      <c r="C195" s="5"/>
      <c r="D195" s="5"/>
      <c r="E195" s="6"/>
      <c r="F195" s="6"/>
      <c r="G195" s="5"/>
      <c r="H195" s="5">
        <v>1</v>
      </c>
      <c r="I195" s="7" t="s">
        <v>1730</v>
      </c>
      <c r="J195" s="5">
        <v>1</v>
      </c>
      <c r="K195" s="5">
        <v>148</v>
      </c>
      <c r="L195" s="8"/>
      <c r="M195" s="5"/>
      <c r="O195" s="26" t="str">
        <f>IF(AND(J1393&gt;0,K1393&gt;0),I1393,"")</f>
        <v>&lt;1&gt;_1R71-FO-20009-05-1_EKO</v>
      </c>
      <c r="P195" s="26">
        <f>IF(AND(J1393&gt;0,K1393&gt;0),K1393,"")</f>
        <v>1539</v>
      </c>
    </row>
    <row r="196" spans="1:16">
      <c r="A196" s="5">
        <v>10</v>
      </c>
      <c r="B196" s="115"/>
      <c r="C196" s="5"/>
      <c r="D196" s="5">
        <v>1</v>
      </c>
      <c r="E196" s="6">
        <v>11500</v>
      </c>
      <c r="F196" s="6">
        <v>112</v>
      </c>
      <c r="G196" s="5"/>
      <c r="H196" s="5">
        <v>1</v>
      </c>
      <c r="I196" s="7" t="s">
        <v>1696</v>
      </c>
      <c r="J196" s="5">
        <v>1</v>
      </c>
      <c r="K196" s="5">
        <v>1591</v>
      </c>
      <c r="L196" s="8"/>
      <c r="M196" s="5"/>
      <c r="O196" s="26" t="str">
        <f>IF(AND(J1394&gt;0,K1394&gt;0),I1394,"")</f>
        <v>&lt;7&gt;_1R71-P-30181-03-1_EKO</v>
      </c>
      <c r="P196" s="26">
        <f>IF(AND(J1394&gt;0,K1394&gt;0),K1394,"")</f>
        <v>11500</v>
      </c>
    </row>
    <row r="197" spans="1:16">
      <c r="A197" s="5"/>
      <c r="B197" s="115"/>
      <c r="C197" s="5"/>
      <c r="D197" s="5"/>
      <c r="E197" s="6"/>
      <c r="F197" s="6"/>
      <c r="G197" s="5"/>
      <c r="H197" s="5">
        <v>1</v>
      </c>
      <c r="I197" s="7" t="s">
        <v>1718</v>
      </c>
      <c r="J197" s="5">
        <v>1</v>
      </c>
      <c r="K197" s="5">
        <v>1193</v>
      </c>
      <c r="L197" s="8"/>
      <c r="M197" s="5"/>
      <c r="O197" s="26" t="str">
        <f>IF(AND(J1395&gt;0,K1395&gt;0),I1395,"")</f>
        <v>&lt;7&gt;_1R71-H-40003-05-4_EKO</v>
      </c>
      <c r="P197" s="26">
        <f>IF(AND(J1395&gt;0,K1395&gt;0),K1395,"")</f>
        <v>11500</v>
      </c>
    </row>
    <row r="198" spans="1:16">
      <c r="A198" s="5"/>
      <c r="B198" s="115"/>
      <c r="C198" s="5"/>
      <c r="D198" s="5"/>
      <c r="E198" s="6"/>
      <c r="F198" s="6"/>
      <c r="G198" s="5"/>
      <c r="H198" s="5">
        <v>1</v>
      </c>
      <c r="I198" s="7" t="s">
        <v>1721</v>
      </c>
      <c r="J198" s="5">
        <v>1</v>
      </c>
      <c r="K198" s="5">
        <v>1193</v>
      </c>
      <c r="L198" s="8"/>
      <c r="M198" s="5"/>
      <c r="O198" s="26" t="str">
        <f>IF(AND(J1396&gt;0,K1396&gt;0),I1396,"")</f>
        <v>&lt;5&gt;_1R71-P-30089-02-1_EKO</v>
      </c>
      <c r="P198" s="26">
        <f>IF(AND(J1396&gt;0,K1396&gt;0),K1396,"")</f>
        <v>11500</v>
      </c>
    </row>
    <row r="199" spans="1:16">
      <c r="A199" s="5"/>
      <c r="B199" s="115"/>
      <c r="C199" s="5"/>
      <c r="D199" s="5"/>
      <c r="E199" s="6"/>
      <c r="F199" s="6"/>
      <c r="G199" s="5"/>
      <c r="H199" s="5">
        <v>1</v>
      </c>
      <c r="I199" s="7" t="s">
        <v>1709</v>
      </c>
      <c r="J199" s="5">
        <v>1</v>
      </c>
      <c r="K199" s="5">
        <v>1193</v>
      </c>
      <c r="L199" s="8"/>
      <c r="M199" s="5"/>
      <c r="O199" s="26" t="str">
        <f t="shared" ref="O199:O203" si="54">IF(AND(J1359&gt;0,K1359&gt;0),I1359,"")</f>
        <v>&lt;4&gt;_1R11-MS-90015-01-3_EKO</v>
      </c>
      <c r="P199" s="26">
        <f t="shared" ref="P199:P203" si="55">IF(AND(J1359&gt;0,K1359&gt;0),K1359,"")</f>
        <v>4439</v>
      </c>
    </row>
    <row r="200" spans="1:16">
      <c r="A200" s="5"/>
      <c r="B200" s="115"/>
      <c r="C200" s="5"/>
      <c r="D200" s="5"/>
      <c r="E200" s="6"/>
      <c r="F200" s="6"/>
      <c r="G200" s="5"/>
      <c r="H200" s="5">
        <v>1</v>
      </c>
      <c r="I200" s="7" t="s">
        <v>1729</v>
      </c>
      <c r="J200" s="5">
        <v>1</v>
      </c>
      <c r="K200" s="5">
        <v>1193</v>
      </c>
      <c r="L200" s="8"/>
      <c r="M200" s="5"/>
      <c r="O200" s="26" t="str">
        <f t="shared" si="54"/>
        <v>&lt;8&gt;_1R71-P-30181-03-1_EKO</v>
      </c>
      <c r="P200" s="26">
        <f t="shared" si="55"/>
        <v>662</v>
      </c>
    </row>
    <row r="201" spans="1:16">
      <c r="A201" s="5"/>
      <c r="B201" s="115"/>
      <c r="C201" s="5"/>
      <c r="D201" s="5"/>
      <c r="E201" s="6"/>
      <c r="F201" s="6"/>
      <c r="G201" s="5"/>
      <c r="H201" s="5">
        <v>1</v>
      </c>
      <c r="I201" s="7" t="s">
        <v>1748</v>
      </c>
      <c r="J201" s="5">
        <v>1</v>
      </c>
      <c r="K201" s="5">
        <v>993</v>
      </c>
      <c r="L201" s="8"/>
      <c r="M201" s="5"/>
      <c r="O201" s="26" t="str">
        <f t="shared" si="54"/>
        <v>&lt;2&gt;_1R11-HSC-10002-02-1_EKO</v>
      </c>
      <c r="P201" s="26">
        <f t="shared" si="55"/>
        <v>6289</v>
      </c>
    </row>
    <row r="202" spans="1:16">
      <c r="A202" s="5"/>
      <c r="B202" s="115"/>
      <c r="C202" s="5"/>
      <c r="D202" s="5"/>
      <c r="E202" s="6"/>
      <c r="F202" s="6"/>
      <c r="G202" s="5"/>
      <c r="H202" s="5">
        <v>1</v>
      </c>
      <c r="I202" s="7" t="s">
        <v>1715</v>
      </c>
      <c r="J202" s="5">
        <v>1</v>
      </c>
      <c r="K202" s="5">
        <v>993</v>
      </c>
      <c r="L202" s="8"/>
      <c r="M202" s="5"/>
      <c r="O202" s="26" t="str">
        <f t="shared" si="54"/>
        <v>&lt;2&gt;_1R11-HSC-10002-04-2_EKO</v>
      </c>
      <c r="P202" s="26">
        <f t="shared" si="55"/>
        <v>4439</v>
      </c>
    </row>
    <row r="203" spans="1:16">
      <c r="A203" s="5"/>
      <c r="B203" s="115"/>
      <c r="C203" s="5"/>
      <c r="D203" s="5"/>
      <c r="E203" s="6"/>
      <c r="F203" s="6"/>
      <c r="G203" s="5"/>
      <c r="H203" s="5">
        <v>1</v>
      </c>
      <c r="I203" s="7" t="s">
        <v>1726</v>
      </c>
      <c r="J203" s="5">
        <v>1</v>
      </c>
      <c r="K203" s="5">
        <v>993</v>
      </c>
      <c r="L203" s="8"/>
      <c r="M203" s="5"/>
      <c r="O203" s="26" t="str">
        <f t="shared" si="54"/>
        <v>&lt;7&gt;_1R71-BFW-90002-06-3_EKO</v>
      </c>
      <c r="P203" s="26">
        <f t="shared" si="55"/>
        <v>675</v>
      </c>
    </row>
    <row r="204" spans="1:16">
      <c r="A204" s="5"/>
      <c r="B204" s="115"/>
      <c r="C204" s="5"/>
      <c r="D204" s="5"/>
      <c r="E204" s="6"/>
      <c r="F204" s="6"/>
      <c r="G204" s="5"/>
      <c r="H204" s="5">
        <v>1</v>
      </c>
      <c r="I204" s="7" t="s">
        <v>1733</v>
      </c>
      <c r="J204" s="5">
        <v>1</v>
      </c>
      <c r="K204" s="5">
        <v>993</v>
      </c>
      <c r="L204" s="8"/>
      <c r="M204" s="5"/>
      <c r="O204" s="26" t="str">
        <f>IF(AND(J1364&gt;0,K1364&gt;0),I1364,"")</f>
        <v>&lt;1&gt;_1R71-H-40003-05-1_EKO</v>
      </c>
      <c r="P204" s="26">
        <f>IF(AND(J1364&gt;0,K1364&gt;0),K1364,"")</f>
        <v>603</v>
      </c>
    </row>
    <row r="205" spans="1:16">
      <c r="A205" s="5"/>
      <c r="B205" s="115"/>
      <c r="C205" s="5"/>
      <c r="D205" s="5"/>
      <c r="E205" s="6"/>
      <c r="F205" s="6"/>
      <c r="G205" s="5"/>
      <c r="H205" s="5">
        <v>1</v>
      </c>
      <c r="I205" s="7" t="s">
        <v>1762</v>
      </c>
      <c r="J205" s="5">
        <v>1</v>
      </c>
      <c r="K205" s="5">
        <v>793</v>
      </c>
      <c r="L205" s="8"/>
      <c r="M205" s="5"/>
      <c r="O205" s="26" t="str">
        <f>IF(AND(J1365&gt;0,K1365&gt;0),I1365,"")</f>
        <v>&lt;1&gt;_1R71-WW-90006-01-1_EKO</v>
      </c>
      <c r="P205" s="26">
        <f>IF(AND(J1365&gt;0,K1365&gt;0),K1365,"")</f>
        <v>539</v>
      </c>
    </row>
    <row r="206" spans="1:16">
      <c r="A206" s="5">
        <v>11</v>
      </c>
      <c r="B206" s="115"/>
      <c r="C206" s="5"/>
      <c r="D206" s="5">
        <v>1</v>
      </c>
      <c r="E206" s="6">
        <v>11500</v>
      </c>
      <c r="F206" s="6"/>
      <c r="G206" s="5"/>
      <c r="H206" s="5">
        <v>1</v>
      </c>
      <c r="I206" s="7" t="s">
        <v>1738</v>
      </c>
      <c r="J206" s="5">
        <v>1</v>
      </c>
      <c r="K206" s="5">
        <v>11500</v>
      </c>
      <c r="L206" s="8"/>
      <c r="M206" s="5"/>
      <c r="O206" s="26" t="str">
        <f>IF(AND(J1367&gt;0,K1367&gt;0),I1367,"")</f>
        <v>&lt;5&gt;_1R11-P-80005-03-3_EKO</v>
      </c>
      <c r="P206" s="26">
        <f>IF(AND(J1367&gt;0,K1367&gt;0),K1367,"")</f>
        <v>539</v>
      </c>
    </row>
    <row r="207" spans="1:16">
      <c r="A207" s="5">
        <v>12</v>
      </c>
      <c r="B207" s="115"/>
      <c r="C207" s="5"/>
      <c r="D207" s="5">
        <v>1</v>
      </c>
      <c r="E207" s="6">
        <v>11500</v>
      </c>
      <c r="F207" s="6"/>
      <c r="G207" s="5"/>
      <c r="H207" s="5">
        <v>1</v>
      </c>
      <c r="I207" s="7" t="s">
        <v>1727</v>
      </c>
      <c r="J207" s="5">
        <v>1</v>
      </c>
      <c r="K207" s="5">
        <v>11500</v>
      </c>
      <c r="L207" s="8"/>
      <c r="M207" s="5"/>
      <c r="O207" s="26" t="str">
        <f>IF(AND(J1368&gt;0,K1368&gt;0),I1368,"")</f>
        <v>&lt;6&gt;_1R71-H-40003-05-3_EKO</v>
      </c>
      <c r="P207" s="26">
        <f>IF(AND(J1368&gt;0,K1368&gt;0),K1368,"")</f>
        <v>539</v>
      </c>
    </row>
    <row r="208" spans="1:16">
      <c r="A208" s="5">
        <v>13</v>
      </c>
      <c r="B208" s="115"/>
      <c r="C208" s="5"/>
      <c r="D208" s="5">
        <v>1</v>
      </c>
      <c r="E208" s="6">
        <v>11500</v>
      </c>
      <c r="F208" s="6"/>
      <c r="G208" s="5"/>
      <c r="H208" s="5">
        <v>1</v>
      </c>
      <c r="I208" s="7" t="s">
        <v>1690</v>
      </c>
      <c r="J208" s="5">
        <v>1</v>
      </c>
      <c r="K208" s="5">
        <v>11500</v>
      </c>
      <c r="L208" s="8"/>
      <c r="M208" s="5"/>
      <c r="O208" s="26" t="str">
        <f>IF(AND(J1369&gt;0,K1369&gt;0),I1369,"")</f>
        <v>&lt;3&gt;_1R11-HSC-10002-04-3_EKO</v>
      </c>
      <c r="P208" s="26">
        <f>IF(AND(J1369&gt;0,K1369&gt;0),K1369,"")</f>
        <v>5639</v>
      </c>
    </row>
    <row r="209" spans="1:16">
      <c r="A209" s="5">
        <v>14</v>
      </c>
      <c r="B209" s="115"/>
      <c r="C209" s="5"/>
      <c r="D209" s="5">
        <v>1</v>
      </c>
      <c r="E209" s="6">
        <v>11500</v>
      </c>
      <c r="F209" s="6"/>
      <c r="G209" s="5"/>
      <c r="H209" s="5">
        <v>1</v>
      </c>
      <c r="I209" s="7" t="s">
        <v>1700</v>
      </c>
      <c r="J209" s="5">
        <v>1</v>
      </c>
      <c r="K209" s="5">
        <v>11500</v>
      </c>
      <c r="L209" s="8"/>
      <c r="M209" s="5"/>
      <c r="O209" s="26" t="str">
        <f>IF(AND(J1405&gt;0,K1405&gt;0),I1405,"")</f>
        <v>&lt;2&gt;_1R71-P-30089-01-1_EKO</v>
      </c>
      <c r="P209" s="26">
        <f>IF(AND(J1405&gt;0,K1405&gt;0),K1405,"")</f>
        <v>11500</v>
      </c>
    </row>
    <row r="210" spans="1:16">
      <c r="A210" s="5">
        <v>15</v>
      </c>
      <c r="B210" s="115"/>
      <c r="C210" s="5"/>
      <c r="D210" s="5">
        <v>1</v>
      </c>
      <c r="E210" s="6">
        <v>11500</v>
      </c>
      <c r="F210" s="6"/>
      <c r="G210" s="5"/>
      <c r="H210" s="5">
        <v>1</v>
      </c>
      <c r="I210" s="7" t="s">
        <v>1691</v>
      </c>
      <c r="J210" s="5">
        <v>1</v>
      </c>
      <c r="K210" s="5">
        <v>11500</v>
      </c>
      <c r="L210" s="8"/>
      <c r="M210" s="5"/>
      <c r="O210" s="26" t="str">
        <f>IF(AND(J1406&gt;0,K1406&gt;0),I1406,"")</f>
        <v>&lt;2&gt;_1R71-H-40003-01-1_EKO</v>
      </c>
      <c r="P210" s="26">
        <f>IF(AND(J1406&gt;0,K1406&gt;0),K1406,"")</f>
        <v>11500</v>
      </c>
    </row>
    <row r="211" spans="1:16">
      <c r="A211" s="5">
        <v>16</v>
      </c>
      <c r="B211" s="115"/>
      <c r="C211" s="5"/>
      <c r="D211" s="5">
        <v>1</v>
      </c>
      <c r="E211" s="6">
        <v>11500</v>
      </c>
      <c r="F211" s="6"/>
      <c r="G211" s="5"/>
      <c r="H211" s="5">
        <v>1</v>
      </c>
      <c r="I211" s="7" t="s">
        <v>1763</v>
      </c>
      <c r="J211" s="5">
        <v>1</v>
      </c>
      <c r="K211" s="5">
        <v>11500</v>
      </c>
      <c r="L211" s="8"/>
      <c r="M211" s="5"/>
      <c r="O211" s="26" t="str">
        <f>IF(AND(J1407&gt;0,K1407&gt;0),I1407,"")</f>
        <v>&lt;2&gt;_1R71-BFW-90002-08-1_EKO</v>
      </c>
      <c r="P211" s="26">
        <f>IF(AND(J1407&gt;0,K1407&gt;0),K1407,"")</f>
        <v>11500</v>
      </c>
    </row>
    <row r="212" spans="1:16">
      <c r="A212" s="5">
        <v>17</v>
      </c>
      <c r="B212" s="115"/>
      <c r="C212" s="5"/>
      <c r="D212" s="5">
        <v>1</v>
      </c>
      <c r="E212" s="6">
        <v>11500</v>
      </c>
      <c r="F212" s="6"/>
      <c r="G212" s="5"/>
      <c r="H212" s="5">
        <v>1</v>
      </c>
      <c r="I212" s="7" t="s">
        <v>1747</v>
      </c>
      <c r="J212" s="5">
        <v>1</v>
      </c>
      <c r="K212" s="5">
        <v>11500</v>
      </c>
      <c r="L212" s="8"/>
      <c r="M212" s="5"/>
      <c r="O212" s="26" t="str">
        <f t="shared" ref="O212:O215" si="56">IF(AND(J1417&gt;0,K1417&gt;0),I1417,"")</f>
        <v/>
      </c>
      <c r="P212" s="26" t="str">
        <f t="shared" ref="P212:P215" si="57">IF(AND(J1417&gt;0,K1417&gt;0),K1417,"")</f>
        <v/>
      </c>
    </row>
    <row r="213" spans="1:16">
      <c r="A213" s="5">
        <v>18</v>
      </c>
      <c r="B213" s="115"/>
      <c r="C213" s="5"/>
      <c r="D213" s="5">
        <v>1</v>
      </c>
      <c r="E213" s="6">
        <v>11500</v>
      </c>
      <c r="F213" s="6"/>
      <c r="G213" s="5"/>
      <c r="H213" s="5">
        <v>1</v>
      </c>
      <c r="I213" s="7" t="s">
        <v>1719</v>
      </c>
      <c r="J213" s="5">
        <v>1</v>
      </c>
      <c r="K213" s="5">
        <v>11500</v>
      </c>
      <c r="L213" s="8"/>
      <c r="M213" s="5"/>
      <c r="O213" s="26" t="str">
        <f t="shared" si="56"/>
        <v/>
      </c>
      <c r="P213" s="26" t="str">
        <f t="shared" si="57"/>
        <v/>
      </c>
    </row>
    <row r="214" spans="1:16">
      <c r="A214" s="5">
        <v>19</v>
      </c>
      <c r="B214" s="115"/>
      <c r="C214" s="5"/>
      <c r="D214" s="5">
        <v>1</v>
      </c>
      <c r="E214" s="6">
        <v>11500</v>
      </c>
      <c r="F214" s="6"/>
      <c r="G214" s="5"/>
      <c r="H214" s="5">
        <v>1</v>
      </c>
      <c r="I214" s="7" t="s">
        <v>1705</v>
      </c>
      <c r="J214" s="5">
        <v>1</v>
      </c>
      <c r="K214" s="5">
        <v>11500</v>
      </c>
      <c r="L214" s="8"/>
      <c r="M214" s="5"/>
      <c r="O214" s="26" t="str">
        <f t="shared" si="56"/>
        <v/>
      </c>
      <c r="P214" s="26" t="str">
        <f t="shared" si="57"/>
        <v/>
      </c>
    </row>
    <row r="215" spans="1:16">
      <c r="A215" s="5">
        <v>20</v>
      </c>
      <c r="B215" s="115"/>
      <c r="C215" s="5"/>
      <c r="D215" s="5">
        <v>1</v>
      </c>
      <c r="E215" s="6">
        <v>11500</v>
      </c>
      <c r="F215" s="6"/>
      <c r="G215" s="5"/>
      <c r="H215" s="5">
        <v>1</v>
      </c>
      <c r="I215" s="7" t="s">
        <v>1720</v>
      </c>
      <c r="J215" s="5">
        <v>1</v>
      </c>
      <c r="K215" s="5">
        <v>11500</v>
      </c>
      <c r="L215" s="8"/>
      <c r="M215" s="5"/>
      <c r="O215" s="26" t="str">
        <f t="shared" si="56"/>
        <v/>
      </c>
      <c r="P215" s="26" t="str">
        <f t="shared" si="57"/>
        <v/>
      </c>
    </row>
    <row r="216" spans="1:16">
      <c r="A216" s="5">
        <v>21</v>
      </c>
      <c r="B216" s="115"/>
      <c r="C216" s="5"/>
      <c r="D216" s="5">
        <v>1</v>
      </c>
      <c r="E216" s="6">
        <v>11500</v>
      </c>
      <c r="F216" s="6">
        <v>37</v>
      </c>
      <c r="G216" s="5"/>
      <c r="H216" s="5">
        <v>1</v>
      </c>
      <c r="I216" s="7" t="s">
        <v>1706</v>
      </c>
      <c r="J216" s="5">
        <v>1</v>
      </c>
      <c r="K216" s="5">
        <v>11043</v>
      </c>
      <c r="L216" s="8"/>
      <c r="M216" s="5"/>
      <c r="O216" s="26" t="str">
        <f t="shared" ref="O216:O238" si="58">IF(AND(J1421&gt;0,K1421&gt;0),I1421,"")</f>
        <v/>
      </c>
      <c r="P216" s="26" t="str">
        <f t="shared" ref="P216:P238" si="59">IF(AND(J1421&gt;0,K1421&gt;0),K1421,"")</f>
        <v/>
      </c>
    </row>
    <row r="217" spans="1:16">
      <c r="A217" s="5"/>
      <c r="B217" s="115"/>
      <c r="C217" s="5"/>
      <c r="D217" s="5"/>
      <c r="E217" s="6"/>
      <c r="F217" s="6"/>
      <c r="G217" s="5"/>
      <c r="H217" s="5">
        <v>1</v>
      </c>
      <c r="I217" s="7" t="s">
        <v>1695</v>
      </c>
      <c r="J217" s="5">
        <v>1</v>
      </c>
      <c r="K217" s="5">
        <v>244</v>
      </c>
      <c r="L217" s="8"/>
      <c r="M217" s="5"/>
      <c r="O217" s="26" t="str">
        <f t="shared" si="58"/>
        <v>Marking</v>
      </c>
      <c r="P217" s="26" t="str">
        <f t="shared" si="59"/>
        <v>P. MARK [MM]</v>
      </c>
    </row>
    <row r="218" spans="1:16">
      <c r="A218" s="5"/>
      <c r="B218" s="115"/>
      <c r="C218" s="5"/>
      <c r="D218" s="5"/>
      <c r="E218" s="6"/>
      <c r="F218" s="6"/>
      <c r="G218" s="5"/>
      <c r="H218" s="5">
        <v>1</v>
      </c>
      <c r="I218" s="7" t="s">
        <v>1750</v>
      </c>
      <c r="J218" s="5">
        <v>1</v>
      </c>
      <c r="K218" s="5">
        <v>98</v>
      </c>
      <c r="L218" s="8"/>
      <c r="M218" s="5"/>
      <c r="O218" s="26" t="str">
        <f t="shared" si="58"/>
        <v>&lt;3&gt;_1R11-NAP-10016-01-2_EKO</v>
      </c>
      <c r="P218" s="26">
        <f t="shared" si="59"/>
        <v>11500</v>
      </c>
    </row>
    <row r="219" spans="1:16">
      <c r="A219" s="5">
        <v>22</v>
      </c>
      <c r="B219" s="115"/>
      <c r="C219" s="5"/>
      <c r="D219" s="5">
        <v>1</v>
      </c>
      <c r="E219" s="6">
        <v>11500</v>
      </c>
      <c r="F219" s="6">
        <v>24</v>
      </c>
      <c r="G219" s="5"/>
      <c r="H219" s="5">
        <v>1</v>
      </c>
      <c r="I219" s="7" t="s">
        <v>1728</v>
      </c>
      <c r="J219" s="5">
        <v>1</v>
      </c>
      <c r="K219" s="5">
        <v>10303</v>
      </c>
      <c r="L219" s="8"/>
      <c r="M219" s="5"/>
      <c r="O219" s="26" t="str">
        <f t="shared" si="58"/>
        <v/>
      </c>
      <c r="P219" s="26" t="str">
        <f t="shared" si="59"/>
        <v/>
      </c>
    </row>
    <row r="220" spans="1:16">
      <c r="A220" s="5"/>
      <c r="B220" s="115"/>
      <c r="C220" s="5"/>
      <c r="D220" s="5"/>
      <c r="E220" s="6"/>
      <c r="F220" s="6"/>
      <c r="G220" s="5"/>
      <c r="H220" s="5">
        <v>1</v>
      </c>
      <c r="I220" s="7" t="s">
        <v>1694</v>
      </c>
      <c r="J220" s="5">
        <v>1</v>
      </c>
      <c r="K220" s="5">
        <v>802</v>
      </c>
      <c r="L220" s="8"/>
      <c r="M220" s="5"/>
      <c r="O220" s="26" t="str">
        <f t="shared" si="58"/>
        <v/>
      </c>
      <c r="P220" s="26" t="str">
        <f t="shared" si="59"/>
        <v/>
      </c>
    </row>
    <row r="221" spans="1:16">
      <c r="A221" s="5"/>
      <c r="B221" s="116"/>
      <c r="C221" s="5"/>
      <c r="D221" s="5"/>
      <c r="E221" s="6"/>
      <c r="F221" s="6"/>
      <c r="G221" s="5"/>
      <c r="H221" s="5">
        <v>1</v>
      </c>
      <c r="I221" s="7" t="s">
        <v>1740</v>
      </c>
      <c r="J221" s="5">
        <v>1</v>
      </c>
      <c r="K221" s="5">
        <v>293</v>
      </c>
      <c r="L221" s="8"/>
      <c r="M221" s="5"/>
      <c r="O221" s="26" t="str">
        <f t="shared" si="58"/>
        <v/>
      </c>
      <c r="P221" s="26" t="str">
        <f t="shared" si="59"/>
        <v/>
      </c>
    </row>
    <row r="222" spans="1:16">
      <c r="A222" s="5"/>
      <c r="B222" s="5"/>
      <c r="C222" s="5"/>
      <c r="D222" s="5"/>
      <c r="E222" s="6"/>
      <c r="F222" s="6"/>
      <c r="G222" s="5"/>
      <c r="H222" s="5"/>
      <c r="I222" s="7"/>
      <c r="J222" s="5"/>
      <c r="K222" s="5"/>
      <c r="L222" s="8"/>
      <c r="M222" s="5"/>
      <c r="O222" s="26" t="str">
        <f t="shared" si="58"/>
        <v/>
      </c>
      <c r="P222" s="26" t="str">
        <f t="shared" si="59"/>
        <v/>
      </c>
    </row>
    <row r="223" spans="1:16">
      <c r="A223" s="117" t="s">
        <v>4</v>
      </c>
      <c r="B223" s="117"/>
      <c r="C223" s="117"/>
      <c r="D223" s="117"/>
      <c r="E223" s="117"/>
      <c r="F223" s="117"/>
      <c r="G223" s="117"/>
      <c r="H223" s="117"/>
      <c r="I223" s="118" t="s">
        <v>8</v>
      </c>
      <c r="J223" s="118"/>
      <c r="K223" s="89" t="s">
        <v>70</v>
      </c>
      <c r="L223" s="119"/>
      <c r="M223" s="120"/>
      <c r="O223" s="26" t="str">
        <f t="shared" si="58"/>
        <v/>
      </c>
      <c r="P223" s="26" t="str">
        <f t="shared" si="59"/>
        <v/>
      </c>
    </row>
    <row r="224" spans="1:16">
      <c r="A224" s="117"/>
      <c r="B224" s="117"/>
      <c r="C224" s="117"/>
      <c r="D224" s="117"/>
      <c r="E224" s="117"/>
      <c r="F224" s="117"/>
      <c r="G224" s="117"/>
      <c r="H224" s="117"/>
      <c r="I224" s="118" t="s">
        <v>25</v>
      </c>
      <c r="J224" s="118"/>
      <c r="K224" s="121" t="s">
        <v>1662</v>
      </c>
      <c r="L224" s="118"/>
      <c r="M224" s="118"/>
      <c r="O224" s="26" t="str">
        <f t="shared" si="58"/>
        <v/>
      </c>
      <c r="P224" s="26" t="str">
        <f t="shared" si="59"/>
        <v/>
      </c>
    </row>
    <row r="225" spans="1:16">
      <c r="A225" s="117"/>
      <c r="B225" s="117"/>
      <c r="C225" s="117"/>
      <c r="D225" s="117"/>
      <c r="E225" s="117"/>
      <c r="F225" s="117"/>
      <c r="G225" s="117"/>
      <c r="H225" s="117"/>
      <c r="I225" s="87" t="s">
        <v>26</v>
      </c>
      <c r="J225" s="88"/>
      <c r="K225" s="95" t="s">
        <v>338</v>
      </c>
      <c r="L225" s="104"/>
      <c r="M225" s="88"/>
      <c r="O225" s="26" t="str">
        <f t="shared" si="58"/>
        <v/>
      </c>
      <c r="P225" s="26" t="str">
        <f t="shared" si="59"/>
        <v/>
      </c>
    </row>
    <row r="226" spans="1:16">
      <c r="A226" s="118" t="s">
        <v>31</v>
      </c>
      <c r="B226" s="118"/>
      <c r="C226" s="118" t="s">
        <v>32</v>
      </c>
      <c r="D226" s="118"/>
      <c r="E226" s="118"/>
      <c r="F226" s="118"/>
      <c r="G226" s="118"/>
      <c r="H226" s="118"/>
      <c r="I226" s="40" t="s">
        <v>29</v>
      </c>
      <c r="J226" s="41"/>
      <c r="K226" s="118" t="s">
        <v>1328</v>
      </c>
      <c r="L226" s="118"/>
      <c r="M226" s="118"/>
      <c r="O226" s="26" t="str">
        <f t="shared" si="58"/>
        <v>Marking</v>
      </c>
      <c r="P226" s="26" t="str">
        <f t="shared" si="59"/>
        <v>P. MARK [MM]</v>
      </c>
    </row>
    <row r="227" spans="1:16">
      <c r="A227" s="118"/>
      <c r="B227" s="118"/>
      <c r="C227" s="118"/>
      <c r="D227" s="118"/>
      <c r="E227" s="118"/>
      <c r="F227" s="118"/>
      <c r="G227" s="118"/>
      <c r="H227" s="118"/>
      <c r="I227" s="118" t="s">
        <v>30</v>
      </c>
      <c r="J227" s="118"/>
      <c r="K227" s="118" t="s">
        <v>1688</v>
      </c>
      <c r="L227" s="118"/>
      <c r="M227" s="118"/>
      <c r="O227" s="26" t="str">
        <f t="shared" si="58"/>
        <v>&lt;1&gt;_1R71-MS-90005-04-6_EKO</v>
      </c>
      <c r="P227" s="26">
        <f t="shared" si="59"/>
        <v>229</v>
      </c>
    </row>
    <row r="228" spans="1:16">
      <c r="A228" s="122" t="s">
        <v>24</v>
      </c>
      <c r="B228" s="122"/>
      <c r="C228" s="122"/>
      <c r="D228" s="42">
        <v>2</v>
      </c>
      <c r="E228" s="117" t="s">
        <v>40</v>
      </c>
      <c r="F228" s="117"/>
      <c r="G228" s="117"/>
      <c r="H228" s="42">
        <v>3</v>
      </c>
      <c r="I228" s="118" t="s">
        <v>27</v>
      </c>
      <c r="J228" s="118"/>
      <c r="K228" s="118" t="s">
        <v>21</v>
      </c>
      <c r="L228" s="118"/>
      <c r="M228" s="118"/>
      <c r="O228" s="26" t="str">
        <f t="shared" si="58"/>
        <v>&lt;2&gt;_1R11-PA-90001-03-1_EKO</v>
      </c>
      <c r="P228" s="26">
        <f t="shared" si="59"/>
        <v>11500</v>
      </c>
    </row>
    <row r="229" spans="1:16" ht="45">
      <c r="A229" s="3" t="s">
        <v>9</v>
      </c>
      <c r="B229" s="3" t="s">
        <v>10</v>
      </c>
      <c r="C229" s="3" t="s">
        <v>11</v>
      </c>
      <c r="D229" s="3" t="s">
        <v>3</v>
      </c>
      <c r="E229" s="4" t="s">
        <v>41</v>
      </c>
      <c r="F229" s="4" t="s">
        <v>12</v>
      </c>
      <c r="G229" s="3" t="s">
        <v>13</v>
      </c>
      <c r="H229" s="3" t="s">
        <v>14</v>
      </c>
      <c r="I229" s="3" t="s">
        <v>1103</v>
      </c>
      <c r="J229" s="3" t="s">
        <v>16</v>
      </c>
      <c r="K229" s="3" t="s">
        <v>17</v>
      </c>
      <c r="L229" s="3" t="s">
        <v>18</v>
      </c>
      <c r="M229" s="3" t="s">
        <v>19</v>
      </c>
      <c r="O229" s="26" t="str">
        <f t="shared" si="58"/>
        <v/>
      </c>
      <c r="P229" s="26" t="str">
        <f t="shared" si="59"/>
        <v/>
      </c>
    </row>
    <row r="230" spans="1:16">
      <c r="A230" s="18">
        <v>1</v>
      </c>
      <c r="B230" s="111" t="s">
        <v>1218</v>
      </c>
      <c r="C230" s="18"/>
      <c r="D230" s="18">
        <v>1</v>
      </c>
      <c r="E230" s="20">
        <v>3535</v>
      </c>
      <c r="F230" s="20">
        <v>2831</v>
      </c>
      <c r="G230" s="18"/>
      <c r="H230" s="18">
        <v>1</v>
      </c>
      <c r="I230" s="21" t="s">
        <v>1686</v>
      </c>
      <c r="J230" s="18">
        <v>1</v>
      </c>
      <c r="K230" s="18">
        <v>678</v>
      </c>
      <c r="L230" s="129" t="s">
        <v>873</v>
      </c>
      <c r="M230" s="130"/>
      <c r="O230" s="26" t="str">
        <f t="shared" si="58"/>
        <v/>
      </c>
      <c r="P230" s="26" t="str">
        <f t="shared" si="59"/>
        <v/>
      </c>
    </row>
    <row r="231" spans="1:16">
      <c r="A231" s="18">
        <v>2</v>
      </c>
      <c r="B231" s="113"/>
      <c r="C231" s="18"/>
      <c r="D231" s="18">
        <v>1</v>
      </c>
      <c r="E231" s="20">
        <v>11500</v>
      </c>
      <c r="F231" s="20">
        <v>-26</v>
      </c>
      <c r="G231" s="18"/>
      <c r="H231" s="18">
        <v>1</v>
      </c>
      <c r="I231" s="21" t="s">
        <v>1685</v>
      </c>
      <c r="J231" s="18">
        <v>1</v>
      </c>
      <c r="K231" s="18">
        <v>11500</v>
      </c>
      <c r="L231" s="22"/>
      <c r="M231" s="18"/>
      <c r="O231" s="26" t="str">
        <f t="shared" si="58"/>
        <v/>
      </c>
      <c r="P231" s="26" t="str">
        <f t="shared" si="59"/>
        <v/>
      </c>
    </row>
    <row r="232" spans="1:16">
      <c r="A232" s="18">
        <v>3</v>
      </c>
      <c r="B232" s="112"/>
      <c r="C232" s="18"/>
      <c r="D232" s="18">
        <v>1</v>
      </c>
      <c r="E232" s="20">
        <v>11500</v>
      </c>
      <c r="F232" s="20">
        <v>279</v>
      </c>
      <c r="G232" s="18"/>
      <c r="H232" s="18">
        <v>1</v>
      </c>
      <c r="I232" s="21" t="s">
        <v>1687</v>
      </c>
      <c r="J232" s="18">
        <v>1</v>
      </c>
      <c r="K232" s="18">
        <v>11195</v>
      </c>
      <c r="L232" s="22"/>
      <c r="M232" s="18"/>
      <c r="O232" s="26" t="str">
        <f t="shared" si="58"/>
        <v/>
      </c>
      <c r="P232" s="26" t="str">
        <f t="shared" si="59"/>
        <v/>
      </c>
    </row>
    <row r="233" spans="1:16">
      <c r="A233" s="18"/>
      <c r="B233" s="24"/>
      <c r="C233" s="18"/>
      <c r="D233" s="18"/>
      <c r="E233" s="20"/>
      <c r="F233" s="20"/>
      <c r="G233" s="18"/>
      <c r="H233" s="18"/>
      <c r="I233" s="21"/>
      <c r="J233" s="18"/>
      <c r="K233" s="18"/>
      <c r="L233" s="22"/>
      <c r="M233" s="18"/>
      <c r="O233" s="26" t="str">
        <f t="shared" si="58"/>
        <v/>
      </c>
      <c r="P233" s="26" t="str">
        <f t="shared" si="59"/>
        <v/>
      </c>
    </row>
    <row r="234" spans="1:16">
      <c r="A234" s="117" t="s">
        <v>4</v>
      </c>
      <c r="B234" s="117"/>
      <c r="C234" s="117"/>
      <c r="D234" s="117"/>
      <c r="E234" s="117"/>
      <c r="F234" s="117"/>
      <c r="G234" s="117"/>
      <c r="H234" s="117"/>
      <c r="I234" s="118" t="s">
        <v>8</v>
      </c>
      <c r="J234" s="118"/>
      <c r="K234" s="89" t="s">
        <v>70</v>
      </c>
      <c r="L234" s="119"/>
      <c r="M234" s="120"/>
      <c r="O234" s="26" t="str">
        <f t="shared" si="58"/>
        <v/>
      </c>
      <c r="P234" s="26" t="str">
        <f t="shared" si="59"/>
        <v/>
      </c>
    </row>
    <row r="235" spans="1:16">
      <c r="A235" s="117"/>
      <c r="B235" s="117"/>
      <c r="C235" s="117"/>
      <c r="D235" s="117"/>
      <c r="E235" s="117"/>
      <c r="F235" s="117"/>
      <c r="G235" s="117"/>
      <c r="H235" s="117"/>
      <c r="I235" s="118" t="s">
        <v>25</v>
      </c>
      <c r="J235" s="118"/>
      <c r="K235" s="121" t="s">
        <v>1662</v>
      </c>
      <c r="L235" s="118"/>
      <c r="M235" s="118"/>
      <c r="O235" s="26" t="str">
        <f t="shared" si="58"/>
        <v/>
      </c>
      <c r="P235" s="26" t="str">
        <f t="shared" si="59"/>
        <v/>
      </c>
    </row>
    <row r="236" spans="1:16">
      <c r="A236" s="117"/>
      <c r="B236" s="117"/>
      <c r="C236" s="117"/>
      <c r="D236" s="117"/>
      <c r="E236" s="117"/>
      <c r="F236" s="117"/>
      <c r="G236" s="117"/>
      <c r="H236" s="117"/>
      <c r="I236" s="87" t="s">
        <v>26</v>
      </c>
      <c r="J236" s="88"/>
      <c r="K236" s="95" t="s">
        <v>290</v>
      </c>
      <c r="L236" s="104"/>
      <c r="M236" s="88"/>
      <c r="O236" s="26" t="str">
        <f t="shared" si="58"/>
        <v>Marking</v>
      </c>
      <c r="P236" s="26" t="str">
        <f t="shared" si="59"/>
        <v>P. MARK [MM]</v>
      </c>
    </row>
    <row r="237" spans="1:16">
      <c r="A237" s="118" t="s">
        <v>31</v>
      </c>
      <c r="B237" s="118"/>
      <c r="C237" s="118" t="s">
        <v>32</v>
      </c>
      <c r="D237" s="118"/>
      <c r="E237" s="118"/>
      <c r="F237" s="118"/>
      <c r="G237" s="118"/>
      <c r="H237" s="118"/>
      <c r="I237" s="40" t="s">
        <v>29</v>
      </c>
      <c r="J237" s="41"/>
      <c r="K237" s="118" t="s">
        <v>1328</v>
      </c>
      <c r="L237" s="118"/>
      <c r="M237" s="118"/>
      <c r="O237" s="26" t="str">
        <f t="shared" si="58"/>
        <v>&lt;1&gt;_1R11-LPG-10013-01-1_EKO</v>
      </c>
      <c r="P237" s="26">
        <f t="shared" si="59"/>
        <v>996</v>
      </c>
    </row>
    <row r="238" spans="1:16">
      <c r="A238" s="118"/>
      <c r="B238" s="118"/>
      <c r="C238" s="118"/>
      <c r="D238" s="118"/>
      <c r="E238" s="118"/>
      <c r="F238" s="118"/>
      <c r="G238" s="118"/>
      <c r="H238" s="118"/>
      <c r="I238" s="118" t="s">
        <v>30</v>
      </c>
      <c r="J238" s="118"/>
      <c r="K238" s="118" t="s">
        <v>1663</v>
      </c>
      <c r="L238" s="118"/>
      <c r="M238" s="118"/>
      <c r="O238" s="26" t="str">
        <f t="shared" si="58"/>
        <v/>
      </c>
      <c r="P238" s="26" t="str">
        <f t="shared" si="59"/>
        <v/>
      </c>
    </row>
    <row r="239" spans="1:16">
      <c r="A239" s="122" t="s">
        <v>24</v>
      </c>
      <c r="B239" s="122"/>
      <c r="C239" s="122"/>
      <c r="D239" s="42">
        <v>7</v>
      </c>
      <c r="E239" s="117" t="s">
        <v>40</v>
      </c>
      <c r="F239" s="117"/>
      <c r="G239" s="117"/>
      <c r="H239" s="42">
        <v>22</v>
      </c>
      <c r="I239" s="118" t="s">
        <v>27</v>
      </c>
      <c r="J239" s="118"/>
      <c r="K239" s="118" t="s">
        <v>21</v>
      </c>
      <c r="L239" s="118"/>
      <c r="M239" s="118"/>
    </row>
    <row r="240" spans="1:16" ht="45">
      <c r="A240" s="3" t="s">
        <v>9</v>
      </c>
      <c r="B240" s="3" t="s">
        <v>10</v>
      </c>
      <c r="C240" s="3" t="s">
        <v>11</v>
      </c>
      <c r="D240" s="3" t="s">
        <v>3</v>
      </c>
      <c r="E240" s="4" t="s">
        <v>41</v>
      </c>
      <c r="F240" s="4" t="s">
        <v>12</v>
      </c>
      <c r="G240" s="3" t="s">
        <v>13</v>
      </c>
      <c r="H240" s="3" t="s">
        <v>14</v>
      </c>
      <c r="I240" s="3" t="s">
        <v>1103</v>
      </c>
      <c r="J240" s="3" t="s">
        <v>16</v>
      </c>
      <c r="K240" s="3" t="s">
        <v>17</v>
      </c>
      <c r="L240" s="3" t="s">
        <v>18</v>
      </c>
      <c r="M240" s="3" t="s">
        <v>19</v>
      </c>
    </row>
    <row r="241" spans="1:13">
      <c r="A241" s="18">
        <v>1</v>
      </c>
      <c r="B241" s="111" t="s">
        <v>1102</v>
      </c>
      <c r="C241" s="18"/>
      <c r="D241" s="18">
        <v>1</v>
      </c>
      <c r="E241" s="20">
        <v>11500</v>
      </c>
      <c r="F241" s="20">
        <v>134</v>
      </c>
      <c r="G241" s="18"/>
      <c r="H241" s="18">
        <v>1</v>
      </c>
      <c r="I241" s="21" t="s">
        <v>1674</v>
      </c>
      <c r="J241" s="18">
        <v>1</v>
      </c>
      <c r="K241" s="18">
        <v>7799</v>
      </c>
      <c r="L241" s="22"/>
      <c r="M241" s="18"/>
    </row>
    <row r="242" spans="1:13">
      <c r="A242" s="18"/>
      <c r="B242" s="113"/>
      <c r="C242" s="18"/>
      <c r="D242" s="18"/>
      <c r="E242" s="20"/>
      <c r="F242" s="20"/>
      <c r="G242" s="18"/>
      <c r="H242" s="18">
        <v>1</v>
      </c>
      <c r="I242" s="21" t="s">
        <v>1677</v>
      </c>
      <c r="J242" s="18">
        <v>1</v>
      </c>
      <c r="K242" s="18">
        <v>2036</v>
      </c>
      <c r="L242" s="22"/>
      <c r="M242" s="18"/>
    </row>
    <row r="243" spans="1:13">
      <c r="A243" s="18"/>
      <c r="B243" s="113"/>
      <c r="C243" s="18"/>
      <c r="D243" s="18"/>
      <c r="E243" s="20"/>
      <c r="F243" s="20"/>
      <c r="G243" s="18"/>
      <c r="H243" s="18">
        <v>1</v>
      </c>
      <c r="I243" s="21" t="s">
        <v>1668</v>
      </c>
      <c r="J243" s="18">
        <v>1</v>
      </c>
      <c r="K243" s="18">
        <v>1453</v>
      </c>
      <c r="L243" s="22"/>
      <c r="M243" s="18"/>
    </row>
    <row r="244" spans="1:13">
      <c r="A244" s="18">
        <v>2</v>
      </c>
      <c r="B244" s="113"/>
      <c r="C244" s="18"/>
      <c r="D244" s="18">
        <v>1</v>
      </c>
      <c r="E244" s="20">
        <v>11500</v>
      </c>
      <c r="F244" s="20">
        <v>244</v>
      </c>
      <c r="G244" s="18"/>
      <c r="H244" s="18">
        <v>1</v>
      </c>
      <c r="I244" s="21" t="s">
        <v>1671</v>
      </c>
      <c r="J244" s="18">
        <v>1</v>
      </c>
      <c r="K244" s="18">
        <v>6056</v>
      </c>
      <c r="L244" s="22"/>
      <c r="M244" s="18"/>
    </row>
    <row r="245" spans="1:13">
      <c r="A245" s="18"/>
      <c r="B245" s="113"/>
      <c r="C245" s="18"/>
      <c r="D245" s="18"/>
      <c r="E245" s="20"/>
      <c r="F245" s="20"/>
      <c r="G245" s="18"/>
      <c r="H245" s="18">
        <v>1</v>
      </c>
      <c r="I245" s="21" t="s">
        <v>1684</v>
      </c>
      <c r="J245" s="18">
        <v>1</v>
      </c>
      <c r="K245" s="18">
        <v>4236</v>
      </c>
      <c r="L245" s="22"/>
      <c r="M245" s="18"/>
    </row>
    <row r="246" spans="1:13">
      <c r="A246" s="18"/>
      <c r="B246" s="113"/>
      <c r="C246" s="18"/>
      <c r="D246" s="18"/>
      <c r="E246" s="20"/>
      <c r="F246" s="20"/>
      <c r="G246" s="18"/>
      <c r="H246" s="18">
        <v>1</v>
      </c>
      <c r="I246" s="21" t="s">
        <v>1673</v>
      </c>
      <c r="J246" s="18">
        <v>1</v>
      </c>
      <c r="K246" s="18">
        <v>886</v>
      </c>
      <c r="L246" s="22"/>
      <c r="M246" s="18"/>
    </row>
    <row r="247" spans="1:13">
      <c r="A247" s="18">
        <v>3</v>
      </c>
      <c r="B247" s="113"/>
      <c r="C247" s="18"/>
      <c r="D247" s="18">
        <v>1</v>
      </c>
      <c r="E247" s="20">
        <v>11500</v>
      </c>
      <c r="F247" s="20">
        <v>150</v>
      </c>
      <c r="G247" s="18"/>
      <c r="H247" s="18">
        <v>1</v>
      </c>
      <c r="I247" s="21" t="s">
        <v>1676</v>
      </c>
      <c r="J247" s="18">
        <v>1</v>
      </c>
      <c r="K247" s="18">
        <v>5936</v>
      </c>
      <c r="L247" s="22"/>
      <c r="M247" s="18"/>
    </row>
    <row r="248" spans="1:13">
      <c r="A248" s="18"/>
      <c r="B248" s="113"/>
      <c r="C248" s="18"/>
      <c r="D248" s="18"/>
      <c r="E248" s="20"/>
      <c r="F248" s="20"/>
      <c r="G248" s="18"/>
      <c r="H248" s="18">
        <v>1</v>
      </c>
      <c r="I248" s="21" t="s">
        <v>1667</v>
      </c>
      <c r="J248" s="18">
        <v>1</v>
      </c>
      <c r="K248" s="18">
        <v>3736</v>
      </c>
      <c r="L248" s="22"/>
      <c r="M248" s="18"/>
    </row>
    <row r="249" spans="1:13">
      <c r="A249" s="18"/>
      <c r="B249" s="113"/>
      <c r="C249" s="18"/>
      <c r="D249" s="18"/>
      <c r="E249" s="20"/>
      <c r="F249" s="20"/>
      <c r="G249" s="18"/>
      <c r="H249" s="18">
        <v>1</v>
      </c>
      <c r="I249" s="21" t="s">
        <v>1670</v>
      </c>
      <c r="J249" s="18">
        <v>1</v>
      </c>
      <c r="K249" s="18">
        <v>1600</v>
      </c>
      <c r="L249" s="22"/>
      <c r="M249" s="18"/>
    </row>
    <row r="250" spans="1:13">
      <c r="A250" s="18">
        <v>4</v>
      </c>
      <c r="B250" s="113"/>
      <c r="C250" s="18"/>
      <c r="D250" s="18">
        <v>1</v>
      </c>
      <c r="E250" s="20">
        <v>11500</v>
      </c>
      <c r="F250" s="20">
        <v>43</v>
      </c>
      <c r="G250" s="18"/>
      <c r="H250" s="18">
        <v>1</v>
      </c>
      <c r="I250" s="21" t="s">
        <v>1678</v>
      </c>
      <c r="J250" s="18">
        <v>1</v>
      </c>
      <c r="K250" s="18">
        <v>5836</v>
      </c>
      <c r="L250" s="22"/>
      <c r="M250" s="18"/>
    </row>
    <row r="251" spans="1:13">
      <c r="A251" s="18"/>
      <c r="B251" s="113"/>
      <c r="C251" s="18"/>
      <c r="D251" s="18"/>
      <c r="E251" s="20"/>
      <c r="F251" s="20"/>
      <c r="G251" s="18"/>
      <c r="H251" s="18">
        <v>1</v>
      </c>
      <c r="I251" s="21" t="s">
        <v>1665</v>
      </c>
      <c r="J251" s="18">
        <v>1</v>
      </c>
      <c r="K251" s="18">
        <v>1936</v>
      </c>
      <c r="L251" s="22"/>
      <c r="M251" s="18"/>
    </row>
    <row r="252" spans="1:13">
      <c r="A252" s="18"/>
      <c r="B252" s="113"/>
      <c r="C252" s="18"/>
      <c r="D252" s="18"/>
      <c r="E252" s="20"/>
      <c r="F252" s="20"/>
      <c r="G252" s="18"/>
      <c r="H252" s="18">
        <v>1</v>
      </c>
      <c r="I252" s="21" t="s">
        <v>1672</v>
      </c>
      <c r="J252" s="18">
        <v>1</v>
      </c>
      <c r="K252" s="18">
        <v>1936</v>
      </c>
      <c r="L252" s="22"/>
      <c r="M252" s="18"/>
    </row>
    <row r="253" spans="1:13">
      <c r="A253" s="18"/>
      <c r="B253" s="113"/>
      <c r="C253" s="18"/>
      <c r="D253" s="18"/>
      <c r="E253" s="20"/>
      <c r="F253" s="20"/>
      <c r="G253" s="18"/>
      <c r="H253" s="18">
        <v>1</v>
      </c>
      <c r="I253" s="21" t="s">
        <v>1683</v>
      </c>
      <c r="J253" s="18">
        <v>1</v>
      </c>
      <c r="K253" s="18">
        <v>1218</v>
      </c>
      <c r="L253" s="22"/>
      <c r="M253" s="18"/>
    </row>
    <row r="254" spans="1:13">
      <c r="A254" s="18"/>
      <c r="B254" s="113"/>
      <c r="C254" s="18"/>
      <c r="D254" s="18"/>
      <c r="E254" s="20"/>
      <c r="F254" s="20"/>
      <c r="G254" s="18"/>
      <c r="H254" s="18">
        <v>1</v>
      </c>
      <c r="I254" s="21" t="s">
        <v>1664</v>
      </c>
      <c r="J254" s="18">
        <v>1</v>
      </c>
      <c r="K254" s="18">
        <v>401</v>
      </c>
      <c r="L254" s="22"/>
      <c r="M254" s="18"/>
    </row>
    <row r="255" spans="1:13">
      <c r="A255" s="18">
        <v>5</v>
      </c>
      <c r="B255" s="113"/>
      <c r="C255" s="18"/>
      <c r="D255" s="18">
        <v>1</v>
      </c>
      <c r="E255" s="20">
        <v>11500</v>
      </c>
      <c r="F255" s="20">
        <v>3436</v>
      </c>
      <c r="G255" s="18"/>
      <c r="H255" s="18">
        <v>1</v>
      </c>
      <c r="I255" s="21" t="s">
        <v>1666</v>
      </c>
      <c r="J255" s="18">
        <v>1</v>
      </c>
      <c r="K255" s="18">
        <v>5736</v>
      </c>
      <c r="L255" s="22"/>
      <c r="M255" s="18"/>
    </row>
    <row r="256" spans="1:13">
      <c r="A256" s="5"/>
      <c r="B256" s="113"/>
      <c r="C256" s="5"/>
      <c r="D256" s="5"/>
      <c r="E256" s="6"/>
      <c r="F256" s="6"/>
      <c r="G256" s="5"/>
      <c r="H256" s="5">
        <v>1</v>
      </c>
      <c r="I256" s="7" t="s">
        <v>1675</v>
      </c>
      <c r="J256" s="5">
        <v>1</v>
      </c>
      <c r="K256" s="5">
        <v>736</v>
      </c>
      <c r="L256" s="8"/>
      <c r="M256" s="5"/>
    </row>
    <row r="257" spans="1:13">
      <c r="A257" s="5"/>
      <c r="B257" s="113"/>
      <c r="C257" s="5"/>
      <c r="D257" s="5"/>
      <c r="E257" s="6"/>
      <c r="F257" s="6"/>
      <c r="G257" s="5"/>
      <c r="H257" s="5">
        <v>1</v>
      </c>
      <c r="I257" s="7" t="s">
        <v>1679</v>
      </c>
      <c r="J257" s="5">
        <v>1</v>
      </c>
      <c r="K257" s="5">
        <v>736</v>
      </c>
      <c r="L257" s="8"/>
      <c r="M257" s="18"/>
    </row>
    <row r="258" spans="1:13">
      <c r="A258" s="5"/>
      <c r="B258" s="113"/>
      <c r="C258" s="5"/>
      <c r="D258" s="5"/>
      <c r="E258" s="6"/>
      <c r="F258" s="6"/>
      <c r="G258" s="5"/>
      <c r="H258" s="5">
        <v>1</v>
      </c>
      <c r="I258" s="7" t="s">
        <v>1669</v>
      </c>
      <c r="J258" s="5">
        <v>1</v>
      </c>
      <c r="K258" s="5">
        <v>490</v>
      </c>
      <c r="L258" s="8"/>
      <c r="M258" s="5"/>
    </row>
    <row r="259" spans="1:13">
      <c r="A259" s="5"/>
      <c r="B259" s="113"/>
      <c r="C259" s="5"/>
      <c r="D259" s="5"/>
      <c r="E259" s="6"/>
      <c r="F259" s="6"/>
      <c r="G259" s="5"/>
      <c r="H259" s="5">
        <v>1</v>
      </c>
      <c r="I259" s="7" t="s">
        <v>1681</v>
      </c>
      <c r="J259" s="5">
        <v>1</v>
      </c>
      <c r="K259" s="5">
        <v>236</v>
      </c>
      <c r="L259" s="8"/>
      <c r="M259" s="5"/>
    </row>
    <row r="260" spans="1:13">
      <c r="A260" s="5">
        <v>6</v>
      </c>
      <c r="B260" s="113"/>
      <c r="C260" s="5"/>
      <c r="D260" s="5">
        <v>1</v>
      </c>
      <c r="E260" s="6">
        <v>11500</v>
      </c>
      <c r="F260" s="6"/>
      <c r="G260" s="5"/>
      <c r="H260" s="5">
        <v>1</v>
      </c>
      <c r="I260" s="7" t="s">
        <v>1680</v>
      </c>
      <c r="J260" s="5">
        <v>1</v>
      </c>
      <c r="K260" s="5">
        <v>11500</v>
      </c>
      <c r="L260" s="8"/>
      <c r="M260" s="5"/>
    </row>
    <row r="261" spans="1:13">
      <c r="A261" s="5">
        <v>7</v>
      </c>
      <c r="B261" s="113"/>
      <c r="C261" s="5"/>
      <c r="D261" s="5">
        <v>1</v>
      </c>
      <c r="E261" s="6">
        <v>11500</v>
      </c>
      <c r="F261" s="6"/>
      <c r="G261" s="5"/>
      <c r="H261" s="5">
        <v>1</v>
      </c>
      <c r="I261" s="7" t="s">
        <v>1682</v>
      </c>
      <c r="J261" s="5">
        <v>1</v>
      </c>
      <c r="K261" s="5">
        <v>11500</v>
      </c>
      <c r="L261" s="8"/>
      <c r="M261" s="5"/>
    </row>
    <row r="262" spans="1:13">
      <c r="A262" s="18">
        <v>8</v>
      </c>
      <c r="B262" s="112"/>
      <c r="C262" s="18"/>
      <c r="D262" s="18">
        <v>1</v>
      </c>
      <c r="E262" s="20">
        <v>225</v>
      </c>
      <c r="F262" s="20"/>
      <c r="G262" s="18"/>
      <c r="H262" s="18">
        <v>1</v>
      </c>
      <c r="I262" s="21" t="s">
        <v>1661</v>
      </c>
      <c r="J262" s="18">
        <v>1</v>
      </c>
      <c r="K262" s="18">
        <v>215</v>
      </c>
      <c r="L262" s="129" t="s">
        <v>873</v>
      </c>
      <c r="M262" s="130"/>
    </row>
    <row r="263" spans="1:13">
      <c r="A263" s="18"/>
      <c r="B263" s="18"/>
      <c r="C263" s="18"/>
      <c r="D263" s="18"/>
      <c r="E263" s="20"/>
      <c r="F263" s="20"/>
      <c r="G263" s="18"/>
      <c r="H263" s="18"/>
      <c r="I263" s="21"/>
      <c r="J263" s="18"/>
      <c r="K263" s="18"/>
      <c r="L263" s="22"/>
      <c r="M263" s="18"/>
    </row>
    <row r="264" spans="1:13">
      <c r="A264" s="117" t="s">
        <v>4</v>
      </c>
      <c r="B264" s="117"/>
      <c r="C264" s="117"/>
      <c r="D264" s="117"/>
      <c r="E264" s="117"/>
      <c r="F264" s="117"/>
      <c r="G264" s="117"/>
      <c r="H264" s="117"/>
      <c r="I264" s="118" t="s">
        <v>8</v>
      </c>
      <c r="J264" s="118"/>
      <c r="K264" s="89" t="s">
        <v>70</v>
      </c>
      <c r="L264" s="119"/>
      <c r="M264" s="120"/>
    </row>
    <row r="265" spans="1:13">
      <c r="A265" s="117"/>
      <c r="B265" s="117"/>
      <c r="C265" s="117"/>
      <c r="D265" s="117"/>
      <c r="E265" s="117"/>
      <c r="F265" s="117"/>
      <c r="G265" s="117"/>
      <c r="H265" s="117"/>
      <c r="I265" s="118" t="s">
        <v>25</v>
      </c>
      <c r="J265" s="118"/>
      <c r="K265" s="121" t="s">
        <v>1613</v>
      </c>
      <c r="L265" s="118"/>
      <c r="M265" s="118"/>
    </row>
    <row r="266" spans="1:13">
      <c r="A266" s="117"/>
      <c r="B266" s="117"/>
      <c r="C266" s="117"/>
      <c r="D266" s="117"/>
      <c r="E266" s="117"/>
      <c r="F266" s="117"/>
      <c r="G266" s="117"/>
      <c r="H266" s="117"/>
      <c r="I266" s="87" t="s">
        <v>26</v>
      </c>
      <c r="J266" s="88"/>
      <c r="K266" s="95" t="s">
        <v>1653</v>
      </c>
      <c r="L266" s="104"/>
      <c r="M266" s="88"/>
    </row>
    <row r="267" spans="1:13">
      <c r="A267" s="118" t="s">
        <v>31</v>
      </c>
      <c r="B267" s="118"/>
      <c r="C267" s="118" t="s">
        <v>32</v>
      </c>
      <c r="D267" s="118"/>
      <c r="E267" s="118"/>
      <c r="F267" s="118"/>
      <c r="G267" s="118"/>
      <c r="H267" s="118"/>
      <c r="I267" s="40" t="s">
        <v>29</v>
      </c>
      <c r="J267" s="41"/>
      <c r="K267" s="118" t="s">
        <v>1328</v>
      </c>
      <c r="L267" s="118"/>
      <c r="M267" s="118"/>
    </row>
    <row r="268" spans="1:13">
      <c r="A268" s="118"/>
      <c r="B268" s="118"/>
      <c r="C268" s="118"/>
      <c r="D268" s="118"/>
      <c r="E268" s="118"/>
      <c r="F268" s="118"/>
      <c r="G268" s="118"/>
      <c r="H268" s="118"/>
      <c r="I268" s="118" t="s">
        <v>30</v>
      </c>
      <c r="J268" s="118"/>
      <c r="K268" s="118" t="s">
        <v>1654</v>
      </c>
      <c r="L268" s="118"/>
      <c r="M268" s="118"/>
    </row>
    <row r="269" spans="1:13">
      <c r="A269" s="122" t="s">
        <v>24</v>
      </c>
      <c r="B269" s="122"/>
      <c r="C269" s="122"/>
      <c r="D269" s="42">
        <v>1</v>
      </c>
      <c r="E269" s="117" t="s">
        <v>40</v>
      </c>
      <c r="F269" s="117"/>
      <c r="G269" s="117"/>
      <c r="H269" s="42">
        <v>1</v>
      </c>
      <c r="I269" s="118" t="s">
        <v>27</v>
      </c>
      <c r="J269" s="118"/>
      <c r="K269" s="118" t="s">
        <v>21</v>
      </c>
      <c r="L269" s="118"/>
      <c r="M269" s="118"/>
    </row>
    <row r="270" spans="1:13" ht="45">
      <c r="A270" s="3" t="s">
        <v>9</v>
      </c>
      <c r="B270" s="3" t="s">
        <v>10</v>
      </c>
      <c r="C270" s="3" t="s">
        <v>11</v>
      </c>
      <c r="D270" s="3" t="s">
        <v>3</v>
      </c>
      <c r="E270" s="4" t="s">
        <v>41</v>
      </c>
      <c r="F270" s="4" t="s">
        <v>12</v>
      </c>
      <c r="G270" s="3" t="s">
        <v>13</v>
      </c>
      <c r="H270" s="3" t="s">
        <v>14</v>
      </c>
      <c r="I270" s="3" t="s">
        <v>1103</v>
      </c>
      <c r="J270" s="3" t="s">
        <v>16</v>
      </c>
      <c r="K270" s="3" t="s">
        <v>17</v>
      </c>
      <c r="L270" s="3" t="s">
        <v>18</v>
      </c>
      <c r="M270" s="3" t="s">
        <v>19</v>
      </c>
    </row>
    <row r="271" spans="1:13">
      <c r="A271" s="18">
        <v>1</v>
      </c>
      <c r="B271" s="111" t="s">
        <v>1655</v>
      </c>
      <c r="C271" s="18">
        <v>0</v>
      </c>
      <c r="D271" s="18">
        <v>1</v>
      </c>
      <c r="E271" s="20">
        <v>11500</v>
      </c>
      <c r="F271" s="20"/>
      <c r="G271" s="18"/>
      <c r="H271" s="18">
        <v>1</v>
      </c>
      <c r="I271" s="21" t="s">
        <v>1651</v>
      </c>
      <c r="J271" s="18">
        <v>1</v>
      </c>
      <c r="K271" s="18">
        <v>11500</v>
      </c>
      <c r="L271" s="22"/>
      <c r="M271" s="18"/>
    </row>
    <row r="272" spans="1:13">
      <c r="A272" s="18"/>
      <c r="B272" s="112"/>
      <c r="C272" s="18"/>
      <c r="D272" s="18"/>
      <c r="E272" s="20"/>
      <c r="F272" s="20"/>
      <c r="G272" s="18"/>
      <c r="H272" s="18"/>
      <c r="I272" s="21"/>
      <c r="J272" s="18"/>
      <c r="K272" s="18"/>
      <c r="L272" s="22"/>
      <c r="M272" s="18"/>
    </row>
    <row r="273" spans="1:13">
      <c r="A273" s="117" t="s">
        <v>4</v>
      </c>
      <c r="B273" s="117"/>
      <c r="C273" s="117"/>
      <c r="D273" s="117"/>
      <c r="E273" s="117"/>
      <c r="F273" s="117"/>
      <c r="G273" s="117"/>
      <c r="H273" s="117"/>
      <c r="I273" s="118" t="s">
        <v>8</v>
      </c>
      <c r="J273" s="118"/>
      <c r="K273" s="89" t="s">
        <v>70</v>
      </c>
      <c r="L273" s="119"/>
      <c r="M273" s="120"/>
    </row>
    <row r="274" spans="1:13">
      <c r="A274" s="117"/>
      <c r="B274" s="117"/>
      <c r="C274" s="117"/>
      <c r="D274" s="117"/>
      <c r="E274" s="117"/>
      <c r="F274" s="117"/>
      <c r="G274" s="117"/>
      <c r="H274" s="117"/>
      <c r="I274" s="118" t="s">
        <v>25</v>
      </c>
      <c r="J274" s="118"/>
      <c r="K274" s="121" t="s">
        <v>1613</v>
      </c>
      <c r="L274" s="118"/>
      <c r="M274" s="118"/>
    </row>
    <row r="275" spans="1:13">
      <c r="A275" s="117"/>
      <c r="B275" s="117"/>
      <c r="C275" s="117"/>
      <c r="D275" s="117"/>
      <c r="E275" s="117"/>
      <c r="F275" s="117"/>
      <c r="G275" s="117"/>
      <c r="H275" s="117"/>
      <c r="I275" s="87" t="s">
        <v>26</v>
      </c>
      <c r="J275" s="88"/>
      <c r="K275" s="95" t="s">
        <v>1648</v>
      </c>
      <c r="L275" s="104"/>
      <c r="M275" s="88"/>
    </row>
    <row r="276" spans="1:13">
      <c r="A276" s="118" t="s">
        <v>31</v>
      </c>
      <c r="B276" s="118"/>
      <c r="C276" s="118" t="s">
        <v>32</v>
      </c>
      <c r="D276" s="118"/>
      <c r="E276" s="118"/>
      <c r="F276" s="118"/>
      <c r="G276" s="118"/>
      <c r="H276" s="118"/>
      <c r="I276" s="40" t="s">
        <v>29</v>
      </c>
      <c r="J276" s="41"/>
      <c r="K276" s="118" t="s">
        <v>1328</v>
      </c>
      <c r="L276" s="118"/>
      <c r="M276" s="118"/>
    </row>
    <row r="277" spans="1:13">
      <c r="A277" s="118"/>
      <c r="B277" s="118"/>
      <c r="C277" s="118"/>
      <c r="D277" s="118"/>
      <c r="E277" s="118"/>
      <c r="F277" s="118"/>
      <c r="G277" s="118"/>
      <c r="H277" s="118"/>
      <c r="I277" s="118" t="s">
        <v>30</v>
      </c>
      <c r="J277" s="118"/>
      <c r="K277" s="118" t="s">
        <v>1649</v>
      </c>
      <c r="L277" s="118"/>
      <c r="M277" s="118"/>
    </row>
    <row r="278" spans="1:13">
      <c r="A278" s="122" t="s">
        <v>24</v>
      </c>
      <c r="B278" s="122"/>
      <c r="C278" s="122"/>
      <c r="D278" s="42">
        <v>2</v>
      </c>
      <c r="E278" s="117" t="s">
        <v>40</v>
      </c>
      <c r="F278" s="117"/>
      <c r="G278" s="117"/>
      <c r="H278" s="42">
        <v>5</v>
      </c>
      <c r="I278" s="118" t="s">
        <v>27</v>
      </c>
      <c r="J278" s="118"/>
      <c r="K278" s="118" t="s">
        <v>21</v>
      </c>
      <c r="L278" s="118"/>
      <c r="M278" s="118"/>
    </row>
    <row r="279" spans="1:13" ht="45">
      <c r="A279" s="3" t="s">
        <v>9</v>
      </c>
      <c r="B279" s="3" t="s">
        <v>10</v>
      </c>
      <c r="C279" s="3" t="s">
        <v>11</v>
      </c>
      <c r="D279" s="3" t="s">
        <v>3</v>
      </c>
      <c r="E279" s="4" t="s">
        <v>41</v>
      </c>
      <c r="F279" s="4" t="s">
        <v>12</v>
      </c>
      <c r="G279" s="3" t="s">
        <v>13</v>
      </c>
      <c r="H279" s="3" t="s">
        <v>14</v>
      </c>
      <c r="I279" s="3" t="s">
        <v>1103</v>
      </c>
      <c r="J279" s="3" t="s">
        <v>16</v>
      </c>
      <c r="K279" s="3" t="s">
        <v>17</v>
      </c>
      <c r="L279" s="3" t="s">
        <v>18</v>
      </c>
      <c r="M279" s="3" t="s">
        <v>19</v>
      </c>
    </row>
    <row r="280" spans="1:13">
      <c r="A280" s="18">
        <v>1</v>
      </c>
      <c r="B280" s="111" t="s">
        <v>1650</v>
      </c>
      <c r="C280" s="18"/>
      <c r="D280" s="18">
        <v>1</v>
      </c>
      <c r="E280" s="20">
        <v>11500</v>
      </c>
      <c r="F280" s="20">
        <v>519</v>
      </c>
      <c r="G280" s="18"/>
      <c r="H280" s="18">
        <v>1</v>
      </c>
      <c r="I280" s="21" t="s">
        <v>1645</v>
      </c>
      <c r="J280" s="18">
        <v>1</v>
      </c>
      <c r="K280" s="18">
        <v>7932</v>
      </c>
      <c r="L280" s="22"/>
      <c r="M280" s="18"/>
    </row>
    <row r="281" spans="1:13">
      <c r="A281" s="18"/>
      <c r="B281" s="113"/>
      <c r="C281" s="18"/>
      <c r="D281" s="18"/>
      <c r="E281" s="20"/>
      <c r="F281" s="20"/>
      <c r="G281" s="18"/>
      <c r="H281" s="18">
        <v>1</v>
      </c>
      <c r="I281" s="21" t="s">
        <v>1646</v>
      </c>
      <c r="J281" s="18">
        <v>1</v>
      </c>
      <c r="K281" s="18">
        <v>2997</v>
      </c>
      <c r="L281" s="22"/>
      <c r="M281" s="18"/>
    </row>
    <row r="282" spans="1:13">
      <c r="A282" s="18">
        <v>2</v>
      </c>
      <c r="B282" s="113"/>
      <c r="C282" s="18"/>
      <c r="D282" s="18">
        <v>1</v>
      </c>
      <c r="E282" s="20">
        <v>11500</v>
      </c>
      <c r="F282" s="20">
        <v>8259</v>
      </c>
      <c r="G282" s="18"/>
      <c r="H282" s="18">
        <v>1</v>
      </c>
      <c r="I282" s="21" t="s">
        <v>1644</v>
      </c>
      <c r="J282" s="18">
        <v>1</v>
      </c>
      <c r="K282" s="18">
        <v>1870</v>
      </c>
      <c r="L282" s="22"/>
      <c r="M282" s="18"/>
    </row>
    <row r="283" spans="1:13">
      <c r="A283" s="18"/>
      <c r="B283" s="113"/>
      <c r="C283" s="18"/>
      <c r="D283" s="18"/>
      <c r="E283" s="20"/>
      <c r="F283" s="20"/>
      <c r="G283" s="18"/>
      <c r="H283" s="18">
        <v>1</v>
      </c>
      <c r="I283" s="21" t="s">
        <v>1643</v>
      </c>
      <c r="J283" s="18">
        <v>1</v>
      </c>
      <c r="K283" s="18">
        <v>798</v>
      </c>
      <c r="L283" s="22"/>
      <c r="M283" s="18"/>
    </row>
    <row r="284" spans="1:13">
      <c r="A284" s="18"/>
      <c r="B284" s="112"/>
      <c r="C284" s="18"/>
      <c r="D284" s="18"/>
      <c r="E284" s="20"/>
      <c r="F284" s="20"/>
      <c r="G284" s="18"/>
      <c r="H284" s="18">
        <v>1</v>
      </c>
      <c r="I284" s="21" t="s">
        <v>1647</v>
      </c>
      <c r="J284" s="18">
        <v>1</v>
      </c>
      <c r="K284" s="18">
        <v>495</v>
      </c>
      <c r="L284" s="22"/>
      <c r="M284" s="18"/>
    </row>
    <row r="285" spans="1:13">
      <c r="A285" s="18"/>
      <c r="B285" s="24"/>
      <c r="C285" s="18"/>
      <c r="D285" s="18"/>
      <c r="E285" s="20"/>
      <c r="F285" s="20"/>
      <c r="G285" s="18"/>
      <c r="H285" s="18"/>
      <c r="I285" s="21"/>
      <c r="J285" s="18"/>
      <c r="K285" s="18"/>
      <c r="L285" s="22"/>
      <c r="M285" s="18"/>
    </row>
    <row r="286" spans="1:13">
      <c r="A286" s="117" t="s">
        <v>4</v>
      </c>
      <c r="B286" s="117"/>
      <c r="C286" s="117"/>
      <c r="D286" s="117"/>
      <c r="E286" s="117"/>
      <c r="F286" s="117"/>
      <c r="G286" s="117"/>
      <c r="H286" s="117"/>
      <c r="I286" s="118" t="s">
        <v>8</v>
      </c>
      <c r="J286" s="118"/>
      <c r="K286" s="89" t="s">
        <v>70</v>
      </c>
      <c r="L286" s="119"/>
      <c r="M286" s="120"/>
    </row>
    <row r="287" spans="1:13">
      <c r="A287" s="117"/>
      <c r="B287" s="117"/>
      <c r="C287" s="117"/>
      <c r="D287" s="117"/>
      <c r="E287" s="117"/>
      <c r="F287" s="117"/>
      <c r="G287" s="117"/>
      <c r="H287" s="117"/>
      <c r="I287" s="118" t="s">
        <v>25</v>
      </c>
      <c r="J287" s="118"/>
      <c r="K287" s="121" t="s">
        <v>1613</v>
      </c>
      <c r="L287" s="118"/>
      <c r="M287" s="118"/>
    </row>
    <row r="288" spans="1:13">
      <c r="A288" s="117"/>
      <c r="B288" s="117"/>
      <c r="C288" s="117"/>
      <c r="D288" s="117"/>
      <c r="E288" s="117"/>
      <c r="F288" s="117"/>
      <c r="G288" s="117"/>
      <c r="H288" s="117"/>
      <c r="I288" s="87" t="s">
        <v>26</v>
      </c>
      <c r="J288" s="88"/>
      <c r="K288" s="95" t="s">
        <v>1640</v>
      </c>
      <c r="L288" s="104"/>
      <c r="M288" s="88"/>
    </row>
    <row r="289" spans="1:13">
      <c r="A289" s="118" t="s">
        <v>31</v>
      </c>
      <c r="B289" s="118"/>
      <c r="C289" s="118" t="s">
        <v>32</v>
      </c>
      <c r="D289" s="118"/>
      <c r="E289" s="118"/>
      <c r="F289" s="118"/>
      <c r="G289" s="118"/>
      <c r="H289" s="118"/>
      <c r="I289" s="40" t="s">
        <v>29</v>
      </c>
      <c r="J289" s="41"/>
      <c r="K289" s="118" t="s">
        <v>1328</v>
      </c>
      <c r="L289" s="118"/>
      <c r="M289" s="118"/>
    </row>
    <row r="290" spans="1:13">
      <c r="A290" s="118"/>
      <c r="B290" s="118"/>
      <c r="C290" s="118"/>
      <c r="D290" s="118"/>
      <c r="E290" s="118"/>
      <c r="F290" s="118"/>
      <c r="G290" s="118"/>
      <c r="H290" s="118"/>
      <c r="I290" s="118" t="s">
        <v>30</v>
      </c>
      <c r="J290" s="118"/>
      <c r="K290" s="118" t="s">
        <v>1641</v>
      </c>
      <c r="L290" s="118"/>
      <c r="M290" s="118"/>
    </row>
    <row r="291" spans="1:13">
      <c r="A291" s="122" t="s">
        <v>24</v>
      </c>
      <c r="B291" s="122"/>
      <c r="C291" s="122"/>
      <c r="D291" s="42">
        <v>5</v>
      </c>
      <c r="E291" s="117" t="s">
        <v>40</v>
      </c>
      <c r="F291" s="117"/>
      <c r="G291" s="117"/>
      <c r="H291" s="42">
        <v>6</v>
      </c>
      <c r="I291" s="118" t="s">
        <v>27</v>
      </c>
      <c r="J291" s="118"/>
      <c r="K291" s="118" t="s">
        <v>21</v>
      </c>
      <c r="L291" s="118"/>
      <c r="M291" s="118"/>
    </row>
    <row r="292" spans="1:13" ht="45">
      <c r="A292" s="3" t="s">
        <v>9</v>
      </c>
      <c r="B292" s="3" t="s">
        <v>10</v>
      </c>
      <c r="C292" s="3" t="s">
        <v>11</v>
      </c>
      <c r="D292" s="3" t="s">
        <v>3</v>
      </c>
      <c r="E292" s="4" t="s">
        <v>41</v>
      </c>
      <c r="F292" s="4" t="s">
        <v>12</v>
      </c>
      <c r="G292" s="3" t="s">
        <v>13</v>
      </c>
      <c r="H292" s="3" t="s">
        <v>14</v>
      </c>
      <c r="I292" s="3" t="s">
        <v>1103</v>
      </c>
      <c r="J292" s="3" t="s">
        <v>16</v>
      </c>
      <c r="K292" s="3" t="s">
        <v>17</v>
      </c>
      <c r="L292" s="3" t="s">
        <v>18</v>
      </c>
      <c r="M292" s="3" t="s">
        <v>19</v>
      </c>
    </row>
    <row r="293" spans="1:13">
      <c r="A293" s="18">
        <v>1</v>
      </c>
      <c r="B293" s="111" t="s">
        <v>1642</v>
      </c>
      <c r="C293" s="18"/>
      <c r="D293" s="18">
        <v>1</v>
      </c>
      <c r="E293" s="20">
        <v>11500</v>
      </c>
      <c r="F293" s="20">
        <v>4977</v>
      </c>
      <c r="G293" s="18"/>
      <c r="H293" s="18">
        <v>1</v>
      </c>
      <c r="I293" s="21" t="s">
        <v>1636</v>
      </c>
      <c r="J293" s="18">
        <v>1</v>
      </c>
      <c r="K293" s="18">
        <v>6257</v>
      </c>
      <c r="L293" s="22"/>
      <c r="M293" s="18"/>
    </row>
    <row r="294" spans="1:13">
      <c r="A294" s="18"/>
      <c r="B294" s="113"/>
      <c r="C294" s="18"/>
      <c r="D294" s="18"/>
      <c r="E294" s="20"/>
      <c r="F294" s="20"/>
      <c r="G294" s="18"/>
      <c r="H294" s="18">
        <v>1</v>
      </c>
      <c r="I294" s="21" t="s">
        <v>1637</v>
      </c>
      <c r="J294" s="18">
        <v>1</v>
      </c>
      <c r="K294" s="18">
        <v>214</v>
      </c>
      <c r="L294" s="22"/>
      <c r="M294" s="18"/>
    </row>
    <row r="295" spans="1:13">
      <c r="A295" s="18">
        <v>2</v>
      </c>
      <c r="B295" s="113"/>
      <c r="C295" s="18"/>
      <c r="D295" s="18">
        <v>1</v>
      </c>
      <c r="E295" s="20">
        <v>11500</v>
      </c>
      <c r="F295" s="20">
        <v>5976</v>
      </c>
      <c r="G295" s="18"/>
      <c r="H295" s="18">
        <v>1</v>
      </c>
      <c r="I295" s="21" t="s">
        <v>1635</v>
      </c>
      <c r="J295" s="18">
        <v>1</v>
      </c>
      <c r="K295" s="18">
        <v>5498</v>
      </c>
      <c r="L295" s="22"/>
      <c r="M295" s="18"/>
    </row>
    <row r="296" spans="1:13">
      <c r="A296" s="18">
        <v>3</v>
      </c>
      <c r="B296" s="113"/>
      <c r="C296" s="18"/>
      <c r="D296" s="18">
        <v>1</v>
      </c>
      <c r="E296" s="20">
        <v>11500</v>
      </c>
      <c r="F296" s="20"/>
      <c r="G296" s="18"/>
      <c r="H296" s="18">
        <v>1</v>
      </c>
      <c r="I296" s="21" t="s">
        <v>1634</v>
      </c>
      <c r="J296" s="18">
        <v>1</v>
      </c>
      <c r="K296" s="18">
        <v>11500</v>
      </c>
      <c r="L296" s="22"/>
      <c r="M296" s="18"/>
    </row>
    <row r="297" spans="1:13">
      <c r="A297" s="18">
        <v>4</v>
      </c>
      <c r="B297" s="113"/>
      <c r="C297" s="18"/>
      <c r="D297" s="18">
        <v>1</v>
      </c>
      <c r="E297" s="20">
        <v>11500</v>
      </c>
      <c r="F297" s="20"/>
      <c r="G297" s="18"/>
      <c r="H297" s="18">
        <v>1</v>
      </c>
      <c r="I297" s="21" t="s">
        <v>1638</v>
      </c>
      <c r="J297" s="18">
        <v>1</v>
      </c>
      <c r="K297" s="18">
        <v>11500</v>
      </c>
      <c r="L297" s="22"/>
      <c r="M297" s="18"/>
    </row>
    <row r="298" spans="1:13">
      <c r="A298" s="18">
        <v>5</v>
      </c>
      <c r="B298" s="112"/>
      <c r="C298" s="18"/>
      <c r="D298" s="18">
        <v>1</v>
      </c>
      <c r="E298" s="20">
        <v>11500</v>
      </c>
      <c r="F298" s="20"/>
      <c r="G298" s="18"/>
      <c r="H298" s="18">
        <v>1</v>
      </c>
      <c r="I298" s="21" t="s">
        <v>1639</v>
      </c>
      <c r="J298" s="18">
        <v>1</v>
      </c>
      <c r="K298" s="18">
        <v>11500</v>
      </c>
      <c r="L298" s="22"/>
      <c r="M298" s="18"/>
    </row>
    <row r="299" spans="1:13">
      <c r="A299" s="18"/>
      <c r="B299" s="19"/>
      <c r="C299" s="18"/>
      <c r="D299" s="18"/>
      <c r="E299" s="20"/>
      <c r="F299" s="20"/>
      <c r="G299" s="18"/>
      <c r="H299" s="18"/>
      <c r="I299" s="21"/>
      <c r="J299" s="18"/>
      <c r="K299" s="18"/>
      <c r="L299" s="22"/>
      <c r="M299" s="18"/>
    </row>
    <row r="300" spans="1:13">
      <c r="A300" s="117" t="s">
        <v>4</v>
      </c>
      <c r="B300" s="117"/>
      <c r="C300" s="117"/>
      <c r="D300" s="117"/>
      <c r="E300" s="117"/>
      <c r="F300" s="117"/>
      <c r="G300" s="117"/>
      <c r="H300" s="117"/>
      <c r="I300" s="118" t="s">
        <v>8</v>
      </c>
      <c r="J300" s="118"/>
      <c r="K300" s="89" t="s">
        <v>70</v>
      </c>
      <c r="L300" s="119"/>
      <c r="M300" s="120"/>
    </row>
    <row r="301" spans="1:13">
      <c r="A301" s="117"/>
      <c r="B301" s="117"/>
      <c r="C301" s="117"/>
      <c r="D301" s="117"/>
      <c r="E301" s="117"/>
      <c r="F301" s="117"/>
      <c r="G301" s="117"/>
      <c r="H301" s="117"/>
      <c r="I301" s="118" t="s">
        <v>25</v>
      </c>
      <c r="J301" s="118"/>
      <c r="K301" s="121" t="s">
        <v>1613</v>
      </c>
      <c r="L301" s="118"/>
      <c r="M301" s="118"/>
    </row>
    <row r="302" spans="1:13">
      <c r="A302" s="117"/>
      <c r="B302" s="117"/>
      <c r="C302" s="117"/>
      <c r="D302" s="117"/>
      <c r="E302" s="117"/>
      <c r="F302" s="117"/>
      <c r="G302" s="117"/>
      <c r="H302" s="117"/>
      <c r="I302" s="87" t="s">
        <v>26</v>
      </c>
      <c r="J302" s="88"/>
      <c r="K302" s="95" t="s">
        <v>69</v>
      </c>
      <c r="L302" s="104"/>
      <c r="M302" s="88"/>
    </row>
    <row r="303" spans="1:13">
      <c r="A303" s="118" t="s">
        <v>31</v>
      </c>
      <c r="B303" s="118"/>
      <c r="C303" s="118" t="s">
        <v>32</v>
      </c>
      <c r="D303" s="118"/>
      <c r="E303" s="118"/>
      <c r="F303" s="118"/>
      <c r="G303" s="118"/>
      <c r="H303" s="118"/>
      <c r="I303" s="40" t="s">
        <v>29</v>
      </c>
      <c r="J303" s="41"/>
      <c r="K303" s="118" t="s">
        <v>1328</v>
      </c>
      <c r="L303" s="118"/>
      <c r="M303" s="118"/>
    </row>
    <row r="304" spans="1:13">
      <c r="A304" s="118"/>
      <c r="B304" s="118"/>
      <c r="C304" s="118"/>
      <c r="D304" s="118"/>
      <c r="E304" s="118"/>
      <c r="F304" s="118"/>
      <c r="G304" s="118"/>
      <c r="H304" s="118"/>
      <c r="I304" s="118" t="s">
        <v>30</v>
      </c>
      <c r="J304" s="118"/>
      <c r="K304" s="118" t="s">
        <v>1614</v>
      </c>
      <c r="L304" s="118"/>
      <c r="M304" s="118"/>
    </row>
    <row r="305" spans="1:13">
      <c r="A305" s="122" t="s">
        <v>24</v>
      </c>
      <c r="B305" s="122"/>
      <c r="C305" s="122"/>
      <c r="D305" s="42">
        <v>5</v>
      </c>
      <c r="E305" s="117" t="s">
        <v>40</v>
      </c>
      <c r="F305" s="117"/>
      <c r="G305" s="117"/>
      <c r="H305" s="42">
        <v>19</v>
      </c>
      <c r="I305" s="118" t="s">
        <v>27</v>
      </c>
      <c r="J305" s="118"/>
      <c r="K305" s="118" t="s">
        <v>21</v>
      </c>
      <c r="L305" s="118"/>
      <c r="M305" s="118"/>
    </row>
    <row r="306" spans="1:13" ht="45">
      <c r="A306" s="3" t="s">
        <v>9</v>
      </c>
      <c r="B306" s="3" t="s">
        <v>10</v>
      </c>
      <c r="C306" s="3" t="s">
        <v>11</v>
      </c>
      <c r="D306" s="3" t="s">
        <v>3</v>
      </c>
      <c r="E306" s="4" t="s">
        <v>41</v>
      </c>
      <c r="F306" s="4" t="s">
        <v>12</v>
      </c>
      <c r="G306" s="3" t="s">
        <v>13</v>
      </c>
      <c r="H306" s="3" t="s">
        <v>14</v>
      </c>
      <c r="I306" s="3" t="s">
        <v>1103</v>
      </c>
      <c r="J306" s="3" t="s">
        <v>16</v>
      </c>
      <c r="K306" s="3" t="s">
        <v>17</v>
      </c>
      <c r="L306" s="3" t="s">
        <v>18</v>
      </c>
      <c r="M306" s="3" t="s">
        <v>19</v>
      </c>
    </row>
    <row r="307" spans="1:13" ht="30">
      <c r="A307" s="18">
        <v>1</v>
      </c>
      <c r="B307" s="71" t="s">
        <v>1633</v>
      </c>
      <c r="C307" s="18"/>
      <c r="D307" s="18">
        <v>1</v>
      </c>
      <c r="E307" s="20">
        <v>11500</v>
      </c>
      <c r="F307" s="20">
        <v>219</v>
      </c>
      <c r="G307" s="18"/>
      <c r="H307" s="18">
        <v>1</v>
      </c>
      <c r="I307" s="21" t="s">
        <v>1629</v>
      </c>
      <c r="J307" s="18">
        <v>1</v>
      </c>
      <c r="K307" s="18">
        <v>6633</v>
      </c>
      <c r="L307" s="22"/>
      <c r="M307" s="18"/>
    </row>
    <row r="308" spans="1:13">
      <c r="A308" s="18"/>
      <c r="B308" s="72"/>
      <c r="C308" s="18"/>
      <c r="D308" s="18"/>
      <c r="E308" s="20"/>
      <c r="F308" s="20"/>
      <c r="G308" s="18"/>
      <c r="H308" s="18">
        <v>1</v>
      </c>
      <c r="I308" s="21" t="s">
        <v>1628</v>
      </c>
      <c r="J308" s="18">
        <v>1</v>
      </c>
      <c r="K308" s="18">
        <v>4596</v>
      </c>
      <c r="L308" s="22"/>
      <c r="M308" s="18"/>
    </row>
    <row r="309" spans="1:13">
      <c r="A309" s="18">
        <v>2</v>
      </c>
      <c r="B309" s="72"/>
      <c r="C309" s="18"/>
      <c r="D309" s="18">
        <v>1</v>
      </c>
      <c r="E309" s="20">
        <v>11500</v>
      </c>
      <c r="F309" s="20">
        <v>1419</v>
      </c>
      <c r="G309" s="18"/>
      <c r="H309" s="18">
        <v>1</v>
      </c>
      <c r="I309" s="21" t="s">
        <v>1625</v>
      </c>
      <c r="J309" s="18">
        <v>1</v>
      </c>
      <c r="K309" s="18">
        <v>4911</v>
      </c>
      <c r="L309" s="22"/>
      <c r="M309" s="18"/>
    </row>
    <row r="310" spans="1:13">
      <c r="A310" s="18"/>
      <c r="B310" s="72"/>
      <c r="C310" s="18"/>
      <c r="D310" s="18"/>
      <c r="E310" s="20"/>
      <c r="F310" s="20"/>
      <c r="G310" s="18"/>
      <c r="H310" s="18">
        <v>1</v>
      </c>
      <c r="I310" s="21" t="s">
        <v>1631</v>
      </c>
      <c r="J310" s="18">
        <v>1</v>
      </c>
      <c r="K310" s="18">
        <v>2546</v>
      </c>
      <c r="L310" s="22"/>
      <c r="M310" s="18"/>
    </row>
    <row r="311" spans="1:13">
      <c r="A311" s="18"/>
      <c r="B311" s="72"/>
      <c r="C311" s="18"/>
      <c r="D311" s="18"/>
      <c r="E311" s="20"/>
      <c r="F311" s="20"/>
      <c r="G311" s="18"/>
      <c r="H311" s="18">
        <v>1</v>
      </c>
      <c r="I311" s="21" t="s">
        <v>1630</v>
      </c>
      <c r="J311" s="18">
        <v>1</v>
      </c>
      <c r="K311" s="18">
        <v>2546</v>
      </c>
      <c r="L311" s="22"/>
      <c r="M311" s="18"/>
    </row>
    <row r="312" spans="1:13">
      <c r="A312" s="18">
        <v>3</v>
      </c>
      <c r="B312" s="72"/>
      <c r="C312" s="18"/>
      <c r="D312" s="18">
        <v>1</v>
      </c>
      <c r="E312" s="20">
        <v>11500</v>
      </c>
      <c r="F312" s="20">
        <v>9559</v>
      </c>
      <c r="G312" s="18"/>
      <c r="H312" s="18">
        <v>1</v>
      </c>
      <c r="I312" s="21" t="s">
        <v>1627</v>
      </c>
      <c r="J312" s="18">
        <v>1</v>
      </c>
      <c r="K312" s="18">
        <v>1915</v>
      </c>
      <c r="L312" s="22"/>
      <c r="M312" s="18"/>
    </row>
    <row r="313" spans="1:13">
      <c r="A313" s="18">
        <v>4</v>
      </c>
      <c r="B313" s="72"/>
      <c r="C313" s="18"/>
      <c r="D313" s="18">
        <v>1</v>
      </c>
      <c r="E313" s="20">
        <v>11500</v>
      </c>
      <c r="F313" s="20"/>
      <c r="G313" s="18"/>
      <c r="H313" s="18">
        <v>1</v>
      </c>
      <c r="I313" s="21" t="s">
        <v>1624</v>
      </c>
      <c r="J313" s="18">
        <v>1</v>
      </c>
      <c r="K313" s="18">
        <v>11500</v>
      </c>
      <c r="L313" s="22"/>
      <c r="M313" s="18"/>
    </row>
    <row r="314" spans="1:13">
      <c r="A314" s="18">
        <v>5</v>
      </c>
      <c r="B314" s="72"/>
      <c r="C314" s="18"/>
      <c r="D314" s="18">
        <v>1</v>
      </c>
      <c r="E314" s="20">
        <v>11500</v>
      </c>
      <c r="F314" s="20">
        <v>773</v>
      </c>
      <c r="G314" s="18"/>
      <c r="H314" s="18">
        <v>1</v>
      </c>
      <c r="I314" s="21" t="s">
        <v>1626</v>
      </c>
      <c r="J314" s="18">
        <v>1</v>
      </c>
      <c r="K314" s="18">
        <v>10377</v>
      </c>
      <c r="L314" s="22"/>
      <c r="M314" s="18"/>
    </row>
    <row r="315" spans="1:13">
      <c r="A315" s="18"/>
      <c r="B315" s="72"/>
      <c r="C315" s="18"/>
      <c r="D315" s="18"/>
      <c r="E315" s="20"/>
      <c r="F315" s="20"/>
      <c r="G315" s="18"/>
      <c r="H315" s="18">
        <v>1</v>
      </c>
      <c r="I315" s="21" t="s">
        <v>1632</v>
      </c>
      <c r="J315" s="18">
        <v>1</v>
      </c>
      <c r="K315" s="18">
        <v>298</v>
      </c>
      <c r="L315" s="22"/>
      <c r="M315" s="18"/>
    </row>
    <row r="316" spans="1:13">
      <c r="A316" s="18">
        <v>6</v>
      </c>
      <c r="B316" s="72"/>
      <c r="C316" s="18"/>
      <c r="D316" s="18">
        <v>1</v>
      </c>
      <c r="E316" s="20">
        <v>6710</v>
      </c>
      <c r="F316" s="20">
        <v>1363</v>
      </c>
      <c r="G316" s="18"/>
      <c r="H316" s="18">
        <v>1</v>
      </c>
      <c r="I316" s="21" t="s">
        <v>1617</v>
      </c>
      <c r="J316" s="18">
        <v>1</v>
      </c>
      <c r="K316" s="18">
        <v>1914</v>
      </c>
      <c r="L316" s="136" t="s">
        <v>873</v>
      </c>
      <c r="M316" s="137"/>
    </row>
    <row r="317" spans="1:13">
      <c r="A317" s="18"/>
      <c r="B317" s="72"/>
      <c r="C317" s="18"/>
      <c r="D317" s="18"/>
      <c r="E317" s="20"/>
      <c r="F317" s="20"/>
      <c r="G317" s="18"/>
      <c r="H317" s="18">
        <v>1</v>
      </c>
      <c r="I317" s="21" t="s">
        <v>1620</v>
      </c>
      <c r="J317" s="18">
        <v>1</v>
      </c>
      <c r="K317" s="18">
        <v>1109</v>
      </c>
      <c r="L317" s="173"/>
      <c r="M317" s="174"/>
    </row>
    <row r="318" spans="1:13">
      <c r="A318" s="18"/>
      <c r="B318" s="72"/>
      <c r="C318" s="18"/>
      <c r="D318" s="18"/>
      <c r="E318" s="20"/>
      <c r="F318" s="20"/>
      <c r="G318" s="18"/>
      <c r="H318" s="18">
        <v>1</v>
      </c>
      <c r="I318" s="21" t="s">
        <v>1619</v>
      </c>
      <c r="J318" s="18">
        <v>1</v>
      </c>
      <c r="K318" s="18">
        <v>982</v>
      </c>
      <c r="L318" s="173"/>
      <c r="M318" s="174"/>
    </row>
    <row r="319" spans="1:13">
      <c r="A319" s="18"/>
      <c r="B319" s="72"/>
      <c r="C319" s="18"/>
      <c r="D319" s="18"/>
      <c r="E319" s="20"/>
      <c r="F319" s="20"/>
      <c r="G319" s="18"/>
      <c r="H319" s="18">
        <v>1</v>
      </c>
      <c r="I319" s="21" t="s">
        <v>1621</v>
      </c>
      <c r="J319" s="18">
        <v>1</v>
      </c>
      <c r="K319" s="18">
        <v>914</v>
      </c>
      <c r="L319" s="173"/>
      <c r="M319" s="174"/>
    </row>
    <row r="320" spans="1:13">
      <c r="A320" s="18"/>
      <c r="B320" s="72"/>
      <c r="C320" s="18"/>
      <c r="D320" s="18"/>
      <c r="E320" s="20"/>
      <c r="F320" s="20"/>
      <c r="G320" s="18"/>
      <c r="H320" s="18">
        <v>1</v>
      </c>
      <c r="I320" s="21" t="s">
        <v>1623</v>
      </c>
      <c r="J320" s="18">
        <v>1</v>
      </c>
      <c r="K320" s="18">
        <v>298</v>
      </c>
      <c r="L320" s="173"/>
      <c r="M320" s="174"/>
    </row>
    <row r="321" spans="1:13">
      <c r="A321" s="18">
        <v>7</v>
      </c>
      <c r="B321" s="72"/>
      <c r="C321" s="18"/>
      <c r="D321" s="18">
        <v>1</v>
      </c>
      <c r="E321" s="20">
        <v>1585</v>
      </c>
      <c r="F321" s="20">
        <v>228</v>
      </c>
      <c r="G321" s="18"/>
      <c r="H321" s="18">
        <v>1</v>
      </c>
      <c r="I321" s="21" t="s">
        <v>1618</v>
      </c>
      <c r="J321" s="18">
        <v>1</v>
      </c>
      <c r="K321" s="18">
        <v>602</v>
      </c>
      <c r="L321" s="173"/>
      <c r="M321" s="174"/>
    </row>
    <row r="322" spans="1:13">
      <c r="A322" s="18"/>
      <c r="B322" s="72"/>
      <c r="C322" s="18"/>
      <c r="D322" s="18"/>
      <c r="E322" s="20"/>
      <c r="F322" s="20"/>
      <c r="G322" s="18"/>
      <c r="H322" s="18">
        <v>1</v>
      </c>
      <c r="I322" s="21" t="s">
        <v>1616</v>
      </c>
      <c r="J322" s="18">
        <v>1</v>
      </c>
      <c r="K322" s="18">
        <v>438</v>
      </c>
      <c r="L322" s="173"/>
      <c r="M322" s="174"/>
    </row>
    <row r="323" spans="1:13">
      <c r="A323" s="18"/>
      <c r="B323" s="72"/>
      <c r="C323" s="18"/>
      <c r="D323" s="18"/>
      <c r="E323" s="20"/>
      <c r="F323" s="20"/>
      <c r="G323" s="18"/>
      <c r="H323" s="18">
        <v>1</v>
      </c>
      <c r="I323" s="21" t="s">
        <v>1622</v>
      </c>
      <c r="J323" s="18">
        <v>1</v>
      </c>
      <c r="K323" s="18">
        <v>239</v>
      </c>
      <c r="L323" s="173"/>
      <c r="M323" s="174"/>
    </row>
    <row r="324" spans="1:13">
      <c r="A324" s="18">
        <v>8</v>
      </c>
      <c r="B324" s="72"/>
      <c r="C324" s="18"/>
      <c r="D324" s="18">
        <v>1</v>
      </c>
      <c r="E324" s="20">
        <v>230</v>
      </c>
      <c r="F324" s="20"/>
      <c r="G324" s="18"/>
      <c r="H324" s="18">
        <v>1</v>
      </c>
      <c r="I324" s="21" t="s">
        <v>1615</v>
      </c>
      <c r="J324" s="18">
        <v>1</v>
      </c>
      <c r="K324" s="18">
        <v>227</v>
      </c>
      <c r="L324" s="173"/>
      <c r="M324" s="174"/>
    </row>
    <row r="325" spans="1:13">
      <c r="A325" s="18">
        <v>9</v>
      </c>
      <c r="B325" s="72"/>
      <c r="C325" s="18"/>
      <c r="D325" s="18">
        <v>1</v>
      </c>
      <c r="E325" s="20">
        <v>215</v>
      </c>
      <c r="F325" s="20"/>
      <c r="G325" s="18"/>
      <c r="H325" s="18">
        <v>1</v>
      </c>
      <c r="I325" s="21" t="s">
        <v>1612</v>
      </c>
      <c r="J325" s="18">
        <v>1</v>
      </c>
      <c r="K325" s="18">
        <v>198</v>
      </c>
      <c r="L325" s="138"/>
      <c r="M325" s="139"/>
    </row>
    <row r="326" spans="1:13">
      <c r="A326" s="18"/>
      <c r="B326" s="68"/>
      <c r="C326" s="18"/>
      <c r="D326" s="18"/>
      <c r="E326" s="20"/>
      <c r="F326" s="20"/>
      <c r="G326" s="18"/>
      <c r="H326" s="18"/>
      <c r="I326" s="21"/>
      <c r="J326" s="18"/>
      <c r="K326" s="18"/>
      <c r="L326" s="22"/>
      <c r="M326" s="18"/>
    </row>
    <row r="327" spans="1:13">
      <c r="A327" s="117" t="s">
        <v>4</v>
      </c>
      <c r="B327" s="117"/>
      <c r="C327" s="117"/>
      <c r="D327" s="117"/>
      <c r="E327" s="117"/>
      <c r="F327" s="117"/>
      <c r="G327" s="117"/>
      <c r="H327" s="117"/>
      <c r="I327" s="118" t="s">
        <v>8</v>
      </c>
      <c r="J327" s="118"/>
      <c r="K327" s="89" t="s">
        <v>70</v>
      </c>
      <c r="L327" s="119"/>
      <c r="M327" s="120"/>
    </row>
    <row r="328" spans="1:13">
      <c r="A328" s="117"/>
      <c r="B328" s="117"/>
      <c r="C328" s="117"/>
      <c r="D328" s="117"/>
      <c r="E328" s="117"/>
      <c r="F328" s="117"/>
      <c r="G328" s="117"/>
      <c r="H328" s="117"/>
      <c r="I328" s="118" t="s">
        <v>25</v>
      </c>
      <c r="J328" s="118"/>
      <c r="K328" s="121" t="s">
        <v>1613</v>
      </c>
      <c r="L328" s="118"/>
      <c r="M328" s="118"/>
    </row>
    <row r="329" spans="1:13">
      <c r="A329" s="117"/>
      <c r="B329" s="117"/>
      <c r="C329" s="117"/>
      <c r="D329" s="117"/>
      <c r="E329" s="117"/>
      <c r="F329" s="117"/>
      <c r="G329" s="117"/>
      <c r="H329" s="117"/>
      <c r="I329" s="87" t="s">
        <v>26</v>
      </c>
      <c r="J329" s="88"/>
      <c r="K329" s="95" t="s">
        <v>530</v>
      </c>
      <c r="L329" s="104"/>
      <c r="M329" s="88"/>
    </row>
    <row r="330" spans="1:13">
      <c r="A330" s="118" t="s">
        <v>31</v>
      </c>
      <c r="B330" s="118"/>
      <c r="C330" s="118" t="s">
        <v>32</v>
      </c>
      <c r="D330" s="118"/>
      <c r="E330" s="118"/>
      <c r="F330" s="118"/>
      <c r="G330" s="118"/>
      <c r="H330" s="118"/>
      <c r="I330" s="40" t="s">
        <v>29</v>
      </c>
      <c r="J330" s="41"/>
      <c r="K330" s="118" t="s">
        <v>1328</v>
      </c>
      <c r="L330" s="118"/>
      <c r="M330" s="118"/>
    </row>
    <row r="331" spans="1:13">
      <c r="A331" s="118"/>
      <c r="B331" s="118"/>
      <c r="C331" s="118"/>
      <c r="D331" s="118"/>
      <c r="E331" s="118"/>
      <c r="F331" s="118"/>
      <c r="G331" s="118"/>
      <c r="H331" s="118"/>
      <c r="I331" s="118" t="s">
        <v>30</v>
      </c>
      <c r="J331" s="118"/>
      <c r="K331" s="118" t="s">
        <v>1611</v>
      </c>
      <c r="L331" s="118"/>
      <c r="M331" s="118"/>
    </row>
    <row r="332" spans="1:13">
      <c r="A332" s="122" t="s">
        <v>24</v>
      </c>
      <c r="B332" s="122"/>
      <c r="C332" s="122"/>
      <c r="D332" s="42">
        <v>10</v>
      </c>
      <c r="E332" s="117" t="s">
        <v>40</v>
      </c>
      <c r="F332" s="117"/>
      <c r="G332" s="117"/>
      <c r="H332" s="42">
        <v>51</v>
      </c>
      <c r="I332" s="118" t="s">
        <v>27</v>
      </c>
      <c r="J332" s="118"/>
      <c r="K332" s="118" t="s">
        <v>21</v>
      </c>
      <c r="L332" s="118"/>
      <c r="M332" s="118"/>
    </row>
    <row r="333" spans="1:13" ht="45">
      <c r="A333" s="3" t="s">
        <v>9</v>
      </c>
      <c r="B333" s="3" t="s">
        <v>10</v>
      </c>
      <c r="C333" s="3" t="s">
        <v>11</v>
      </c>
      <c r="D333" s="3" t="s">
        <v>3</v>
      </c>
      <c r="E333" s="4" t="s">
        <v>41</v>
      </c>
      <c r="F333" s="4" t="s">
        <v>12</v>
      </c>
      <c r="G333" s="3" t="s">
        <v>13</v>
      </c>
      <c r="H333" s="3" t="s">
        <v>14</v>
      </c>
      <c r="I333" s="3" t="s">
        <v>1103</v>
      </c>
      <c r="J333" s="3" t="s">
        <v>16</v>
      </c>
      <c r="K333" s="3" t="s">
        <v>17</v>
      </c>
      <c r="L333" s="3" t="s">
        <v>18</v>
      </c>
      <c r="M333" s="3" t="s">
        <v>19</v>
      </c>
    </row>
    <row r="334" spans="1:13">
      <c r="A334" s="18">
        <v>1</v>
      </c>
      <c r="B334" s="111" t="s">
        <v>1182</v>
      </c>
      <c r="C334" s="18"/>
      <c r="D334" s="18">
        <v>1</v>
      </c>
      <c r="E334" s="20">
        <v>11500</v>
      </c>
      <c r="F334" s="20">
        <v>16</v>
      </c>
      <c r="G334" s="18"/>
      <c r="H334" s="18">
        <v>1</v>
      </c>
      <c r="I334" s="21" t="s">
        <v>1579</v>
      </c>
      <c r="J334" s="18">
        <v>1</v>
      </c>
      <c r="K334" s="18">
        <v>9353</v>
      </c>
      <c r="L334" s="22"/>
      <c r="M334" s="18"/>
    </row>
    <row r="335" spans="1:13">
      <c r="A335" s="18"/>
      <c r="B335" s="113"/>
      <c r="C335" s="18"/>
      <c r="D335" s="18"/>
      <c r="E335" s="20"/>
      <c r="F335" s="20"/>
      <c r="G335" s="18"/>
      <c r="H335" s="18">
        <v>1</v>
      </c>
      <c r="I335" s="21" t="s">
        <v>1604</v>
      </c>
      <c r="J335" s="18">
        <v>1</v>
      </c>
      <c r="K335" s="18">
        <v>323</v>
      </c>
      <c r="L335" s="22"/>
      <c r="M335" s="18"/>
    </row>
    <row r="336" spans="1:13">
      <c r="A336" s="18"/>
      <c r="B336" s="113"/>
      <c r="C336" s="18"/>
      <c r="D336" s="18"/>
      <c r="E336" s="20"/>
      <c r="F336" s="20"/>
      <c r="G336" s="18"/>
      <c r="H336" s="18">
        <v>1</v>
      </c>
      <c r="I336" s="21" t="s">
        <v>1576</v>
      </c>
      <c r="J336" s="18">
        <v>1</v>
      </c>
      <c r="K336" s="18">
        <v>298</v>
      </c>
      <c r="L336" s="22"/>
      <c r="M336" s="18"/>
    </row>
    <row r="337" spans="1:13">
      <c r="A337" s="18"/>
      <c r="B337" s="113"/>
      <c r="C337" s="18"/>
      <c r="D337" s="18"/>
      <c r="E337" s="20"/>
      <c r="F337" s="20"/>
      <c r="G337" s="18"/>
      <c r="H337" s="18">
        <v>1</v>
      </c>
      <c r="I337" s="21" t="s">
        <v>1574</v>
      </c>
      <c r="J337" s="18">
        <v>1</v>
      </c>
      <c r="K337" s="18">
        <v>272</v>
      </c>
      <c r="L337" s="22"/>
      <c r="M337" s="18"/>
    </row>
    <row r="338" spans="1:13">
      <c r="A338" s="18"/>
      <c r="B338" s="113"/>
      <c r="C338" s="18"/>
      <c r="D338" s="18"/>
      <c r="E338" s="20"/>
      <c r="F338" s="20"/>
      <c r="G338" s="18"/>
      <c r="H338" s="18">
        <v>1</v>
      </c>
      <c r="I338" s="21" t="s">
        <v>1570</v>
      </c>
      <c r="J338" s="18">
        <v>1</v>
      </c>
      <c r="K338" s="18">
        <v>205</v>
      </c>
      <c r="L338" s="22"/>
      <c r="M338" s="18"/>
    </row>
    <row r="339" spans="1:13">
      <c r="A339" s="18"/>
      <c r="B339" s="113"/>
      <c r="C339" s="18"/>
      <c r="D339" s="18"/>
      <c r="E339" s="20"/>
      <c r="F339" s="20"/>
      <c r="G339" s="18"/>
      <c r="H339" s="18">
        <v>1</v>
      </c>
      <c r="I339" s="21" t="s">
        <v>1573</v>
      </c>
      <c r="J339" s="18">
        <v>1</v>
      </c>
      <c r="K339" s="18">
        <v>205</v>
      </c>
      <c r="L339" s="22"/>
      <c r="M339" s="18"/>
    </row>
    <row r="340" spans="1:13">
      <c r="A340" s="18"/>
      <c r="B340" s="113"/>
      <c r="C340" s="18"/>
      <c r="D340" s="18"/>
      <c r="E340" s="20"/>
      <c r="F340" s="20"/>
      <c r="G340" s="18"/>
      <c r="H340" s="18">
        <v>1</v>
      </c>
      <c r="I340" s="21" t="s">
        <v>1588</v>
      </c>
      <c r="J340" s="18">
        <v>1</v>
      </c>
      <c r="K340" s="18">
        <v>198</v>
      </c>
      <c r="L340" s="22"/>
      <c r="M340" s="18"/>
    </row>
    <row r="341" spans="1:13">
      <c r="A341" s="18"/>
      <c r="B341" s="113"/>
      <c r="C341" s="18"/>
      <c r="D341" s="18"/>
      <c r="E341" s="20"/>
      <c r="F341" s="20"/>
      <c r="G341" s="18"/>
      <c r="H341" s="18">
        <v>1</v>
      </c>
      <c r="I341" s="21" t="s">
        <v>1595</v>
      </c>
      <c r="J341" s="18">
        <v>1</v>
      </c>
      <c r="K341" s="18">
        <v>198</v>
      </c>
      <c r="L341" s="22"/>
      <c r="M341" s="18"/>
    </row>
    <row r="342" spans="1:13">
      <c r="A342" s="18"/>
      <c r="B342" s="113"/>
      <c r="C342" s="18"/>
      <c r="D342" s="18"/>
      <c r="E342" s="20"/>
      <c r="F342" s="20"/>
      <c r="G342" s="18"/>
      <c r="H342" s="18">
        <v>1</v>
      </c>
      <c r="I342" s="21" t="s">
        <v>1602</v>
      </c>
      <c r="J342" s="18">
        <v>1</v>
      </c>
      <c r="K342" s="18">
        <v>198</v>
      </c>
      <c r="L342" s="22"/>
      <c r="M342" s="18"/>
    </row>
    <row r="343" spans="1:13">
      <c r="A343" s="18">
        <v>2</v>
      </c>
      <c r="B343" s="113"/>
      <c r="C343" s="18"/>
      <c r="D343" s="18">
        <v>1</v>
      </c>
      <c r="E343" s="20">
        <v>11500</v>
      </c>
      <c r="F343" s="20">
        <v>2</v>
      </c>
      <c r="G343" s="18"/>
      <c r="H343" s="18">
        <v>1</v>
      </c>
      <c r="I343" s="21" t="s">
        <v>1580</v>
      </c>
      <c r="J343" s="18">
        <v>1</v>
      </c>
      <c r="K343" s="18">
        <v>6321</v>
      </c>
      <c r="L343" s="22"/>
      <c r="M343" s="18"/>
    </row>
    <row r="344" spans="1:13">
      <c r="A344" s="18"/>
      <c r="B344" s="113"/>
      <c r="C344" s="18"/>
      <c r="D344" s="18"/>
      <c r="E344" s="20"/>
      <c r="F344" s="20"/>
      <c r="G344" s="18"/>
      <c r="H344" s="18">
        <v>1</v>
      </c>
      <c r="I344" s="21" t="s">
        <v>1590</v>
      </c>
      <c r="J344" s="18">
        <v>1</v>
      </c>
      <c r="K344" s="18">
        <v>3923</v>
      </c>
      <c r="L344" s="22"/>
      <c r="M344" s="18"/>
    </row>
    <row r="345" spans="1:13">
      <c r="A345" s="18"/>
      <c r="B345" s="113"/>
      <c r="C345" s="18"/>
      <c r="D345" s="18"/>
      <c r="E345" s="20"/>
      <c r="F345" s="20"/>
      <c r="G345" s="18"/>
      <c r="H345" s="18">
        <v>1</v>
      </c>
      <c r="I345" s="21" t="s">
        <v>1572</v>
      </c>
      <c r="J345" s="18">
        <v>1</v>
      </c>
      <c r="K345" s="18">
        <v>1176</v>
      </c>
      <c r="L345" s="22"/>
      <c r="M345" s="18"/>
    </row>
    <row r="346" spans="1:13">
      <c r="A346" s="18">
        <v>3</v>
      </c>
      <c r="B346" s="113"/>
      <c r="C346" s="18"/>
      <c r="D346" s="18">
        <v>1</v>
      </c>
      <c r="E346" s="20">
        <v>11500</v>
      </c>
      <c r="F346" s="20">
        <v>63</v>
      </c>
      <c r="G346" s="18"/>
      <c r="H346" s="18">
        <v>1</v>
      </c>
      <c r="I346" s="21" t="s">
        <v>1582</v>
      </c>
      <c r="J346" s="18">
        <v>1</v>
      </c>
      <c r="K346" s="18">
        <v>5723</v>
      </c>
      <c r="L346" s="22"/>
      <c r="M346" s="18"/>
    </row>
    <row r="347" spans="1:13">
      <c r="A347" s="18"/>
      <c r="B347" s="113"/>
      <c r="C347" s="18"/>
      <c r="D347" s="18"/>
      <c r="E347" s="20"/>
      <c r="F347" s="20"/>
      <c r="G347" s="18"/>
      <c r="H347" s="18">
        <v>1</v>
      </c>
      <c r="I347" s="21" t="s">
        <v>1564</v>
      </c>
      <c r="J347" s="18">
        <v>1</v>
      </c>
      <c r="K347" s="18">
        <v>4995</v>
      </c>
      <c r="L347" s="22"/>
      <c r="M347" s="18"/>
    </row>
    <row r="348" spans="1:13">
      <c r="A348" s="18"/>
      <c r="B348" s="113"/>
      <c r="C348" s="18"/>
      <c r="D348" s="18"/>
      <c r="E348" s="20"/>
      <c r="F348" s="20"/>
      <c r="G348" s="18"/>
      <c r="H348" s="18">
        <v>1</v>
      </c>
      <c r="I348" s="21" t="s">
        <v>1563</v>
      </c>
      <c r="J348" s="18">
        <v>1</v>
      </c>
      <c r="K348" s="18">
        <v>641</v>
      </c>
      <c r="L348" s="22"/>
      <c r="M348" s="18"/>
    </row>
    <row r="349" spans="1:13">
      <c r="A349" s="5">
        <v>4</v>
      </c>
      <c r="B349" s="113"/>
      <c r="C349" s="5"/>
      <c r="D349" s="5">
        <v>1</v>
      </c>
      <c r="E349" s="6">
        <v>11500</v>
      </c>
      <c r="F349" s="6">
        <v>8</v>
      </c>
      <c r="G349" s="5"/>
      <c r="H349" s="5">
        <v>1</v>
      </c>
      <c r="I349" s="7" t="s">
        <v>1575</v>
      </c>
      <c r="J349" s="5">
        <v>1</v>
      </c>
      <c r="K349" s="5">
        <v>2682</v>
      </c>
      <c r="L349" s="8"/>
      <c r="M349" s="5"/>
    </row>
    <row r="350" spans="1:13">
      <c r="A350" s="5"/>
      <c r="B350" s="113"/>
      <c r="C350" s="5"/>
      <c r="D350" s="5"/>
      <c r="E350" s="6"/>
      <c r="F350" s="6"/>
      <c r="G350" s="5"/>
      <c r="H350" s="5">
        <v>1</v>
      </c>
      <c r="I350" s="7" t="s">
        <v>1577</v>
      </c>
      <c r="J350" s="5">
        <v>1</v>
      </c>
      <c r="K350" s="5">
        <v>2682</v>
      </c>
      <c r="L350" s="8"/>
      <c r="M350" s="18"/>
    </row>
    <row r="351" spans="1:13">
      <c r="A351" s="5"/>
      <c r="B351" s="113"/>
      <c r="C351" s="5"/>
      <c r="D351" s="5"/>
      <c r="E351" s="6"/>
      <c r="F351" s="6"/>
      <c r="G351" s="5"/>
      <c r="H351" s="5">
        <v>1</v>
      </c>
      <c r="I351" s="7" t="s">
        <v>1597</v>
      </c>
      <c r="J351" s="5">
        <v>1</v>
      </c>
      <c r="K351" s="5">
        <v>2123</v>
      </c>
      <c r="L351" s="8"/>
      <c r="M351" s="5"/>
    </row>
    <row r="352" spans="1:13">
      <c r="A352" s="5"/>
      <c r="B352" s="113"/>
      <c r="C352" s="5"/>
      <c r="D352" s="5"/>
      <c r="E352" s="6"/>
      <c r="F352" s="6"/>
      <c r="G352" s="5"/>
      <c r="H352" s="5">
        <v>1</v>
      </c>
      <c r="I352" s="7" t="s">
        <v>1569</v>
      </c>
      <c r="J352" s="5">
        <v>1</v>
      </c>
      <c r="K352" s="5">
        <v>1547</v>
      </c>
      <c r="L352" s="8"/>
      <c r="M352" s="5"/>
    </row>
    <row r="353" spans="1:13">
      <c r="A353" s="5"/>
      <c r="B353" s="113"/>
      <c r="C353" s="5"/>
      <c r="D353" s="5"/>
      <c r="E353" s="6"/>
      <c r="F353" s="6"/>
      <c r="G353" s="5"/>
      <c r="H353" s="5">
        <v>1</v>
      </c>
      <c r="I353" s="7" t="s">
        <v>1603</v>
      </c>
      <c r="J353" s="5">
        <v>1</v>
      </c>
      <c r="K353" s="5">
        <v>1431</v>
      </c>
      <c r="L353" s="8"/>
      <c r="M353" s="5"/>
    </row>
    <row r="354" spans="1:13">
      <c r="A354" s="5"/>
      <c r="B354" s="113"/>
      <c r="C354" s="5"/>
      <c r="D354" s="5"/>
      <c r="E354" s="6"/>
      <c r="F354" s="6"/>
      <c r="G354" s="5"/>
      <c r="H354" s="5">
        <v>1</v>
      </c>
      <c r="I354" s="7" t="s">
        <v>1589</v>
      </c>
      <c r="J354" s="5">
        <v>1</v>
      </c>
      <c r="K354" s="5">
        <v>871</v>
      </c>
      <c r="L354" s="8"/>
      <c r="M354" s="5"/>
    </row>
    <row r="355" spans="1:13">
      <c r="A355" s="5">
        <v>5</v>
      </c>
      <c r="B355" s="113"/>
      <c r="C355" s="5"/>
      <c r="D355" s="5">
        <v>1</v>
      </c>
      <c r="E355" s="6">
        <v>11500</v>
      </c>
      <c r="F355" s="6">
        <v>55</v>
      </c>
      <c r="G355" s="5"/>
      <c r="H355" s="5">
        <v>1</v>
      </c>
      <c r="I355" s="7" t="s">
        <v>1583</v>
      </c>
      <c r="J355" s="5">
        <v>1</v>
      </c>
      <c r="K355" s="5">
        <v>1391</v>
      </c>
      <c r="L355" s="8"/>
      <c r="M355" s="5"/>
    </row>
    <row r="356" spans="1:13">
      <c r="A356" s="5"/>
      <c r="B356" s="113"/>
      <c r="C356" s="5"/>
      <c r="D356" s="5"/>
      <c r="E356" s="6"/>
      <c r="F356" s="6"/>
      <c r="G356" s="5"/>
      <c r="H356" s="5">
        <v>1</v>
      </c>
      <c r="I356" s="7" t="s">
        <v>1584</v>
      </c>
      <c r="J356" s="5">
        <v>1</v>
      </c>
      <c r="K356" s="5">
        <v>1279</v>
      </c>
      <c r="L356" s="8"/>
      <c r="M356" s="5"/>
    </row>
    <row r="357" spans="1:13">
      <c r="A357" s="5"/>
      <c r="B357" s="113"/>
      <c r="C357" s="5"/>
      <c r="D357" s="5"/>
      <c r="E357" s="6"/>
      <c r="F357" s="6"/>
      <c r="G357" s="5"/>
      <c r="H357" s="5">
        <v>1</v>
      </c>
      <c r="I357" s="7" t="s">
        <v>1606</v>
      </c>
      <c r="J357" s="5">
        <v>1</v>
      </c>
      <c r="K357" s="5">
        <v>1279</v>
      </c>
      <c r="L357" s="8"/>
      <c r="M357" s="5"/>
    </row>
    <row r="358" spans="1:13">
      <c r="A358" s="5"/>
      <c r="B358" s="113"/>
      <c r="C358" s="5"/>
      <c r="D358" s="5"/>
      <c r="E358" s="6"/>
      <c r="F358" s="6"/>
      <c r="G358" s="5"/>
      <c r="H358" s="5">
        <v>1</v>
      </c>
      <c r="I358" s="7" t="s">
        <v>1587</v>
      </c>
      <c r="J358" s="5">
        <v>1</v>
      </c>
      <c r="K358" s="5">
        <v>1194</v>
      </c>
      <c r="L358" s="8"/>
      <c r="M358" s="5"/>
    </row>
    <row r="359" spans="1:13">
      <c r="A359" s="5"/>
      <c r="B359" s="113"/>
      <c r="C359" s="5"/>
      <c r="D359" s="5"/>
      <c r="E359" s="6"/>
      <c r="F359" s="6"/>
      <c r="G359" s="5"/>
      <c r="H359" s="5">
        <v>1</v>
      </c>
      <c r="I359" s="7" t="s">
        <v>1594</v>
      </c>
      <c r="J359" s="5">
        <v>1</v>
      </c>
      <c r="K359" s="5">
        <v>1194</v>
      </c>
      <c r="L359" s="8"/>
      <c r="M359" s="5"/>
    </row>
    <row r="360" spans="1:13">
      <c r="A360" s="5"/>
      <c r="B360" s="113"/>
      <c r="C360" s="5"/>
      <c r="D360" s="5"/>
      <c r="E360" s="6"/>
      <c r="F360" s="6"/>
      <c r="G360" s="5"/>
      <c r="H360" s="5">
        <v>1</v>
      </c>
      <c r="I360" s="7" t="s">
        <v>1601</v>
      </c>
      <c r="J360" s="5">
        <v>1</v>
      </c>
      <c r="K360" s="5">
        <v>1194</v>
      </c>
      <c r="L360" s="8"/>
      <c r="M360" s="5"/>
    </row>
    <row r="361" spans="1:13">
      <c r="A361" s="5"/>
      <c r="B361" s="113"/>
      <c r="C361" s="5"/>
      <c r="D361" s="5"/>
      <c r="E361" s="6"/>
      <c r="F361" s="6"/>
      <c r="G361" s="5"/>
      <c r="H361" s="5">
        <v>1</v>
      </c>
      <c r="I361" s="7" t="s">
        <v>1609</v>
      </c>
      <c r="J361" s="5">
        <v>1</v>
      </c>
      <c r="K361" s="5">
        <v>1194</v>
      </c>
      <c r="L361" s="8"/>
      <c r="M361" s="5"/>
    </row>
    <row r="362" spans="1:13">
      <c r="A362" s="5"/>
      <c r="B362" s="113"/>
      <c r="C362" s="5"/>
      <c r="D362" s="5"/>
      <c r="E362" s="6"/>
      <c r="F362" s="6"/>
      <c r="G362" s="5"/>
      <c r="H362" s="5">
        <v>1</v>
      </c>
      <c r="I362" s="7" t="s">
        <v>1596</v>
      </c>
      <c r="J362" s="5">
        <v>1</v>
      </c>
      <c r="K362" s="5">
        <v>1151</v>
      </c>
      <c r="L362" s="8"/>
      <c r="M362" s="5"/>
    </row>
    <row r="363" spans="1:13">
      <c r="A363" s="5"/>
      <c r="B363" s="113"/>
      <c r="C363" s="5"/>
      <c r="D363" s="5"/>
      <c r="E363" s="6"/>
      <c r="F363" s="6"/>
      <c r="G363" s="5"/>
      <c r="H363" s="5">
        <v>1</v>
      </c>
      <c r="I363" s="7" t="s">
        <v>1591</v>
      </c>
      <c r="J363" s="5">
        <v>1</v>
      </c>
      <c r="K363" s="5">
        <v>1111</v>
      </c>
      <c r="L363" s="8"/>
      <c r="M363" s="5"/>
    </row>
    <row r="364" spans="1:13">
      <c r="A364" s="5"/>
      <c r="B364" s="113"/>
      <c r="C364" s="5"/>
      <c r="D364" s="5"/>
      <c r="E364" s="6"/>
      <c r="F364" s="6"/>
      <c r="G364" s="5"/>
      <c r="H364" s="5">
        <v>1</v>
      </c>
      <c r="I364" s="7" t="s">
        <v>1610</v>
      </c>
      <c r="J364" s="5">
        <v>1</v>
      </c>
      <c r="K364" s="5">
        <v>198</v>
      </c>
      <c r="L364" s="8"/>
      <c r="M364" s="5"/>
    </row>
    <row r="365" spans="1:13">
      <c r="A365" s="5">
        <v>6</v>
      </c>
      <c r="B365" s="113"/>
      <c r="C365" s="5"/>
      <c r="D365" s="5">
        <v>1</v>
      </c>
      <c r="E365" s="6">
        <v>11500</v>
      </c>
      <c r="F365" s="6">
        <v>-26</v>
      </c>
      <c r="G365" s="5"/>
      <c r="H365" s="5">
        <v>1</v>
      </c>
      <c r="I365" s="7" t="s">
        <v>1567</v>
      </c>
      <c r="J365" s="5">
        <v>1</v>
      </c>
      <c r="K365" s="5">
        <v>11500</v>
      </c>
      <c r="L365" s="8"/>
      <c r="M365" s="5"/>
    </row>
    <row r="366" spans="1:13">
      <c r="A366" s="5">
        <v>7</v>
      </c>
      <c r="B366" s="113"/>
      <c r="C366" s="5"/>
      <c r="D366" s="5">
        <v>1</v>
      </c>
      <c r="E366" s="6">
        <v>11500</v>
      </c>
      <c r="F366" s="6">
        <v>-26</v>
      </c>
      <c r="G366" s="5"/>
      <c r="H366" s="5">
        <v>1</v>
      </c>
      <c r="I366" s="7" t="s">
        <v>1566</v>
      </c>
      <c r="J366" s="5">
        <v>1</v>
      </c>
      <c r="K366" s="5">
        <v>11500</v>
      </c>
      <c r="L366" s="8"/>
      <c r="M366" s="5"/>
    </row>
    <row r="367" spans="1:13">
      <c r="A367" s="5">
        <v>8</v>
      </c>
      <c r="B367" s="113"/>
      <c r="C367" s="5"/>
      <c r="D367" s="5">
        <v>1</v>
      </c>
      <c r="E367" s="6">
        <v>11500</v>
      </c>
      <c r="F367" s="6">
        <v>-26</v>
      </c>
      <c r="G367" s="5"/>
      <c r="H367" s="5">
        <v>1</v>
      </c>
      <c r="I367" s="7" t="s">
        <v>1562</v>
      </c>
      <c r="J367" s="5">
        <v>1</v>
      </c>
      <c r="K367" s="5">
        <v>11500</v>
      </c>
      <c r="L367" s="8"/>
      <c r="M367" s="5"/>
    </row>
    <row r="368" spans="1:13">
      <c r="A368" s="5">
        <v>9</v>
      </c>
      <c r="B368" s="113"/>
      <c r="C368" s="5"/>
      <c r="D368" s="5">
        <v>1</v>
      </c>
      <c r="E368" s="6">
        <v>11500</v>
      </c>
      <c r="F368" s="6">
        <v>5558</v>
      </c>
      <c r="G368" s="5"/>
      <c r="H368" s="5">
        <v>1</v>
      </c>
      <c r="I368" s="7" t="s">
        <v>1568</v>
      </c>
      <c r="J368" s="5">
        <v>1</v>
      </c>
      <c r="K368" s="5">
        <v>1091</v>
      </c>
      <c r="L368" s="8"/>
      <c r="M368" s="5"/>
    </row>
    <row r="369" spans="1:13">
      <c r="A369" s="5"/>
      <c r="B369" s="113"/>
      <c r="C369" s="5"/>
      <c r="D369" s="5"/>
      <c r="E369" s="6"/>
      <c r="F369" s="6"/>
      <c r="G369" s="5"/>
      <c r="H369" s="5">
        <v>1</v>
      </c>
      <c r="I369" s="7" t="s">
        <v>1598</v>
      </c>
      <c r="J369" s="5">
        <v>1</v>
      </c>
      <c r="K369" s="5">
        <v>831</v>
      </c>
      <c r="L369" s="8"/>
      <c r="M369" s="5"/>
    </row>
    <row r="370" spans="1:13">
      <c r="A370" s="5"/>
      <c r="B370" s="113"/>
      <c r="C370" s="5"/>
      <c r="D370" s="5"/>
      <c r="E370" s="6"/>
      <c r="F370" s="6"/>
      <c r="G370" s="5"/>
      <c r="H370" s="5">
        <v>1</v>
      </c>
      <c r="I370" s="7" t="s">
        <v>1565</v>
      </c>
      <c r="J370" s="5">
        <v>1</v>
      </c>
      <c r="K370" s="5">
        <v>641</v>
      </c>
      <c r="L370" s="8"/>
      <c r="M370" s="5"/>
    </row>
    <row r="371" spans="1:13">
      <c r="A371" s="5"/>
      <c r="B371" s="113"/>
      <c r="C371" s="5"/>
      <c r="D371" s="5"/>
      <c r="E371" s="6"/>
      <c r="F371" s="6"/>
      <c r="G371" s="5"/>
      <c r="H371" s="5">
        <v>1</v>
      </c>
      <c r="I371" s="7" t="s">
        <v>1581</v>
      </c>
      <c r="J371" s="5">
        <v>1</v>
      </c>
      <c r="K371" s="5">
        <v>591</v>
      </c>
      <c r="L371" s="8"/>
      <c r="M371" s="5"/>
    </row>
    <row r="372" spans="1:13">
      <c r="A372" s="5"/>
      <c r="B372" s="113"/>
      <c r="C372" s="5"/>
      <c r="D372" s="5"/>
      <c r="E372" s="6"/>
      <c r="F372" s="6"/>
      <c r="G372" s="5"/>
      <c r="H372" s="5">
        <v>1</v>
      </c>
      <c r="I372" s="7" t="s">
        <v>1605</v>
      </c>
      <c r="J372" s="5">
        <v>1</v>
      </c>
      <c r="K372" s="5">
        <v>551</v>
      </c>
      <c r="L372" s="8"/>
      <c r="M372" s="5"/>
    </row>
    <row r="373" spans="1:13">
      <c r="A373" s="5"/>
      <c r="B373" s="113"/>
      <c r="C373" s="5"/>
      <c r="D373" s="5"/>
      <c r="E373" s="6"/>
      <c r="F373" s="6"/>
      <c r="G373" s="5"/>
      <c r="H373" s="5">
        <v>1</v>
      </c>
      <c r="I373" s="7" t="s">
        <v>1560</v>
      </c>
      <c r="J373" s="5">
        <v>1</v>
      </c>
      <c r="K373" s="5">
        <v>502</v>
      </c>
      <c r="L373" s="8"/>
      <c r="M373" s="5"/>
    </row>
    <row r="374" spans="1:13">
      <c r="A374" s="5"/>
      <c r="B374" s="113"/>
      <c r="C374" s="5"/>
      <c r="D374" s="5"/>
      <c r="E374" s="6"/>
      <c r="F374" s="6"/>
      <c r="G374" s="5"/>
      <c r="H374" s="5">
        <v>1</v>
      </c>
      <c r="I374" s="7" t="s">
        <v>1585</v>
      </c>
      <c r="J374" s="5">
        <v>1</v>
      </c>
      <c r="K374" s="5">
        <v>198</v>
      </c>
      <c r="L374" s="8"/>
      <c r="M374" s="5"/>
    </row>
    <row r="375" spans="1:13">
      <c r="A375" s="5"/>
      <c r="B375" s="113"/>
      <c r="C375" s="5"/>
      <c r="D375" s="5"/>
      <c r="E375" s="6"/>
      <c r="F375" s="6"/>
      <c r="G375" s="5"/>
      <c r="H375" s="5">
        <v>1</v>
      </c>
      <c r="I375" s="7" t="s">
        <v>1592</v>
      </c>
      <c r="J375" s="5">
        <v>1</v>
      </c>
      <c r="K375" s="5">
        <v>198</v>
      </c>
      <c r="L375" s="8"/>
      <c r="M375" s="5"/>
    </row>
    <row r="376" spans="1:13">
      <c r="A376" s="5"/>
      <c r="B376" s="113"/>
      <c r="C376" s="5"/>
      <c r="D376" s="5"/>
      <c r="E376" s="6"/>
      <c r="F376" s="6"/>
      <c r="G376" s="5"/>
      <c r="H376" s="5">
        <v>1</v>
      </c>
      <c r="I376" s="7" t="s">
        <v>1599</v>
      </c>
      <c r="J376" s="5">
        <v>1</v>
      </c>
      <c r="K376" s="5">
        <v>198</v>
      </c>
      <c r="L376" s="8"/>
      <c r="M376" s="5"/>
    </row>
    <row r="377" spans="1:13">
      <c r="A377" s="5"/>
      <c r="B377" s="113"/>
      <c r="C377" s="5"/>
      <c r="D377" s="5"/>
      <c r="E377" s="6"/>
      <c r="F377" s="6"/>
      <c r="G377" s="5"/>
      <c r="H377" s="5">
        <v>1</v>
      </c>
      <c r="I377" s="7" t="s">
        <v>1607</v>
      </c>
      <c r="J377" s="5">
        <v>1</v>
      </c>
      <c r="K377" s="5">
        <v>198</v>
      </c>
      <c r="L377" s="8"/>
      <c r="M377" s="5"/>
    </row>
    <row r="378" spans="1:13">
      <c r="A378" s="5"/>
      <c r="B378" s="113"/>
      <c r="C378" s="5"/>
      <c r="D378" s="5"/>
      <c r="E378" s="6"/>
      <c r="F378" s="6"/>
      <c r="G378" s="5"/>
      <c r="H378" s="5">
        <v>1</v>
      </c>
      <c r="I378" s="7" t="s">
        <v>1571</v>
      </c>
      <c r="J378" s="5">
        <v>1</v>
      </c>
      <c r="K378" s="5">
        <v>117</v>
      </c>
      <c r="L378" s="8"/>
      <c r="M378" s="5"/>
    </row>
    <row r="379" spans="1:13">
      <c r="A379" s="5"/>
      <c r="B379" s="113"/>
      <c r="C379" s="5"/>
      <c r="D379" s="5"/>
      <c r="E379" s="6"/>
      <c r="F379" s="6"/>
      <c r="G379" s="5"/>
      <c r="H379" s="5">
        <v>1</v>
      </c>
      <c r="I379" s="7" t="s">
        <v>1586</v>
      </c>
      <c r="J379" s="5">
        <v>1</v>
      </c>
      <c r="K379" s="5">
        <v>109</v>
      </c>
      <c r="L379" s="8"/>
      <c r="M379" s="5"/>
    </row>
    <row r="380" spans="1:13">
      <c r="A380" s="5"/>
      <c r="B380" s="113"/>
      <c r="C380" s="5"/>
      <c r="D380" s="5"/>
      <c r="E380" s="6"/>
      <c r="F380" s="6"/>
      <c r="G380" s="5"/>
      <c r="H380" s="5">
        <v>1</v>
      </c>
      <c r="I380" s="7" t="s">
        <v>1593</v>
      </c>
      <c r="J380" s="5">
        <v>1</v>
      </c>
      <c r="K380" s="5">
        <v>109</v>
      </c>
      <c r="L380" s="8"/>
      <c r="M380" s="5"/>
    </row>
    <row r="381" spans="1:13">
      <c r="A381" s="5"/>
      <c r="B381" s="113"/>
      <c r="C381" s="5"/>
      <c r="D381" s="5"/>
      <c r="E381" s="6"/>
      <c r="F381" s="6"/>
      <c r="G381" s="5"/>
      <c r="H381" s="5">
        <v>1</v>
      </c>
      <c r="I381" s="7" t="s">
        <v>1600</v>
      </c>
      <c r="J381" s="5">
        <v>1</v>
      </c>
      <c r="K381" s="5">
        <v>109</v>
      </c>
      <c r="L381" s="8"/>
      <c r="M381" s="5"/>
    </row>
    <row r="382" spans="1:13">
      <c r="A382" s="5"/>
      <c r="B382" s="113"/>
      <c r="C382" s="5"/>
      <c r="D382" s="5"/>
      <c r="E382" s="6"/>
      <c r="F382" s="6"/>
      <c r="G382" s="5"/>
      <c r="H382" s="5">
        <v>1</v>
      </c>
      <c r="I382" s="7" t="s">
        <v>1608</v>
      </c>
      <c r="J382" s="5">
        <v>1</v>
      </c>
      <c r="K382" s="5">
        <v>109</v>
      </c>
      <c r="L382" s="8"/>
      <c r="M382" s="5"/>
    </row>
    <row r="383" spans="1:13">
      <c r="A383" s="5">
        <v>10</v>
      </c>
      <c r="B383" s="113"/>
      <c r="C383" s="5"/>
      <c r="D383" s="5">
        <v>1</v>
      </c>
      <c r="E383" s="6">
        <v>11500</v>
      </c>
      <c r="F383" s="6">
        <v>5</v>
      </c>
      <c r="G383" s="5"/>
      <c r="H383" s="5">
        <v>1</v>
      </c>
      <c r="I383" s="7" t="s">
        <v>1578</v>
      </c>
      <c r="J383" s="5">
        <v>1</v>
      </c>
      <c r="K383" s="5">
        <v>10378</v>
      </c>
      <c r="L383" s="8"/>
      <c r="M383" s="5"/>
    </row>
    <row r="384" spans="1:13">
      <c r="A384" s="5"/>
      <c r="B384" s="112"/>
      <c r="C384" s="5"/>
      <c r="D384" s="5"/>
      <c r="E384" s="6"/>
      <c r="F384" s="6"/>
      <c r="G384" s="5"/>
      <c r="H384" s="5">
        <v>1</v>
      </c>
      <c r="I384" s="7" t="s">
        <v>1561</v>
      </c>
      <c r="J384" s="5">
        <v>1</v>
      </c>
      <c r="K384" s="5">
        <v>1065</v>
      </c>
      <c r="L384" s="8"/>
      <c r="M384" s="5"/>
    </row>
    <row r="385" spans="1:13">
      <c r="A385" s="5"/>
      <c r="B385" s="5"/>
      <c r="C385" s="5"/>
      <c r="D385" s="5"/>
      <c r="E385" s="6"/>
      <c r="F385" s="6"/>
      <c r="G385" s="5"/>
      <c r="H385" s="5"/>
      <c r="I385" s="7"/>
      <c r="J385" s="5"/>
      <c r="K385" s="5"/>
      <c r="L385" s="8"/>
      <c r="M385" s="5"/>
    </row>
    <row r="386" spans="1:13">
      <c r="A386" s="117" t="s">
        <v>4</v>
      </c>
      <c r="B386" s="117"/>
      <c r="C386" s="117"/>
      <c r="D386" s="117"/>
      <c r="E386" s="117"/>
      <c r="F386" s="117"/>
      <c r="G386" s="117"/>
      <c r="H386" s="117"/>
      <c r="I386" s="118" t="s">
        <v>8</v>
      </c>
      <c r="J386" s="118"/>
      <c r="K386" s="89" t="s">
        <v>70</v>
      </c>
      <c r="L386" s="119"/>
      <c r="M386" s="120"/>
    </row>
    <row r="387" spans="1:13">
      <c r="A387" s="117"/>
      <c r="B387" s="117"/>
      <c r="C387" s="117"/>
      <c r="D387" s="117"/>
      <c r="E387" s="117"/>
      <c r="F387" s="117"/>
      <c r="G387" s="117"/>
      <c r="H387" s="117"/>
      <c r="I387" s="118" t="s">
        <v>25</v>
      </c>
      <c r="J387" s="118"/>
      <c r="K387" s="121" t="s">
        <v>1613</v>
      </c>
      <c r="L387" s="118"/>
      <c r="M387" s="118"/>
    </row>
    <row r="388" spans="1:13">
      <c r="A388" s="117"/>
      <c r="B388" s="117"/>
      <c r="C388" s="117"/>
      <c r="D388" s="117"/>
      <c r="E388" s="117"/>
      <c r="F388" s="117"/>
      <c r="G388" s="117"/>
      <c r="H388" s="117"/>
      <c r="I388" s="87" t="s">
        <v>26</v>
      </c>
      <c r="J388" s="88"/>
      <c r="K388" s="95" t="s">
        <v>1065</v>
      </c>
      <c r="L388" s="104"/>
      <c r="M388" s="88"/>
    </row>
    <row r="389" spans="1:13">
      <c r="A389" s="118" t="s">
        <v>31</v>
      </c>
      <c r="B389" s="118"/>
      <c r="C389" s="118" t="s">
        <v>32</v>
      </c>
      <c r="D389" s="118"/>
      <c r="E389" s="118"/>
      <c r="F389" s="118"/>
      <c r="G389" s="118"/>
      <c r="H389" s="118"/>
      <c r="I389" s="40" t="s">
        <v>29</v>
      </c>
      <c r="J389" s="41"/>
      <c r="K389" s="118" t="s">
        <v>1328</v>
      </c>
      <c r="L389" s="118"/>
      <c r="M389" s="118"/>
    </row>
    <row r="390" spans="1:13">
      <c r="A390" s="118"/>
      <c r="B390" s="118"/>
      <c r="C390" s="118"/>
      <c r="D390" s="118"/>
      <c r="E390" s="118"/>
      <c r="F390" s="118"/>
      <c r="G390" s="118"/>
      <c r="H390" s="118"/>
      <c r="I390" s="118" t="s">
        <v>30</v>
      </c>
      <c r="J390" s="118"/>
      <c r="K390" s="118" t="s">
        <v>1559</v>
      </c>
      <c r="L390" s="118"/>
      <c r="M390" s="118"/>
    </row>
    <row r="391" spans="1:13">
      <c r="A391" s="122" t="s">
        <v>24</v>
      </c>
      <c r="B391" s="122"/>
      <c r="C391" s="122"/>
      <c r="D391" s="42">
        <v>1</v>
      </c>
      <c r="E391" s="117" t="s">
        <v>40</v>
      </c>
      <c r="F391" s="117"/>
      <c r="G391" s="117"/>
      <c r="H391" s="42">
        <v>6</v>
      </c>
      <c r="I391" s="118" t="s">
        <v>27</v>
      </c>
      <c r="J391" s="118"/>
      <c r="K391" s="118" t="s">
        <v>21</v>
      </c>
      <c r="L391" s="118"/>
      <c r="M391" s="118"/>
    </row>
    <row r="392" spans="1:13" ht="45">
      <c r="A392" s="3" t="s">
        <v>9</v>
      </c>
      <c r="B392" s="3" t="s">
        <v>10</v>
      </c>
      <c r="C392" s="3" t="s">
        <v>11</v>
      </c>
      <c r="D392" s="3" t="s">
        <v>3</v>
      </c>
      <c r="E392" s="4" t="s">
        <v>41</v>
      </c>
      <c r="F392" s="4" t="s">
        <v>12</v>
      </c>
      <c r="G392" s="3" t="s">
        <v>13</v>
      </c>
      <c r="H392" s="3" t="s">
        <v>14</v>
      </c>
      <c r="I392" s="3" t="s">
        <v>1103</v>
      </c>
      <c r="J392" s="3" t="s">
        <v>16</v>
      </c>
      <c r="K392" s="3" t="s">
        <v>17</v>
      </c>
      <c r="L392" s="3" t="s">
        <v>18</v>
      </c>
      <c r="M392" s="3" t="s">
        <v>19</v>
      </c>
    </row>
    <row r="393" spans="1:13">
      <c r="A393" s="18">
        <v>1</v>
      </c>
      <c r="B393" s="111" t="s">
        <v>1172</v>
      </c>
      <c r="C393" s="18"/>
      <c r="D393" s="18">
        <v>1</v>
      </c>
      <c r="E393" s="20">
        <v>11500</v>
      </c>
      <c r="F393" s="20">
        <v>1106</v>
      </c>
      <c r="G393" s="18"/>
      <c r="H393" s="18">
        <v>1</v>
      </c>
      <c r="I393" s="21" t="s">
        <v>1554</v>
      </c>
      <c r="J393" s="18">
        <v>1</v>
      </c>
      <c r="K393" s="18">
        <v>2689</v>
      </c>
      <c r="L393" s="22"/>
      <c r="M393" s="18"/>
    </row>
    <row r="394" spans="1:13">
      <c r="A394" s="18"/>
      <c r="B394" s="113"/>
      <c r="C394" s="18"/>
      <c r="D394" s="18"/>
      <c r="E394" s="20"/>
      <c r="F394" s="20"/>
      <c r="G394" s="18"/>
      <c r="H394" s="18">
        <v>1</v>
      </c>
      <c r="I394" s="21" t="s">
        <v>1556</v>
      </c>
      <c r="J394" s="18">
        <v>1</v>
      </c>
      <c r="K394" s="18">
        <v>2639</v>
      </c>
      <c r="L394" s="22"/>
      <c r="M394" s="18"/>
    </row>
    <row r="395" spans="1:13">
      <c r="A395" s="18"/>
      <c r="B395" s="113"/>
      <c r="C395" s="18"/>
      <c r="D395" s="18"/>
      <c r="E395" s="20"/>
      <c r="F395" s="20"/>
      <c r="G395" s="18"/>
      <c r="H395" s="18">
        <v>1</v>
      </c>
      <c r="I395" s="21" t="s">
        <v>1558</v>
      </c>
      <c r="J395" s="18">
        <v>1</v>
      </c>
      <c r="K395" s="18">
        <v>2043</v>
      </c>
      <c r="L395" s="22"/>
      <c r="M395" s="18"/>
    </row>
    <row r="396" spans="1:13">
      <c r="A396" s="18"/>
      <c r="B396" s="113"/>
      <c r="C396" s="18"/>
      <c r="D396" s="18"/>
      <c r="E396" s="20"/>
      <c r="F396" s="20"/>
      <c r="G396" s="18"/>
      <c r="H396" s="18">
        <v>1</v>
      </c>
      <c r="I396" s="21" t="s">
        <v>1557</v>
      </c>
      <c r="J396" s="18">
        <v>1</v>
      </c>
      <c r="K396" s="18">
        <v>1116</v>
      </c>
      <c r="L396" s="22"/>
      <c r="M396" s="18"/>
    </row>
    <row r="397" spans="1:13">
      <c r="A397" s="18"/>
      <c r="B397" s="113"/>
      <c r="C397" s="18"/>
      <c r="D397" s="18"/>
      <c r="E397" s="20"/>
      <c r="F397" s="20"/>
      <c r="G397" s="18"/>
      <c r="H397" s="18">
        <v>1</v>
      </c>
      <c r="I397" s="21" t="s">
        <v>1553</v>
      </c>
      <c r="J397" s="18">
        <v>1</v>
      </c>
      <c r="K397" s="18">
        <v>936</v>
      </c>
      <c r="L397" s="22"/>
      <c r="M397" s="18"/>
    </row>
    <row r="398" spans="1:13">
      <c r="A398" s="18"/>
      <c r="B398" s="112"/>
      <c r="C398" s="18"/>
      <c r="D398" s="18"/>
      <c r="E398" s="20"/>
      <c r="F398" s="20"/>
      <c r="G398" s="18"/>
      <c r="H398" s="18">
        <v>1</v>
      </c>
      <c r="I398" s="21" t="s">
        <v>1555</v>
      </c>
      <c r="J398" s="18">
        <v>1</v>
      </c>
      <c r="K398" s="18">
        <v>815</v>
      </c>
      <c r="L398" s="22"/>
      <c r="M398" s="18"/>
    </row>
    <row r="399" spans="1:13">
      <c r="A399" s="18"/>
      <c r="B399" s="19"/>
      <c r="C399" s="18"/>
      <c r="D399" s="18"/>
      <c r="E399" s="20"/>
      <c r="F399" s="20"/>
      <c r="G399" s="18"/>
      <c r="H399" s="18"/>
      <c r="I399" s="21"/>
      <c r="J399" s="18"/>
      <c r="K399" s="18"/>
      <c r="L399" s="22"/>
      <c r="M399" s="18"/>
    </row>
    <row r="400" spans="1:13">
      <c r="A400" s="117" t="s">
        <v>4</v>
      </c>
      <c r="B400" s="117"/>
      <c r="C400" s="117"/>
      <c r="D400" s="117"/>
      <c r="E400" s="117"/>
      <c r="F400" s="117"/>
      <c r="G400" s="117"/>
      <c r="H400" s="117"/>
      <c r="I400" s="118" t="s">
        <v>8</v>
      </c>
      <c r="J400" s="118"/>
      <c r="K400" s="89" t="s">
        <v>70</v>
      </c>
      <c r="L400" s="119"/>
      <c r="M400" s="120"/>
    </row>
    <row r="401" spans="1:13">
      <c r="A401" s="117"/>
      <c r="B401" s="117"/>
      <c r="C401" s="117"/>
      <c r="D401" s="117"/>
      <c r="E401" s="117"/>
      <c r="F401" s="117"/>
      <c r="G401" s="117"/>
      <c r="H401" s="117"/>
      <c r="I401" s="118" t="s">
        <v>25</v>
      </c>
      <c r="J401" s="118"/>
      <c r="K401" s="121" t="s">
        <v>1613</v>
      </c>
      <c r="L401" s="118"/>
      <c r="M401" s="118"/>
    </row>
    <row r="402" spans="1:13">
      <c r="A402" s="117"/>
      <c r="B402" s="117"/>
      <c r="C402" s="117"/>
      <c r="D402" s="117"/>
      <c r="E402" s="117"/>
      <c r="F402" s="117"/>
      <c r="G402" s="117"/>
      <c r="H402" s="117"/>
      <c r="I402" s="87" t="s">
        <v>26</v>
      </c>
      <c r="J402" s="88"/>
      <c r="K402" s="95" t="s">
        <v>1551</v>
      </c>
      <c r="L402" s="104"/>
      <c r="M402" s="88"/>
    </row>
    <row r="403" spans="1:13">
      <c r="A403" s="118" t="s">
        <v>31</v>
      </c>
      <c r="B403" s="118"/>
      <c r="C403" s="118" t="s">
        <v>32</v>
      </c>
      <c r="D403" s="118"/>
      <c r="E403" s="118"/>
      <c r="F403" s="118"/>
      <c r="G403" s="118"/>
      <c r="H403" s="118"/>
      <c r="I403" s="40" t="s">
        <v>29</v>
      </c>
      <c r="J403" s="41"/>
      <c r="K403" s="118" t="s">
        <v>1328</v>
      </c>
      <c r="L403" s="118"/>
      <c r="M403" s="118"/>
    </row>
    <row r="404" spans="1:13">
      <c r="A404" s="118"/>
      <c r="B404" s="118"/>
      <c r="C404" s="118"/>
      <c r="D404" s="118"/>
      <c r="E404" s="118"/>
      <c r="F404" s="118"/>
      <c r="G404" s="118"/>
      <c r="H404" s="118"/>
      <c r="I404" s="118" t="s">
        <v>30</v>
      </c>
      <c r="J404" s="118"/>
      <c r="K404" s="118" t="s">
        <v>1552</v>
      </c>
      <c r="L404" s="118"/>
      <c r="M404" s="118"/>
    </row>
    <row r="405" spans="1:13">
      <c r="A405" s="122" t="s">
        <v>24</v>
      </c>
      <c r="B405" s="122"/>
      <c r="C405" s="122"/>
      <c r="D405" s="42">
        <v>3</v>
      </c>
      <c r="E405" s="117" t="s">
        <v>40</v>
      </c>
      <c r="F405" s="117"/>
      <c r="G405" s="117"/>
      <c r="H405" s="42">
        <v>4</v>
      </c>
      <c r="I405" s="118" t="s">
        <v>27</v>
      </c>
      <c r="J405" s="118"/>
      <c r="K405" s="118" t="s">
        <v>21</v>
      </c>
      <c r="L405" s="118"/>
      <c r="M405" s="118"/>
    </row>
    <row r="406" spans="1:13" ht="45">
      <c r="A406" s="3" t="s">
        <v>9</v>
      </c>
      <c r="B406" s="3" t="s">
        <v>10</v>
      </c>
      <c r="C406" s="3" t="s">
        <v>11</v>
      </c>
      <c r="D406" s="3" t="s">
        <v>3</v>
      </c>
      <c r="E406" s="4" t="s">
        <v>41</v>
      </c>
      <c r="F406" s="4" t="s">
        <v>12</v>
      </c>
      <c r="G406" s="3" t="s">
        <v>13</v>
      </c>
      <c r="H406" s="3" t="s">
        <v>14</v>
      </c>
      <c r="I406" s="3" t="s">
        <v>1103</v>
      </c>
      <c r="J406" s="3" t="s">
        <v>16</v>
      </c>
      <c r="K406" s="3" t="s">
        <v>17</v>
      </c>
      <c r="L406" s="3" t="s">
        <v>18</v>
      </c>
      <c r="M406" s="3" t="s">
        <v>19</v>
      </c>
    </row>
    <row r="407" spans="1:13">
      <c r="A407" s="18">
        <v>1</v>
      </c>
      <c r="B407" s="111" t="s">
        <v>1955</v>
      </c>
      <c r="C407" s="18"/>
      <c r="D407" s="18">
        <v>1</v>
      </c>
      <c r="E407" s="20">
        <v>11500</v>
      </c>
      <c r="F407" s="20">
        <v>10867</v>
      </c>
      <c r="G407" s="18"/>
      <c r="H407" s="18">
        <v>1</v>
      </c>
      <c r="I407" s="21" t="s">
        <v>1547</v>
      </c>
      <c r="J407" s="18">
        <v>1</v>
      </c>
      <c r="K407" s="18">
        <v>398</v>
      </c>
      <c r="L407" s="22"/>
      <c r="M407" s="18"/>
    </row>
    <row r="408" spans="1:13">
      <c r="A408" s="18"/>
      <c r="B408" s="113"/>
      <c r="C408" s="18"/>
      <c r="D408" s="18"/>
      <c r="E408" s="20"/>
      <c r="F408" s="20"/>
      <c r="G408" s="18"/>
      <c r="H408" s="18">
        <v>1</v>
      </c>
      <c r="I408" s="21" t="s">
        <v>1550</v>
      </c>
      <c r="J408" s="18">
        <v>1</v>
      </c>
      <c r="K408" s="18">
        <v>183</v>
      </c>
      <c r="L408" s="22"/>
      <c r="M408" s="18"/>
    </row>
    <row r="409" spans="1:13">
      <c r="A409" s="18">
        <v>2</v>
      </c>
      <c r="B409" s="113"/>
      <c r="C409" s="18"/>
      <c r="D409" s="18">
        <v>1</v>
      </c>
      <c r="E409" s="20">
        <v>11500</v>
      </c>
      <c r="F409" s="20"/>
      <c r="G409" s="18"/>
      <c r="H409" s="18">
        <v>1</v>
      </c>
      <c r="I409" s="21" t="s">
        <v>1549</v>
      </c>
      <c r="J409" s="18">
        <v>1</v>
      </c>
      <c r="K409" s="18">
        <v>11500</v>
      </c>
      <c r="L409" s="22"/>
      <c r="M409" s="18"/>
    </row>
    <row r="410" spans="1:13">
      <c r="A410" s="18">
        <v>3</v>
      </c>
      <c r="B410" s="112"/>
      <c r="C410" s="18"/>
      <c r="D410" s="18">
        <v>1</v>
      </c>
      <c r="E410" s="20">
        <v>11500</v>
      </c>
      <c r="F410" s="20"/>
      <c r="G410" s="18"/>
      <c r="H410" s="18">
        <v>1</v>
      </c>
      <c r="I410" s="21" t="s">
        <v>1548</v>
      </c>
      <c r="J410" s="18">
        <v>1</v>
      </c>
      <c r="K410" s="18">
        <v>11500</v>
      </c>
      <c r="L410" s="22"/>
      <c r="M410" s="18"/>
    </row>
    <row r="411" spans="1:13">
      <c r="A411" s="18"/>
      <c r="B411" s="18"/>
      <c r="C411" s="18"/>
      <c r="D411" s="18"/>
      <c r="E411" s="20"/>
      <c r="F411" s="20"/>
      <c r="G411" s="18"/>
      <c r="H411" s="18"/>
      <c r="I411" s="21"/>
      <c r="J411" s="18"/>
      <c r="K411" s="18"/>
      <c r="L411" s="22"/>
      <c r="M411" s="18"/>
    </row>
    <row r="412" spans="1:13">
      <c r="A412" s="117" t="s">
        <v>4</v>
      </c>
      <c r="B412" s="117"/>
      <c r="C412" s="117"/>
      <c r="D412" s="117"/>
      <c r="E412" s="117"/>
      <c r="F412" s="117"/>
      <c r="G412" s="117"/>
      <c r="H412" s="117"/>
      <c r="I412" s="118" t="s">
        <v>8</v>
      </c>
      <c r="J412" s="118"/>
      <c r="K412" s="89" t="s">
        <v>70</v>
      </c>
      <c r="L412" s="119"/>
      <c r="M412" s="120"/>
    </row>
    <row r="413" spans="1:13">
      <c r="A413" s="117"/>
      <c r="B413" s="117"/>
      <c r="C413" s="117"/>
      <c r="D413" s="117"/>
      <c r="E413" s="117"/>
      <c r="F413" s="117"/>
      <c r="G413" s="117"/>
      <c r="H413" s="117"/>
      <c r="I413" s="118" t="s">
        <v>25</v>
      </c>
      <c r="J413" s="118"/>
      <c r="K413" s="121" t="s">
        <v>1613</v>
      </c>
      <c r="L413" s="118"/>
      <c r="M413" s="118"/>
    </row>
    <row r="414" spans="1:13">
      <c r="A414" s="117"/>
      <c r="B414" s="117"/>
      <c r="C414" s="117"/>
      <c r="D414" s="117"/>
      <c r="E414" s="117"/>
      <c r="F414" s="117"/>
      <c r="G414" s="117"/>
      <c r="H414" s="117"/>
      <c r="I414" s="87" t="s">
        <v>26</v>
      </c>
      <c r="J414" s="88"/>
      <c r="K414" s="95" t="s">
        <v>1161</v>
      </c>
      <c r="L414" s="104"/>
      <c r="M414" s="88"/>
    </row>
    <row r="415" spans="1:13">
      <c r="A415" s="118" t="s">
        <v>31</v>
      </c>
      <c r="B415" s="118"/>
      <c r="C415" s="118" t="s">
        <v>32</v>
      </c>
      <c r="D415" s="118"/>
      <c r="E415" s="118"/>
      <c r="F415" s="118"/>
      <c r="G415" s="118"/>
      <c r="H415" s="118"/>
      <c r="I415" s="40" t="s">
        <v>29</v>
      </c>
      <c r="J415" s="41"/>
      <c r="K415" s="118" t="s">
        <v>1328</v>
      </c>
      <c r="L415" s="118"/>
      <c r="M415" s="118"/>
    </row>
    <row r="416" spans="1:13">
      <c r="A416" s="118"/>
      <c r="B416" s="118"/>
      <c r="C416" s="118"/>
      <c r="D416" s="118"/>
      <c r="E416" s="118"/>
      <c r="F416" s="118"/>
      <c r="G416" s="118"/>
      <c r="H416" s="118"/>
      <c r="I416" s="118" t="s">
        <v>30</v>
      </c>
      <c r="J416" s="118"/>
      <c r="K416" s="118" t="s">
        <v>1546</v>
      </c>
      <c r="L416" s="118"/>
      <c r="M416" s="118"/>
    </row>
    <row r="417" spans="1:13">
      <c r="A417" s="122" t="s">
        <v>24</v>
      </c>
      <c r="B417" s="122"/>
      <c r="C417" s="122"/>
      <c r="D417" s="42">
        <v>2</v>
      </c>
      <c r="E417" s="117" t="s">
        <v>40</v>
      </c>
      <c r="F417" s="117"/>
      <c r="G417" s="117"/>
      <c r="H417" s="42">
        <v>5</v>
      </c>
      <c r="I417" s="118" t="s">
        <v>27</v>
      </c>
      <c r="J417" s="118"/>
      <c r="K417" s="118" t="s">
        <v>21</v>
      </c>
      <c r="L417" s="118"/>
      <c r="M417" s="118"/>
    </row>
    <row r="418" spans="1:13" ht="45">
      <c r="A418" s="3" t="s">
        <v>9</v>
      </c>
      <c r="B418" s="3" t="s">
        <v>10</v>
      </c>
      <c r="C418" s="3" t="s">
        <v>11</v>
      </c>
      <c r="D418" s="3" t="s">
        <v>3</v>
      </c>
      <c r="E418" s="4" t="s">
        <v>41</v>
      </c>
      <c r="F418" s="4" t="s">
        <v>12</v>
      </c>
      <c r="G418" s="3" t="s">
        <v>13</v>
      </c>
      <c r="H418" s="3" t="s">
        <v>14</v>
      </c>
      <c r="I418" s="3" t="s">
        <v>1103</v>
      </c>
      <c r="J418" s="3" t="s">
        <v>16</v>
      </c>
      <c r="K418" s="3" t="s">
        <v>17</v>
      </c>
      <c r="L418" s="3" t="s">
        <v>18</v>
      </c>
      <c r="M418" s="3" t="s">
        <v>19</v>
      </c>
    </row>
    <row r="419" spans="1:13">
      <c r="A419" s="18">
        <v>1</v>
      </c>
      <c r="B419" s="111" t="s">
        <v>1163</v>
      </c>
      <c r="C419" s="18"/>
      <c r="D419" s="18">
        <v>1</v>
      </c>
      <c r="E419" s="20">
        <v>11500</v>
      </c>
      <c r="F419" s="20">
        <v>1679</v>
      </c>
      <c r="G419" s="18"/>
      <c r="H419" s="18">
        <v>1</v>
      </c>
      <c r="I419" s="21" t="s">
        <v>1543</v>
      </c>
      <c r="J419" s="18">
        <v>1</v>
      </c>
      <c r="K419" s="18">
        <v>4629</v>
      </c>
      <c r="L419" s="22"/>
      <c r="M419" s="18"/>
    </row>
    <row r="420" spans="1:13">
      <c r="A420" s="18"/>
      <c r="B420" s="113"/>
      <c r="C420" s="18"/>
      <c r="D420" s="18"/>
      <c r="E420" s="20"/>
      <c r="F420" s="20"/>
      <c r="G420" s="18"/>
      <c r="H420" s="18">
        <v>1</v>
      </c>
      <c r="I420" s="21" t="s">
        <v>1544</v>
      </c>
      <c r="J420" s="18">
        <v>1</v>
      </c>
      <c r="K420" s="18">
        <v>3779</v>
      </c>
      <c r="L420" s="22"/>
      <c r="M420" s="18"/>
    </row>
    <row r="421" spans="1:13">
      <c r="A421" s="18"/>
      <c r="B421" s="113"/>
      <c r="C421" s="18"/>
      <c r="D421" s="18"/>
      <c r="E421" s="20"/>
      <c r="F421" s="20"/>
      <c r="G421" s="18"/>
      <c r="H421" s="18">
        <v>1</v>
      </c>
      <c r="I421" s="21" t="s">
        <v>1545</v>
      </c>
      <c r="J421" s="18">
        <v>1</v>
      </c>
      <c r="K421" s="18">
        <v>973</v>
      </c>
      <c r="L421" s="22"/>
      <c r="M421" s="18"/>
    </row>
    <row r="422" spans="1:13">
      <c r="A422" s="18"/>
      <c r="B422" s="113"/>
      <c r="C422" s="18"/>
      <c r="D422" s="18"/>
      <c r="E422" s="20"/>
      <c r="F422" s="20"/>
      <c r="G422" s="18"/>
      <c r="H422" s="18">
        <v>1</v>
      </c>
      <c r="I422" s="21" t="s">
        <v>1542</v>
      </c>
      <c r="J422" s="18">
        <v>1</v>
      </c>
      <c r="K422" s="18">
        <v>336</v>
      </c>
      <c r="L422" s="22"/>
      <c r="M422" s="18"/>
    </row>
    <row r="423" spans="1:13">
      <c r="A423" s="18">
        <v>2</v>
      </c>
      <c r="B423" s="112"/>
      <c r="C423" s="18"/>
      <c r="D423" s="18">
        <v>1</v>
      </c>
      <c r="E423" s="20">
        <v>11500</v>
      </c>
      <c r="F423" s="20"/>
      <c r="G423" s="18"/>
      <c r="H423" s="18">
        <v>1</v>
      </c>
      <c r="I423" s="21" t="s">
        <v>1541</v>
      </c>
      <c r="J423" s="18">
        <v>1</v>
      </c>
      <c r="K423" s="18">
        <v>11500</v>
      </c>
      <c r="L423" s="22"/>
      <c r="M423" s="18"/>
    </row>
    <row r="424" spans="1:13">
      <c r="A424" s="18"/>
      <c r="B424" s="24"/>
      <c r="C424" s="18"/>
      <c r="D424" s="18"/>
      <c r="E424" s="20"/>
      <c r="F424" s="20"/>
      <c r="G424" s="18"/>
      <c r="H424" s="18"/>
      <c r="I424" s="21"/>
      <c r="J424" s="18"/>
      <c r="K424" s="18"/>
      <c r="L424" s="22"/>
      <c r="M424" s="18"/>
    </row>
    <row r="425" spans="1:13">
      <c r="A425" s="117" t="s">
        <v>4</v>
      </c>
      <c r="B425" s="117"/>
      <c r="C425" s="117"/>
      <c r="D425" s="117"/>
      <c r="E425" s="117"/>
      <c r="F425" s="117"/>
      <c r="G425" s="117"/>
      <c r="H425" s="117"/>
      <c r="I425" s="118" t="s">
        <v>8</v>
      </c>
      <c r="J425" s="118"/>
      <c r="K425" s="89" t="s">
        <v>70</v>
      </c>
      <c r="L425" s="119"/>
      <c r="M425" s="120"/>
    </row>
    <row r="426" spans="1:13">
      <c r="A426" s="117"/>
      <c r="B426" s="117"/>
      <c r="C426" s="117"/>
      <c r="D426" s="117"/>
      <c r="E426" s="117"/>
      <c r="F426" s="117"/>
      <c r="G426" s="117"/>
      <c r="H426" s="117"/>
      <c r="I426" s="118" t="s">
        <v>25</v>
      </c>
      <c r="J426" s="118"/>
      <c r="K426" s="121" t="s">
        <v>1613</v>
      </c>
      <c r="L426" s="118"/>
      <c r="M426" s="118"/>
    </row>
    <row r="427" spans="1:13">
      <c r="A427" s="117"/>
      <c r="B427" s="117"/>
      <c r="C427" s="117"/>
      <c r="D427" s="117"/>
      <c r="E427" s="117"/>
      <c r="F427" s="117"/>
      <c r="G427" s="117"/>
      <c r="H427" s="117"/>
      <c r="I427" s="87" t="s">
        <v>26</v>
      </c>
      <c r="J427" s="88"/>
      <c r="K427" s="95" t="s">
        <v>67</v>
      </c>
      <c r="L427" s="104"/>
      <c r="M427" s="88"/>
    </row>
    <row r="428" spans="1:13">
      <c r="A428" s="118" t="s">
        <v>31</v>
      </c>
      <c r="B428" s="118"/>
      <c r="C428" s="118" t="s">
        <v>32</v>
      </c>
      <c r="D428" s="118"/>
      <c r="E428" s="118"/>
      <c r="F428" s="118"/>
      <c r="G428" s="118"/>
      <c r="H428" s="118"/>
      <c r="I428" s="40" t="s">
        <v>29</v>
      </c>
      <c r="J428" s="41"/>
      <c r="K428" s="118" t="s">
        <v>1328</v>
      </c>
      <c r="L428" s="118"/>
      <c r="M428" s="118"/>
    </row>
    <row r="429" spans="1:13">
      <c r="A429" s="118"/>
      <c r="B429" s="118"/>
      <c r="C429" s="118"/>
      <c r="D429" s="118"/>
      <c r="E429" s="118"/>
      <c r="F429" s="118"/>
      <c r="G429" s="118"/>
      <c r="H429" s="118"/>
      <c r="I429" s="118" t="s">
        <v>30</v>
      </c>
      <c r="J429" s="118"/>
      <c r="K429" s="118" t="s">
        <v>1540</v>
      </c>
      <c r="L429" s="118"/>
      <c r="M429" s="118"/>
    </row>
    <row r="430" spans="1:13">
      <c r="A430" s="122" t="s">
        <v>24</v>
      </c>
      <c r="B430" s="122"/>
      <c r="C430" s="122"/>
      <c r="D430" s="42">
        <v>1</v>
      </c>
      <c r="E430" s="117" t="s">
        <v>40</v>
      </c>
      <c r="F430" s="117"/>
      <c r="G430" s="117"/>
      <c r="H430" s="42">
        <v>8</v>
      </c>
      <c r="I430" s="118" t="s">
        <v>27</v>
      </c>
      <c r="J430" s="118"/>
      <c r="K430" s="118" t="s">
        <v>21</v>
      </c>
      <c r="L430" s="118"/>
      <c r="M430" s="118"/>
    </row>
    <row r="431" spans="1:13" ht="45">
      <c r="A431" s="3" t="s">
        <v>9</v>
      </c>
      <c r="B431" s="3" t="s">
        <v>10</v>
      </c>
      <c r="C431" s="3" t="s">
        <v>11</v>
      </c>
      <c r="D431" s="3" t="s">
        <v>3</v>
      </c>
      <c r="E431" s="4" t="s">
        <v>41</v>
      </c>
      <c r="F431" s="4" t="s">
        <v>12</v>
      </c>
      <c r="G431" s="3" t="s">
        <v>13</v>
      </c>
      <c r="H431" s="3" t="s">
        <v>14</v>
      </c>
      <c r="I431" s="3" t="s">
        <v>1103</v>
      </c>
      <c r="J431" s="3" t="s">
        <v>16</v>
      </c>
      <c r="K431" s="3" t="s">
        <v>17</v>
      </c>
      <c r="L431" s="3" t="s">
        <v>18</v>
      </c>
      <c r="M431" s="3" t="s">
        <v>19</v>
      </c>
    </row>
    <row r="432" spans="1:13">
      <c r="A432" s="18">
        <v>1</v>
      </c>
      <c r="B432" s="111" t="s">
        <v>1382</v>
      </c>
      <c r="C432" s="18"/>
      <c r="D432" s="18">
        <v>1</v>
      </c>
      <c r="E432" s="20">
        <v>11500</v>
      </c>
      <c r="F432" s="20">
        <v>1870</v>
      </c>
      <c r="G432" s="18"/>
      <c r="H432" s="18">
        <v>1</v>
      </c>
      <c r="I432" s="21" t="s">
        <v>1532</v>
      </c>
      <c r="J432" s="18">
        <v>1</v>
      </c>
      <c r="K432" s="18">
        <v>2493</v>
      </c>
      <c r="L432" s="22"/>
      <c r="M432" s="18"/>
    </row>
    <row r="433" spans="1:13">
      <c r="A433" s="18"/>
      <c r="B433" s="113"/>
      <c r="C433" s="18"/>
      <c r="D433" s="18"/>
      <c r="E433" s="20"/>
      <c r="F433" s="20"/>
      <c r="G433" s="18"/>
      <c r="H433" s="18">
        <v>1</v>
      </c>
      <c r="I433" s="21" t="s">
        <v>1534</v>
      </c>
      <c r="J433" s="18">
        <v>1</v>
      </c>
      <c r="K433" s="18">
        <v>2493</v>
      </c>
      <c r="L433" s="22"/>
      <c r="M433" s="18"/>
    </row>
    <row r="434" spans="1:13">
      <c r="A434" s="18"/>
      <c r="B434" s="113"/>
      <c r="C434" s="18"/>
      <c r="D434" s="18"/>
      <c r="E434" s="20"/>
      <c r="F434" s="20"/>
      <c r="G434" s="18"/>
      <c r="H434" s="18">
        <v>1</v>
      </c>
      <c r="I434" s="21" t="s">
        <v>1536</v>
      </c>
      <c r="J434" s="18">
        <v>1</v>
      </c>
      <c r="K434" s="18">
        <v>2493</v>
      </c>
      <c r="L434" s="22"/>
      <c r="M434" s="18"/>
    </row>
    <row r="435" spans="1:13">
      <c r="A435" s="18"/>
      <c r="B435" s="113"/>
      <c r="C435" s="18"/>
      <c r="D435" s="18"/>
      <c r="E435" s="20"/>
      <c r="F435" s="20"/>
      <c r="G435" s="18"/>
      <c r="H435" s="18">
        <v>1</v>
      </c>
      <c r="I435" s="21" t="s">
        <v>1538</v>
      </c>
      <c r="J435" s="18">
        <v>1</v>
      </c>
      <c r="K435" s="18">
        <v>683</v>
      </c>
      <c r="L435" s="22"/>
      <c r="M435" s="18"/>
    </row>
    <row r="436" spans="1:13">
      <c r="A436" s="18"/>
      <c r="B436" s="113"/>
      <c r="C436" s="18"/>
      <c r="D436" s="18"/>
      <c r="E436" s="20"/>
      <c r="F436" s="20"/>
      <c r="G436" s="18"/>
      <c r="H436" s="18">
        <v>1</v>
      </c>
      <c r="I436" s="21" t="s">
        <v>1533</v>
      </c>
      <c r="J436" s="18">
        <v>1</v>
      </c>
      <c r="K436" s="18">
        <v>315</v>
      </c>
      <c r="L436" s="22"/>
      <c r="M436" s="18"/>
    </row>
    <row r="437" spans="1:13">
      <c r="A437" s="18"/>
      <c r="B437" s="113"/>
      <c r="C437" s="18"/>
      <c r="D437" s="18"/>
      <c r="E437" s="20"/>
      <c r="F437" s="20"/>
      <c r="G437" s="18"/>
      <c r="H437" s="18">
        <v>1</v>
      </c>
      <c r="I437" s="21" t="s">
        <v>1535</v>
      </c>
      <c r="J437" s="18">
        <v>1</v>
      </c>
      <c r="K437" s="18">
        <v>315</v>
      </c>
      <c r="L437" s="22"/>
      <c r="M437" s="18"/>
    </row>
    <row r="438" spans="1:13">
      <c r="A438" s="18"/>
      <c r="B438" s="113"/>
      <c r="C438" s="18"/>
      <c r="D438" s="18"/>
      <c r="E438" s="20"/>
      <c r="F438" s="20"/>
      <c r="G438" s="18"/>
      <c r="H438" s="18">
        <v>1</v>
      </c>
      <c r="I438" s="21" t="s">
        <v>1537</v>
      </c>
      <c r="J438" s="18">
        <v>1</v>
      </c>
      <c r="K438" s="18">
        <v>315</v>
      </c>
      <c r="L438" s="22"/>
      <c r="M438" s="18"/>
    </row>
    <row r="439" spans="1:13">
      <c r="A439" s="18"/>
      <c r="B439" s="112"/>
      <c r="C439" s="18"/>
      <c r="D439" s="18"/>
      <c r="E439" s="20"/>
      <c r="F439" s="20"/>
      <c r="G439" s="18"/>
      <c r="H439" s="18">
        <v>1</v>
      </c>
      <c r="I439" s="21" t="s">
        <v>1539</v>
      </c>
      <c r="J439" s="18">
        <v>1</v>
      </c>
      <c r="K439" s="18">
        <v>315</v>
      </c>
      <c r="L439" s="22"/>
      <c r="M439" s="18"/>
    </row>
    <row r="440" spans="1:13">
      <c r="A440" s="18"/>
      <c r="B440" s="18"/>
      <c r="C440" s="18"/>
      <c r="D440" s="18"/>
      <c r="E440" s="20"/>
      <c r="F440" s="20"/>
      <c r="G440" s="18"/>
      <c r="H440" s="18"/>
      <c r="I440" s="21"/>
      <c r="J440" s="18"/>
      <c r="K440" s="18"/>
      <c r="L440" s="22"/>
      <c r="M440" s="18"/>
    </row>
    <row r="441" spans="1:13">
      <c r="A441" s="117" t="s">
        <v>4</v>
      </c>
      <c r="B441" s="117"/>
      <c r="C441" s="117"/>
      <c r="D441" s="117"/>
      <c r="E441" s="117"/>
      <c r="F441" s="117"/>
      <c r="G441" s="117"/>
      <c r="H441" s="117"/>
      <c r="I441" s="118" t="s">
        <v>8</v>
      </c>
      <c r="J441" s="118"/>
      <c r="K441" s="89" t="s">
        <v>70</v>
      </c>
      <c r="L441" s="119"/>
      <c r="M441" s="120"/>
    </row>
    <row r="442" spans="1:13">
      <c r="A442" s="117"/>
      <c r="B442" s="117"/>
      <c r="C442" s="117"/>
      <c r="D442" s="117"/>
      <c r="E442" s="117"/>
      <c r="F442" s="117"/>
      <c r="G442" s="117"/>
      <c r="H442" s="117"/>
      <c r="I442" s="118" t="s">
        <v>25</v>
      </c>
      <c r="J442" s="118"/>
      <c r="K442" s="121" t="s">
        <v>1613</v>
      </c>
      <c r="L442" s="118"/>
      <c r="M442" s="118"/>
    </row>
    <row r="443" spans="1:13">
      <c r="A443" s="117"/>
      <c r="B443" s="117"/>
      <c r="C443" s="117"/>
      <c r="D443" s="117"/>
      <c r="E443" s="117"/>
      <c r="F443" s="117"/>
      <c r="G443" s="117"/>
      <c r="H443" s="117"/>
      <c r="I443" s="87" t="s">
        <v>26</v>
      </c>
      <c r="J443" s="88"/>
      <c r="K443" s="95" t="s">
        <v>47</v>
      </c>
      <c r="L443" s="104"/>
      <c r="M443" s="88"/>
    </row>
    <row r="444" spans="1:13">
      <c r="A444" s="118" t="s">
        <v>31</v>
      </c>
      <c r="B444" s="118"/>
      <c r="C444" s="118" t="s">
        <v>32</v>
      </c>
      <c r="D444" s="118"/>
      <c r="E444" s="118"/>
      <c r="F444" s="118"/>
      <c r="G444" s="118"/>
      <c r="H444" s="118"/>
      <c r="I444" s="40" t="s">
        <v>29</v>
      </c>
      <c r="J444" s="41"/>
      <c r="K444" s="118" t="s">
        <v>1328</v>
      </c>
      <c r="L444" s="118"/>
      <c r="M444" s="118"/>
    </row>
    <row r="445" spans="1:13">
      <c r="A445" s="118"/>
      <c r="B445" s="118"/>
      <c r="C445" s="118"/>
      <c r="D445" s="118"/>
      <c r="E445" s="118"/>
      <c r="F445" s="118"/>
      <c r="G445" s="118"/>
      <c r="H445" s="118"/>
      <c r="I445" s="118" t="s">
        <v>30</v>
      </c>
      <c r="J445" s="118"/>
      <c r="K445" s="118" t="s">
        <v>1531</v>
      </c>
      <c r="L445" s="118"/>
      <c r="M445" s="118"/>
    </row>
    <row r="446" spans="1:13">
      <c r="A446" s="122" t="s">
        <v>24</v>
      </c>
      <c r="B446" s="122"/>
      <c r="C446" s="122"/>
      <c r="D446" s="42">
        <v>4</v>
      </c>
      <c r="E446" s="117" t="s">
        <v>40</v>
      </c>
      <c r="F446" s="117"/>
      <c r="G446" s="117"/>
      <c r="H446" s="42">
        <v>23</v>
      </c>
      <c r="I446" s="118" t="s">
        <v>27</v>
      </c>
      <c r="J446" s="118"/>
      <c r="K446" s="118" t="s">
        <v>21</v>
      </c>
      <c r="L446" s="118"/>
      <c r="M446" s="118"/>
    </row>
    <row r="447" spans="1:13" ht="45">
      <c r="A447" s="3" t="s">
        <v>9</v>
      </c>
      <c r="B447" s="3" t="s">
        <v>10</v>
      </c>
      <c r="C447" s="3" t="s">
        <v>11</v>
      </c>
      <c r="D447" s="3" t="s">
        <v>3</v>
      </c>
      <c r="E447" s="4" t="s">
        <v>41</v>
      </c>
      <c r="F447" s="4" t="s">
        <v>12</v>
      </c>
      <c r="G447" s="3" t="s">
        <v>13</v>
      </c>
      <c r="H447" s="3" t="s">
        <v>14</v>
      </c>
      <c r="I447" s="3" t="s">
        <v>1103</v>
      </c>
      <c r="J447" s="3" t="s">
        <v>16</v>
      </c>
      <c r="K447" s="3" t="s">
        <v>17</v>
      </c>
      <c r="L447" s="3" t="s">
        <v>18</v>
      </c>
      <c r="M447" s="3" t="s">
        <v>19</v>
      </c>
    </row>
    <row r="448" spans="1:13">
      <c r="A448" s="18">
        <v>1</v>
      </c>
      <c r="B448" s="111" t="s">
        <v>1372</v>
      </c>
      <c r="C448" s="18"/>
      <c r="D448" s="18">
        <v>1</v>
      </c>
      <c r="E448" s="20">
        <v>11500</v>
      </c>
      <c r="F448" s="20">
        <v>6978</v>
      </c>
      <c r="G448" s="18"/>
      <c r="H448" s="18">
        <v>1</v>
      </c>
      <c r="I448" s="21" t="s">
        <v>1522</v>
      </c>
      <c r="J448" s="18">
        <v>1</v>
      </c>
      <c r="K448" s="18">
        <v>806</v>
      </c>
      <c r="L448" s="22"/>
      <c r="M448" s="18"/>
    </row>
    <row r="449" spans="1:13">
      <c r="A449" s="18"/>
      <c r="B449" s="113"/>
      <c r="C449" s="18"/>
      <c r="D449" s="18"/>
      <c r="E449" s="20"/>
      <c r="F449" s="20"/>
      <c r="G449" s="18"/>
      <c r="H449" s="18">
        <v>1</v>
      </c>
      <c r="I449" s="21" t="s">
        <v>1527</v>
      </c>
      <c r="J449" s="18">
        <v>1</v>
      </c>
      <c r="K449" s="18">
        <v>523</v>
      </c>
      <c r="L449" s="22"/>
      <c r="M449" s="18"/>
    </row>
    <row r="450" spans="1:13">
      <c r="A450" s="18"/>
      <c r="B450" s="113"/>
      <c r="C450" s="18"/>
      <c r="D450" s="18"/>
      <c r="E450" s="20"/>
      <c r="F450" s="20"/>
      <c r="G450" s="18"/>
      <c r="H450" s="18">
        <v>1</v>
      </c>
      <c r="I450" s="21" t="s">
        <v>1508</v>
      </c>
      <c r="J450" s="18">
        <v>1</v>
      </c>
      <c r="K450" s="18">
        <v>501</v>
      </c>
      <c r="L450" s="22"/>
      <c r="M450" s="18"/>
    </row>
    <row r="451" spans="1:13">
      <c r="A451" s="18"/>
      <c r="B451" s="113"/>
      <c r="C451" s="18"/>
      <c r="D451" s="18"/>
      <c r="E451" s="20"/>
      <c r="F451" s="20"/>
      <c r="G451" s="18"/>
      <c r="H451" s="18">
        <v>1</v>
      </c>
      <c r="I451" s="21" t="s">
        <v>1511</v>
      </c>
      <c r="J451" s="18">
        <v>1</v>
      </c>
      <c r="K451" s="18">
        <v>501</v>
      </c>
      <c r="L451" s="22"/>
      <c r="M451" s="18"/>
    </row>
    <row r="452" spans="1:13">
      <c r="A452" s="18"/>
      <c r="B452" s="113"/>
      <c r="C452" s="18"/>
      <c r="D452" s="18"/>
      <c r="E452" s="20"/>
      <c r="F452" s="20"/>
      <c r="G452" s="18"/>
      <c r="H452" s="18">
        <v>1</v>
      </c>
      <c r="I452" s="21" t="s">
        <v>1514</v>
      </c>
      <c r="J452" s="18">
        <v>1</v>
      </c>
      <c r="K452" s="18">
        <v>501</v>
      </c>
      <c r="L452" s="22"/>
      <c r="M452" s="18"/>
    </row>
    <row r="453" spans="1:13">
      <c r="A453" s="18"/>
      <c r="B453" s="113"/>
      <c r="C453" s="18"/>
      <c r="D453" s="18"/>
      <c r="E453" s="20"/>
      <c r="F453" s="20"/>
      <c r="G453" s="18"/>
      <c r="H453" s="18">
        <v>1</v>
      </c>
      <c r="I453" s="21" t="s">
        <v>1517</v>
      </c>
      <c r="J453" s="18">
        <v>1</v>
      </c>
      <c r="K453" s="18">
        <v>501</v>
      </c>
      <c r="L453" s="22"/>
      <c r="M453" s="18"/>
    </row>
    <row r="454" spans="1:13">
      <c r="A454" s="18"/>
      <c r="B454" s="113"/>
      <c r="C454" s="18"/>
      <c r="D454" s="18"/>
      <c r="E454" s="20"/>
      <c r="F454" s="20"/>
      <c r="G454" s="18"/>
      <c r="H454" s="18">
        <v>1</v>
      </c>
      <c r="I454" s="21" t="s">
        <v>1525</v>
      </c>
      <c r="J454" s="18">
        <v>1</v>
      </c>
      <c r="K454" s="18">
        <v>298</v>
      </c>
      <c r="L454" s="22"/>
      <c r="M454" s="18"/>
    </row>
    <row r="455" spans="1:13">
      <c r="A455" s="18"/>
      <c r="B455" s="113"/>
      <c r="C455" s="18"/>
      <c r="D455" s="18"/>
      <c r="E455" s="20"/>
      <c r="F455" s="20"/>
      <c r="G455" s="18"/>
      <c r="H455" s="18">
        <v>1</v>
      </c>
      <c r="I455" s="21" t="s">
        <v>1523</v>
      </c>
      <c r="J455" s="18">
        <v>1</v>
      </c>
      <c r="K455" s="18">
        <v>298</v>
      </c>
      <c r="L455" s="22"/>
      <c r="M455" s="18"/>
    </row>
    <row r="456" spans="1:13">
      <c r="A456" s="18"/>
      <c r="B456" s="113"/>
      <c r="C456" s="18"/>
      <c r="D456" s="18"/>
      <c r="E456" s="20"/>
      <c r="F456" s="20"/>
      <c r="G456" s="18"/>
      <c r="H456" s="18">
        <v>1</v>
      </c>
      <c r="I456" s="21" t="s">
        <v>1519</v>
      </c>
      <c r="J456" s="18">
        <v>1</v>
      </c>
      <c r="K456" s="18">
        <v>218</v>
      </c>
      <c r="L456" s="22"/>
      <c r="M456" s="18"/>
    </row>
    <row r="457" spans="1:13">
      <c r="A457" s="18"/>
      <c r="B457" s="113"/>
      <c r="C457" s="18"/>
      <c r="D457" s="18"/>
      <c r="E457" s="20"/>
      <c r="F457" s="20"/>
      <c r="G457" s="18"/>
      <c r="H457" s="18">
        <v>1</v>
      </c>
      <c r="I457" s="21" t="s">
        <v>1521</v>
      </c>
      <c r="J457" s="18">
        <v>1</v>
      </c>
      <c r="K457" s="18">
        <v>115</v>
      </c>
      <c r="L457" s="22"/>
      <c r="M457" s="18"/>
    </row>
    <row r="458" spans="1:13">
      <c r="A458" s="18">
        <v>2</v>
      </c>
      <c r="B458" s="113"/>
      <c r="C458" s="18"/>
      <c r="D458" s="18">
        <v>1</v>
      </c>
      <c r="E458" s="20">
        <v>11500</v>
      </c>
      <c r="F458" s="20">
        <v>72</v>
      </c>
      <c r="G458" s="18"/>
      <c r="H458" s="18">
        <v>1</v>
      </c>
      <c r="I458" s="21" t="s">
        <v>1526</v>
      </c>
      <c r="J458" s="18">
        <v>1</v>
      </c>
      <c r="K458" s="18">
        <v>3138</v>
      </c>
      <c r="L458" s="22"/>
      <c r="M458" s="18"/>
    </row>
    <row r="459" spans="1:13">
      <c r="A459" s="18"/>
      <c r="B459" s="113"/>
      <c r="C459" s="18"/>
      <c r="D459" s="18"/>
      <c r="E459" s="20"/>
      <c r="F459" s="20"/>
      <c r="G459" s="18"/>
      <c r="H459" s="18">
        <v>1</v>
      </c>
      <c r="I459" s="21" t="s">
        <v>1520</v>
      </c>
      <c r="J459" s="18">
        <v>1</v>
      </c>
      <c r="K459" s="18">
        <v>1515</v>
      </c>
      <c r="L459" s="22"/>
      <c r="M459" s="18"/>
    </row>
    <row r="460" spans="1:13">
      <c r="A460" s="18"/>
      <c r="B460" s="113"/>
      <c r="C460" s="18"/>
      <c r="D460" s="18"/>
      <c r="E460" s="20"/>
      <c r="F460" s="20"/>
      <c r="G460" s="18"/>
      <c r="H460" s="18">
        <v>1</v>
      </c>
      <c r="I460" s="21" t="s">
        <v>1528</v>
      </c>
      <c r="J460" s="18">
        <v>1</v>
      </c>
      <c r="K460" s="18">
        <v>1238</v>
      </c>
      <c r="L460" s="22"/>
      <c r="M460" s="18"/>
    </row>
    <row r="461" spans="1:13">
      <c r="A461" s="18"/>
      <c r="B461" s="113"/>
      <c r="C461" s="18"/>
      <c r="D461" s="18"/>
      <c r="E461" s="20"/>
      <c r="F461" s="20"/>
      <c r="G461" s="18"/>
      <c r="H461" s="18">
        <v>1</v>
      </c>
      <c r="I461" s="21" t="s">
        <v>1509</v>
      </c>
      <c r="J461" s="18">
        <v>1</v>
      </c>
      <c r="K461" s="18">
        <v>1038</v>
      </c>
      <c r="L461" s="22"/>
      <c r="M461" s="18"/>
    </row>
    <row r="462" spans="1:13">
      <c r="A462" s="18"/>
      <c r="B462" s="113"/>
      <c r="C462" s="18"/>
      <c r="D462" s="18"/>
      <c r="E462" s="20"/>
      <c r="F462" s="20"/>
      <c r="G462" s="18"/>
      <c r="H462" s="18">
        <v>1</v>
      </c>
      <c r="I462" s="21" t="s">
        <v>1512</v>
      </c>
      <c r="J462" s="18">
        <v>1</v>
      </c>
      <c r="K462" s="18">
        <v>1038</v>
      </c>
      <c r="L462" s="22"/>
      <c r="M462" s="18"/>
    </row>
    <row r="463" spans="1:13">
      <c r="A463" s="5"/>
      <c r="B463" s="113"/>
      <c r="C463" s="5"/>
      <c r="D463" s="5"/>
      <c r="E463" s="6"/>
      <c r="F463" s="6"/>
      <c r="G463" s="5"/>
      <c r="H463" s="5">
        <v>1</v>
      </c>
      <c r="I463" s="7" t="s">
        <v>1515</v>
      </c>
      <c r="J463" s="5">
        <v>1</v>
      </c>
      <c r="K463" s="5">
        <v>1038</v>
      </c>
      <c r="L463" s="8"/>
      <c r="M463" s="5"/>
    </row>
    <row r="464" spans="1:13">
      <c r="A464" s="5"/>
      <c r="B464" s="113"/>
      <c r="C464" s="5"/>
      <c r="D464" s="5"/>
      <c r="E464" s="6"/>
      <c r="F464" s="6"/>
      <c r="G464" s="5"/>
      <c r="H464" s="5">
        <v>1</v>
      </c>
      <c r="I464" s="7" t="s">
        <v>1518</v>
      </c>
      <c r="J464" s="5">
        <v>1</v>
      </c>
      <c r="K464" s="5">
        <v>1038</v>
      </c>
      <c r="L464" s="8"/>
      <c r="M464" s="18"/>
    </row>
    <row r="465" spans="1:13">
      <c r="A465" s="5"/>
      <c r="B465" s="113"/>
      <c r="C465" s="5"/>
      <c r="D465" s="5"/>
      <c r="E465" s="6"/>
      <c r="F465" s="6"/>
      <c r="G465" s="5"/>
      <c r="H465" s="5">
        <v>1</v>
      </c>
      <c r="I465" s="7" t="s">
        <v>1524</v>
      </c>
      <c r="J465" s="5">
        <v>1</v>
      </c>
      <c r="K465" s="5">
        <v>933</v>
      </c>
      <c r="L465" s="8"/>
      <c r="M465" s="5"/>
    </row>
    <row r="466" spans="1:13">
      <c r="A466" s="5"/>
      <c r="B466" s="113"/>
      <c r="C466" s="5"/>
      <c r="D466" s="5"/>
      <c r="E466" s="6"/>
      <c r="F466" s="6"/>
      <c r="G466" s="5"/>
      <c r="H466" s="5">
        <v>1</v>
      </c>
      <c r="I466" s="7" t="s">
        <v>1516</v>
      </c>
      <c r="J466" s="5">
        <v>1</v>
      </c>
      <c r="K466" s="5">
        <v>218</v>
      </c>
      <c r="L466" s="8"/>
      <c r="M466" s="5"/>
    </row>
    <row r="467" spans="1:13">
      <c r="A467" s="5">
        <v>3</v>
      </c>
      <c r="B467" s="113"/>
      <c r="C467" s="5"/>
      <c r="D467" s="5">
        <v>1</v>
      </c>
      <c r="E467" s="6">
        <v>11500</v>
      </c>
      <c r="F467" s="6"/>
      <c r="G467" s="5"/>
      <c r="H467" s="5">
        <v>1</v>
      </c>
      <c r="I467" s="7" t="s">
        <v>1530</v>
      </c>
      <c r="J467" s="5">
        <v>1</v>
      </c>
      <c r="K467" s="5">
        <v>11500</v>
      </c>
      <c r="L467" s="8"/>
      <c r="M467" s="5"/>
    </row>
    <row r="468" spans="1:13">
      <c r="A468" s="5">
        <v>4</v>
      </c>
      <c r="B468" s="113"/>
      <c r="C468" s="5"/>
      <c r="D468" s="5">
        <v>1</v>
      </c>
      <c r="E468" s="6">
        <v>11500</v>
      </c>
      <c r="F468" s="6"/>
      <c r="G468" s="5"/>
      <c r="H468" s="5">
        <v>1</v>
      </c>
      <c r="I468" s="7" t="s">
        <v>1529</v>
      </c>
      <c r="J468" s="5">
        <v>1</v>
      </c>
      <c r="K468" s="5">
        <v>11500</v>
      </c>
      <c r="L468" s="8"/>
      <c r="M468" s="5"/>
    </row>
    <row r="469" spans="1:13">
      <c r="A469" s="18">
        <v>5</v>
      </c>
      <c r="B469" s="113"/>
      <c r="C469" s="18"/>
      <c r="D469" s="18">
        <v>1</v>
      </c>
      <c r="E469" s="20">
        <v>225</v>
      </c>
      <c r="F469" s="20"/>
      <c r="G469" s="18"/>
      <c r="H469" s="18">
        <v>1</v>
      </c>
      <c r="I469" s="21" t="s">
        <v>1513</v>
      </c>
      <c r="J469" s="18">
        <v>1</v>
      </c>
      <c r="K469" s="18">
        <v>218</v>
      </c>
      <c r="L469" s="136" t="s">
        <v>873</v>
      </c>
      <c r="M469" s="137"/>
    </row>
    <row r="470" spans="1:13">
      <c r="A470" s="18">
        <v>6</v>
      </c>
      <c r="B470" s="112"/>
      <c r="C470" s="18"/>
      <c r="D470" s="18">
        <v>1</v>
      </c>
      <c r="E470" s="20">
        <v>270</v>
      </c>
      <c r="F470" s="20"/>
      <c r="G470" s="18"/>
      <c r="H470" s="18">
        <v>1</v>
      </c>
      <c r="I470" s="21" t="s">
        <v>1510</v>
      </c>
      <c r="J470" s="18">
        <v>1</v>
      </c>
      <c r="K470" s="18">
        <v>218</v>
      </c>
      <c r="L470" s="138"/>
      <c r="M470" s="139"/>
    </row>
    <row r="471" spans="1:13">
      <c r="A471" s="18"/>
      <c r="B471" s="18"/>
      <c r="C471" s="18"/>
      <c r="D471" s="18"/>
      <c r="E471" s="20"/>
      <c r="F471" s="20"/>
      <c r="G471" s="18"/>
      <c r="H471" s="18"/>
      <c r="I471" s="21"/>
      <c r="J471" s="18"/>
      <c r="K471" s="18"/>
      <c r="L471" s="22"/>
      <c r="M471" s="18"/>
    </row>
    <row r="472" spans="1:13">
      <c r="A472" s="117" t="s">
        <v>4</v>
      </c>
      <c r="B472" s="117"/>
      <c r="C472" s="117"/>
      <c r="D472" s="117"/>
      <c r="E472" s="117"/>
      <c r="F472" s="117"/>
      <c r="G472" s="117"/>
      <c r="H472" s="117"/>
      <c r="I472" s="118" t="s">
        <v>8</v>
      </c>
      <c r="J472" s="118"/>
      <c r="K472" s="89" t="s">
        <v>70</v>
      </c>
      <c r="L472" s="119"/>
      <c r="M472" s="120"/>
    </row>
    <row r="473" spans="1:13">
      <c r="A473" s="117"/>
      <c r="B473" s="117"/>
      <c r="C473" s="117"/>
      <c r="D473" s="117"/>
      <c r="E473" s="117"/>
      <c r="F473" s="117"/>
      <c r="G473" s="117"/>
      <c r="H473" s="117"/>
      <c r="I473" s="118" t="s">
        <v>25</v>
      </c>
      <c r="J473" s="118"/>
      <c r="K473" s="121" t="s">
        <v>1613</v>
      </c>
      <c r="L473" s="118"/>
      <c r="M473" s="118"/>
    </row>
    <row r="474" spans="1:13">
      <c r="A474" s="117"/>
      <c r="B474" s="117"/>
      <c r="C474" s="117"/>
      <c r="D474" s="117"/>
      <c r="E474" s="117"/>
      <c r="F474" s="117"/>
      <c r="G474" s="117"/>
      <c r="H474" s="117"/>
      <c r="I474" s="87" t="s">
        <v>26</v>
      </c>
      <c r="J474" s="88"/>
      <c r="K474" s="95" t="s">
        <v>43</v>
      </c>
      <c r="L474" s="104"/>
      <c r="M474" s="88"/>
    </row>
    <row r="475" spans="1:13">
      <c r="A475" s="118" t="s">
        <v>31</v>
      </c>
      <c r="B475" s="118"/>
      <c r="C475" s="118" t="s">
        <v>32</v>
      </c>
      <c r="D475" s="118"/>
      <c r="E475" s="118"/>
      <c r="F475" s="118"/>
      <c r="G475" s="118"/>
      <c r="H475" s="118"/>
      <c r="I475" s="40" t="s">
        <v>29</v>
      </c>
      <c r="J475" s="41"/>
      <c r="K475" s="118" t="s">
        <v>1328</v>
      </c>
      <c r="L475" s="118"/>
      <c r="M475" s="118"/>
    </row>
    <row r="476" spans="1:13">
      <c r="A476" s="118"/>
      <c r="B476" s="118"/>
      <c r="C476" s="118"/>
      <c r="D476" s="118"/>
      <c r="E476" s="118"/>
      <c r="F476" s="118"/>
      <c r="G476" s="118"/>
      <c r="H476" s="118"/>
      <c r="I476" s="118" t="s">
        <v>30</v>
      </c>
      <c r="J476" s="118"/>
      <c r="K476" s="118" t="s">
        <v>1478</v>
      </c>
      <c r="L476" s="118"/>
      <c r="M476" s="118"/>
    </row>
    <row r="477" spans="1:13">
      <c r="A477" s="122" t="s">
        <v>24</v>
      </c>
      <c r="B477" s="122"/>
      <c r="C477" s="122"/>
      <c r="D477" s="42">
        <v>9</v>
      </c>
      <c r="E477" s="117" t="s">
        <v>40</v>
      </c>
      <c r="F477" s="117"/>
      <c r="G477" s="117"/>
      <c r="H477" s="42">
        <v>30</v>
      </c>
      <c r="I477" s="118" t="s">
        <v>27</v>
      </c>
      <c r="J477" s="118"/>
      <c r="K477" s="118" t="s">
        <v>21</v>
      </c>
      <c r="L477" s="118"/>
      <c r="M477" s="118"/>
    </row>
    <row r="478" spans="1:13" ht="45">
      <c r="A478" s="3" t="s">
        <v>9</v>
      </c>
      <c r="B478" s="3" t="s">
        <v>10</v>
      </c>
      <c r="C478" s="3" t="s">
        <v>11</v>
      </c>
      <c r="D478" s="3" t="s">
        <v>3</v>
      </c>
      <c r="E478" s="4" t="s">
        <v>41</v>
      </c>
      <c r="F478" s="4" t="s">
        <v>12</v>
      </c>
      <c r="G478" s="3" t="s">
        <v>13</v>
      </c>
      <c r="H478" s="3" t="s">
        <v>14</v>
      </c>
      <c r="I478" s="3" t="s">
        <v>1103</v>
      </c>
      <c r="J478" s="3" t="s">
        <v>16</v>
      </c>
      <c r="K478" s="3" t="s">
        <v>17</v>
      </c>
      <c r="L478" s="3" t="s">
        <v>18</v>
      </c>
      <c r="M478" s="3" t="s">
        <v>19</v>
      </c>
    </row>
    <row r="479" spans="1:13">
      <c r="A479" s="18">
        <v>1</v>
      </c>
      <c r="B479" s="111" t="s">
        <v>1154</v>
      </c>
      <c r="C479" s="18"/>
      <c r="D479" s="18">
        <v>1</v>
      </c>
      <c r="E479" s="20">
        <v>11500</v>
      </c>
      <c r="F479" s="20">
        <v>13</v>
      </c>
      <c r="G479" s="18"/>
      <c r="H479" s="18">
        <v>1</v>
      </c>
      <c r="I479" s="21" t="s">
        <v>1499</v>
      </c>
      <c r="J479" s="18">
        <v>1</v>
      </c>
      <c r="K479" s="18">
        <v>6755</v>
      </c>
      <c r="L479" s="22"/>
      <c r="M479" s="18"/>
    </row>
    <row r="480" spans="1:13">
      <c r="A480" s="18"/>
      <c r="B480" s="113"/>
      <c r="C480" s="18"/>
      <c r="D480" s="18"/>
      <c r="E480" s="20"/>
      <c r="F480" s="20"/>
      <c r="G480" s="18"/>
      <c r="H480" s="18">
        <v>1</v>
      </c>
      <c r="I480" s="21" t="s">
        <v>1486</v>
      </c>
      <c r="J480" s="18">
        <v>1</v>
      </c>
      <c r="K480" s="18">
        <v>4277</v>
      </c>
      <c r="L480" s="22"/>
      <c r="M480" s="18"/>
    </row>
    <row r="481" spans="1:13">
      <c r="A481" s="18"/>
      <c r="B481" s="113"/>
      <c r="C481" s="18"/>
      <c r="D481" s="18"/>
      <c r="E481" s="20"/>
      <c r="F481" s="20"/>
      <c r="G481" s="18"/>
      <c r="H481" s="18">
        <v>1</v>
      </c>
      <c r="I481" s="21" t="s">
        <v>1495</v>
      </c>
      <c r="J481" s="18">
        <v>1</v>
      </c>
      <c r="K481" s="18">
        <v>377</v>
      </c>
      <c r="L481" s="22"/>
      <c r="M481" s="18"/>
    </row>
    <row r="482" spans="1:13">
      <c r="A482" s="18">
        <v>2</v>
      </c>
      <c r="B482" s="113"/>
      <c r="C482" s="18"/>
      <c r="D482" s="18">
        <v>1</v>
      </c>
      <c r="E482" s="20">
        <v>11500</v>
      </c>
      <c r="F482" s="20">
        <v>5842</v>
      </c>
      <c r="G482" s="18"/>
      <c r="H482" s="18">
        <v>1</v>
      </c>
      <c r="I482" s="21" t="s">
        <v>1482</v>
      </c>
      <c r="J482" s="18">
        <v>1</v>
      </c>
      <c r="K482" s="18">
        <v>3266</v>
      </c>
      <c r="L482" s="22"/>
      <c r="M482" s="18"/>
    </row>
    <row r="483" spans="1:13">
      <c r="A483" s="18"/>
      <c r="B483" s="113"/>
      <c r="C483" s="18"/>
      <c r="D483" s="18"/>
      <c r="E483" s="20"/>
      <c r="F483" s="20"/>
      <c r="G483" s="18"/>
      <c r="H483" s="18">
        <v>1</v>
      </c>
      <c r="I483" s="21" t="s">
        <v>1484</v>
      </c>
      <c r="J483" s="18">
        <v>1</v>
      </c>
      <c r="K483" s="18">
        <v>691</v>
      </c>
      <c r="L483" s="22"/>
      <c r="M483" s="18"/>
    </row>
    <row r="484" spans="1:13">
      <c r="A484" s="18"/>
      <c r="B484" s="113"/>
      <c r="C484" s="18"/>
      <c r="D484" s="18"/>
      <c r="E484" s="20"/>
      <c r="F484" s="20"/>
      <c r="G484" s="18"/>
      <c r="H484" s="18">
        <v>1</v>
      </c>
      <c r="I484" s="21" t="s">
        <v>1487</v>
      </c>
      <c r="J484" s="18">
        <v>1</v>
      </c>
      <c r="K484" s="18">
        <v>327</v>
      </c>
      <c r="L484" s="22"/>
      <c r="M484" s="18"/>
    </row>
    <row r="485" spans="1:13">
      <c r="A485" s="18"/>
      <c r="B485" s="113"/>
      <c r="C485" s="18"/>
      <c r="D485" s="18"/>
      <c r="E485" s="20"/>
      <c r="F485" s="20"/>
      <c r="G485" s="18"/>
      <c r="H485" s="18">
        <v>1</v>
      </c>
      <c r="I485" s="21" t="s">
        <v>1490</v>
      </c>
      <c r="J485" s="18">
        <v>1</v>
      </c>
      <c r="K485" s="18">
        <v>298</v>
      </c>
      <c r="L485" s="22"/>
      <c r="M485" s="18"/>
    </row>
    <row r="486" spans="1:13">
      <c r="A486" s="18"/>
      <c r="B486" s="113"/>
      <c r="C486" s="18"/>
      <c r="D486" s="18"/>
      <c r="E486" s="20"/>
      <c r="F486" s="20"/>
      <c r="G486" s="18"/>
      <c r="H486" s="18">
        <v>1</v>
      </c>
      <c r="I486" s="21" t="s">
        <v>1494</v>
      </c>
      <c r="J486" s="18">
        <v>1</v>
      </c>
      <c r="K486" s="18">
        <v>298</v>
      </c>
      <c r="L486" s="22"/>
      <c r="M486" s="18"/>
    </row>
    <row r="487" spans="1:13">
      <c r="A487" s="18"/>
      <c r="B487" s="113"/>
      <c r="C487" s="18"/>
      <c r="D487" s="18"/>
      <c r="E487" s="20"/>
      <c r="F487" s="20"/>
      <c r="G487" s="18"/>
      <c r="H487" s="18">
        <v>1</v>
      </c>
      <c r="I487" s="21" t="s">
        <v>1489</v>
      </c>
      <c r="J487" s="18">
        <v>1</v>
      </c>
      <c r="K487" s="18">
        <v>298</v>
      </c>
      <c r="L487" s="22"/>
      <c r="M487" s="18"/>
    </row>
    <row r="488" spans="1:13">
      <c r="A488" s="18"/>
      <c r="B488" s="113"/>
      <c r="C488" s="18"/>
      <c r="D488" s="18"/>
      <c r="E488" s="20"/>
      <c r="F488" s="20"/>
      <c r="G488" s="18"/>
      <c r="H488" s="18">
        <v>1</v>
      </c>
      <c r="I488" s="21" t="s">
        <v>1497</v>
      </c>
      <c r="J488" s="18">
        <v>1</v>
      </c>
      <c r="K488" s="18">
        <v>298</v>
      </c>
      <c r="L488" s="22"/>
      <c r="M488" s="18"/>
    </row>
    <row r="489" spans="1:13">
      <c r="A489" s="18">
        <v>3</v>
      </c>
      <c r="B489" s="113"/>
      <c r="C489" s="18"/>
      <c r="D489" s="18">
        <v>1</v>
      </c>
      <c r="E489" s="20">
        <v>11500</v>
      </c>
      <c r="F489" s="20">
        <v>191</v>
      </c>
      <c r="G489" s="18"/>
      <c r="H489" s="18">
        <v>1</v>
      </c>
      <c r="I489" s="21" t="s">
        <v>1493</v>
      </c>
      <c r="J489" s="18">
        <v>1</v>
      </c>
      <c r="K489" s="18">
        <v>2884</v>
      </c>
      <c r="L489" s="22"/>
      <c r="M489" s="18"/>
    </row>
    <row r="490" spans="1:13">
      <c r="A490" s="18"/>
      <c r="B490" s="113"/>
      <c r="C490" s="18"/>
      <c r="D490" s="18"/>
      <c r="E490" s="20"/>
      <c r="F490" s="20"/>
      <c r="G490" s="18"/>
      <c r="H490" s="18">
        <v>1</v>
      </c>
      <c r="I490" s="21" t="s">
        <v>1505</v>
      </c>
      <c r="J490" s="18">
        <v>1</v>
      </c>
      <c r="K490" s="18">
        <v>1541</v>
      </c>
      <c r="L490" s="22"/>
      <c r="M490" s="18"/>
    </row>
    <row r="491" spans="1:13">
      <c r="A491" s="18"/>
      <c r="B491" s="113"/>
      <c r="C491" s="18"/>
      <c r="D491" s="18"/>
      <c r="E491" s="20"/>
      <c r="F491" s="20"/>
      <c r="G491" s="18"/>
      <c r="H491" s="18">
        <v>1</v>
      </c>
      <c r="I491" s="21" t="s">
        <v>1480</v>
      </c>
      <c r="J491" s="18">
        <v>1</v>
      </c>
      <c r="K491" s="18">
        <v>1541</v>
      </c>
      <c r="L491" s="22"/>
      <c r="M491" s="18"/>
    </row>
    <row r="492" spans="1:13">
      <c r="A492" s="18"/>
      <c r="B492" s="113"/>
      <c r="C492" s="18"/>
      <c r="D492" s="18"/>
      <c r="E492" s="20"/>
      <c r="F492" s="20"/>
      <c r="G492" s="18"/>
      <c r="H492" s="18">
        <v>1</v>
      </c>
      <c r="I492" s="21" t="s">
        <v>1501</v>
      </c>
      <c r="J492" s="18">
        <v>1</v>
      </c>
      <c r="K492" s="18">
        <v>1541</v>
      </c>
      <c r="L492" s="22"/>
      <c r="M492" s="18"/>
    </row>
    <row r="493" spans="1:13">
      <c r="A493" s="18"/>
      <c r="B493" s="113"/>
      <c r="C493" s="18"/>
      <c r="D493" s="18"/>
      <c r="E493" s="20"/>
      <c r="F493" s="20"/>
      <c r="G493" s="18"/>
      <c r="H493" s="18">
        <v>1</v>
      </c>
      <c r="I493" s="21" t="s">
        <v>1492</v>
      </c>
      <c r="J493" s="18">
        <v>1</v>
      </c>
      <c r="K493" s="18">
        <v>1041</v>
      </c>
      <c r="L493" s="22"/>
      <c r="M493" s="18"/>
    </row>
    <row r="494" spans="1:13">
      <c r="A494" s="5"/>
      <c r="B494" s="113"/>
      <c r="C494" s="5"/>
      <c r="D494" s="5"/>
      <c r="E494" s="6"/>
      <c r="F494" s="6"/>
      <c r="G494" s="5"/>
      <c r="H494" s="5">
        <v>1</v>
      </c>
      <c r="I494" s="7" t="s">
        <v>1488</v>
      </c>
      <c r="J494" s="5">
        <v>1</v>
      </c>
      <c r="K494" s="5">
        <v>971</v>
      </c>
      <c r="L494" s="8"/>
      <c r="M494" s="5"/>
    </row>
    <row r="495" spans="1:13">
      <c r="A495" s="5"/>
      <c r="B495" s="113"/>
      <c r="C495" s="5"/>
      <c r="D495" s="5"/>
      <c r="E495" s="6"/>
      <c r="F495" s="6"/>
      <c r="G495" s="5"/>
      <c r="H495" s="5">
        <v>1</v>
      </c>
      <c r="I495" s="7" t="s">
        <v>1498</v>
      </c>
      <c r="J495" s="5">
        <v>1</v>
      </c>
      <c r="K495" s="5">
        <v>891</v>
      </c>
      <c r="L495" s="8"/>
      <c r="M495" s="18"/>
    </row>
    <row r="496" spans="1:13">
      <c r="A496" s="5"/>
      <c r="B496" s="113"/>
      <c r="C496" s="5"/>
      <c r="D496" s="5"/>
      <c r="E496" s="6"/>
      <c r="F496" s="6"/>
      <c r="G496" s="5"/>
      <c r="H496" s="5">
        <v>1</v>
      </c>
      <c r="I496" s="7" t="s">
        <v>1503</v>
      </c>
      <c r="J496" s="5">
        <v>1</v>
      </c>
      <c r="K496" s="5">
        <v>691</v>
      </c>
      <c r="L496" s="8"/>
      <c r="M496" s="5"/>
    </row>
    <row r="497" spans="1:13">
      <c r="A497" s="5">
        <v>4</v>
      </c>
      <c r="B497" s="113"/>
      <c r="C497" s="5"/>
      <c r="D497" s="5">
        <v>1</v>
      </c>
      <c r="E497" s="6">
        <v>11500</v>
      </c>
      <c r="F497" s="6">
        <v>44</v>
      </c>
      <c r="G497" s="5"/>
      <c r="H497" s="5">
        <v>1</v>
      </c>
      <c r="I497" s="7" t="s">
        <v>1496</v>
      </c>
      <c r="J497" s="5">
        <v>1</v>
      </c>
      <c r="K497" s="5">
        <v>2798</v>
      </c>
      <c r="L497" s="8"/>
      <c r="M497" s="5"/>
    </row>
    <row r="498" spans="1:13">
      <c r="A498" s="5"/>
      <c r="B498" s="113"/>
      <c r="C498" s="5"/>
      <c r="D498" s="5"/>
      <c r="E498" s="6"/>
      <c r="F498" s="6"/>
      <c r="G498" s="5"/>
      <c r="H498" s="5">
        <v>1</v>
      </c>
      <c r="I498" s="7" t="s">
        <v>1479</v>
      </c>
      <c r="J498" s="5">
        <v>1</v>
      </c>
      <c r="K498" s="5">
        <v>2741</v>
      </c>
      <c r="L498" s="8"/>
      <c r="M498" s="5"/>
    </row>
    <row r="499" spans="1:13">
      <c r="A499" s="5"/>
      <c r="B499" s="113"/>
      <c r="C499" s="5"/>
      <c r="D499" s="5"/>
      <c r="E499" s="6"/>
      <c r="F499" s="6"/>
      <c r="G499" s="5"/>
      <c r="H499" s="5">
        <v>1</v>
      </c>
      <c r="I499" s="7" t="s">
        <v>1506</v>
      </c>
      <c r="J499" s="5">
        <v>1</v>
      </c>
      <c r="K499" s="5">
        <v>2310</v>
      </c>
      <c r="L499" s="8"/>
      <c r="M499" s="5"/>
    </row>
    <row r="500" spans="1:13">
      <c r="A500" s="5"/>
      <c r="B500" s="113"/>
      <c r="C500" s="5"/>
      <c r="D500" s="5"/>
      <c r="E500" s="6"/>
      <c r="F500" s="6"/>
      <c r="G500" s="5"/>
      <c r="H500" s="5">
        <v>1</v>
      </c>
      <c r="I500" s="7" t="s">
        <v>1485</v>
      </c>
      <c r="J500" s="5">
        <v>1</v>
      </c>
      <c r="K500" s="5">
        <v>2236</v>
      </c>
      <c r="L500" s="8"/>
      <c r="M500" s="5"/>
    </row>
    <row r="501" spans="1:13">
      <c r="A501" s="5"/>
      <c r="B501" s="113"/>
      <c r="C501" s="5"/>
      <c r="D501" s="5"/>
      <c r="E501" s="6"/>
      <c r="F501" s="6"/>
      <c r="G501" s="5"/>
      <c r="H501" s="5">
        <v>1</v>
      </c>
      <c r="I501" s="7" t="s">
        <v>1504</v>
      </c>
      <c r="J501" s="5">
        <v>1</v>
      </c>
      <c r="K501" s="5">
        <v>1241</v>
      </c>
      <c r="L501" s="8"/>
      <c r="M501" s="5"/>
    </row>
    <row r="502" spans="1:13">
      <c r="A502" s="5">
        <v>5</v>
      </c>
      <c r="B502" s="113"/>
      <c r="C502" s="5"/>
      <c r="D502" s="5">
        <v>1</v>
      </c>
      <c r="E502" s="6">
        <v>11500</v>
      </c>
      <c r="F502" s="6"/>
      <c r="G502" s="5"/>
      <c r="H502" s="5">
        <v>1</v>
      </c>
      <c r="I502" s="7" t="s">
        <v>1483</v>
      </c>
      <c r="J502" s="5">
        <v>1</v>
      </c>
      <c r="K502" s="5">
        <v>11500</v>
      </c>
      <c r="L502" s="8"/>
      <c r="M502" s="5"/>
    </row>
    <row r="503" spans="1:13">
      <c r="A503" s="5">
        <v>6</v>
      </c>
      <c r="B503" s="113"/>
      <c r="C503" s="5"/>
      <c r="D503" s="5">
        <v>1</v>
      </c>
      <c r="E503" s="6">
        <v>11500</v>
      </c>
      <c r="F503" s="6"/>
      <c r="G503" s="5"/>
      <c r="H503" s="5">
        <v>1</v>
      </c>
      <c r="I503" s="7" t="s">
        <v>1507</v>
      </c>
      <c r="J503" s="5">
        <v>1</v>
      </c>
      <c r="K503" s="5">
        <v>11500</v>
      </c>
      <c r="L503" s="8"/>
      <c r="M503" s="5"/>
    </row>
    <row r="504" spans="1:13">
      <c r="A504" s="5">
        <v>7</v>
      </c>
      <c r="B504" s="113"/>
      <c r="C504" s="5"/>
      <c r="D504" s="5">
        <v>1</v>
      </c>
      <c r="E504" s="6">
        <v>11500</v>
      </c>
      <c r="F504" s="6"/>
      <c r="G504" s="5"/>
      <c r="H504" s="5">
        <v>1</v>
      </c>
      <c r="I504" s="7" t="s">
        <v>1502</v>
      </c>
      <c r="J504" s="5">
        <v>1</v>
      </c>
      <c r="K504" s="5">
        <v>11500</v>
      </c>
      <c r="L504" s="8"/>
      <c r="M504" s="5"/>
    </row>
    <row r="505" spans="1:13">
      <c r="A505" s="5">
        <v>8</v>
      </c>
      <c r="B505" s="113"/>
      <c r="C505" s="5"/>
      <c r="D505" s="5">
        <v>1</v>
      </c>
      <c r="E505" s="6">
        <v>11500</v>
      </c>
      <c r="F505" s="6"/>
      <c r="G505" s="5"/>
      <c r="H505" s="5">
        <v>1</v>
      </c>
      <c r="I505" s="7" t="s">
        <v>1481</v>
      </c>
      <c r="J505" s="5">
        <v>1</v>
      </c>
      <c r="K505" s="5">
        <v>11500</v>
      </c>
      <c r="L505" s="8"/>
      <c r="M505" s="5"/>
    </row>
    <row r="506" spans="1:13">
      <c r="A506" s="5">
        <v>9</v>
      </c>
      <c r="B506" s="113"/>
      <c r="C506" s="5"/>
      <c r="D506" s="5">
        <v>1</v>
      </c>
      <c r="E506" s="6">
        <v>11500</v>
      </c>
      <c r="F506" s="6">
        <v>48</v>
      </c>
      <c r="G506" s="5"/>
      <c r="H506" s="5">
        <v>1</v>
      </c>
      <c r="I506" s="7" t="s">
        <v>1500</v>
      </c>
      <c r="J506" s="5">
        <v>1</v>
      </c>
      <c r="K506" s="5">
        <v>10994</v>
      </c>
      <c r="L506" s="8"/>
      <c r="M506" s="5"/>
    </row>
    <row r="507" spans="1:13">
      <c r="A507" s="5"/>
      <c r="B507" s="113"/>
      <c r="C507" s="5"/>
      <c r="D507" s="5"/>
      <c r="E507" s="6"/>
      <c r="F507" s="6"/>
      <c r="G507" s="5"/>
      <c r="H507" s="5">
        <v>1</v>
      </c>
      <c r="I507" s="7" t="s">
        <v>1491</v>
      </c>
      <c r="J507" s="5">
        <v>1</v>
      </c>
      <c r="K507" s="5">
        <v>406</v>
      </c>
      <c r="L507" s="8"/>
      <c r="M507" s="5"/>
    </row>
    <row r="508" spans="1:13">
      <c r="A508" s="18">
        <v>10</v>
      </c>
      <c r="B508" s="112"/>
      <c r="C508" s="18"/>
      <c r="D508" s="18">
        <v>1</v>
      </c>
      <c r="E508" s="20">
        <v>1170</v>
      </c>
      <c r="F508" s="20">
        <v>87</v>
      </c>
      <c r="G508" s="18"/>
      <c r="H508" s="18">
        <v>1</v>
      </c>
      <c r="I508" s="21" t="s">
        <v>1477</v>
      </c>
      <c r="J508" s="18">
        <v>1</v>
      </c>
      <c r="K508" s="18">
        <v>1057</v>
      </c>
      <c r="L508" s="134" t="s">
        <v>873</v>
      </c>
      <c r="M508" s="135"/>
    </row>
    <row r="509" spans="1:13">
      <c r="A509" s="18"/>
      <c r="B509" s="18"/>
      <c r="C509" s="18"/>
      <c r="D509" s="18"/>
      <c r="E509" s="20"/>
      <c r="F509" s="20"/>
      <c r="G509" s="18"/>
      <c r="H509" s="18"/>
      <c r="I509" s="21"/>
      <c r="J509" s="18"/>
      <c r="K509" s="18"/>
      <c r="L509" s="22"/>
      <c r="M509" s="18"/>
    </row>
    <row r="510" spans="1:13">
      <c r="A510" s="117" t="s">
        <v>4</v>
      </c>
      <c r="B510" s="117"/>
      <c r="C510" s="117"/>
      <c r="D510" s="117"/>
      <c r="E510" s="117"/>
      <c r="F510" s="117"/>
      <c r="G510" s="117"/>
      <c r="H510" s="117"/>
      <c r="I510" s="118" t="s">
        <v>8</v>
      </c>
      <c r="J510" s="118"/>
      <c r="K510" s="89" t="s">
        <v>70</v>
      </c>
      <c r="L510" s="119"/>
      <c r="M510" s="120"/>
    </row>
    <row r="511" spans="1:13">
      <c r="A511" s="117"/>
      <c r="B511" s="117"/>
      <c r="C511" s="117"/>
      <c r="D511" s="117"/>
      <c r="E511" s="117"/>
      <c r="F511" s="117"/>
      <c r="G511" s="117"/>
      <c r="H511" s="117"/>
      <c r="I511" s="118" t="s">
        <v>25</v>
      </c>
      <c r="J511" s="118"/>
      <c r="K511" s="121" t="s">
        <v>1613</v>
      </c>
      <c r="L511" s="118"/>
      <c r="M511" s="118"/>
    </row>
    <row r="512" spans="1:13">
      <c r="A512" s="117"/>
      <c r="B512" s="117"/>
      <c r="C512" s="117"/>
      <c r="D512" s="117"/>
      <c r="E512" s="117"/>
      <c r="F512" s="117"/>
      <c r="G512" s="117"/>
      <c r="H512" s="117"/>
      <c r="I512" s="87" t="s">
        <v>26</v>
      </c>
      <c r="J512" s="88"/>
      <c r="K512" s="95" t="s">
        <v>423</v>
      </c>
      <c r="L512" s="104"/>
      <c r="M512" s="88"/>
    </row>
    <row r="513" spans="1:13">
      <c r="A513" s="118" t="s">
        <v>31</v>
      </c>
      <c r="B513" s="118"/>
      <c r="C513" s="118" t="s">
        <v>32</v>
      </c>
      <c r="D513" s="118"/>
      <c r="E513" s="118"/>
      <c r="F513" s="118"/>
      <c r="G513" s="118"/>
      <c r="H513" s="118"/>
      <c r="I513" s="40" t="s">
        <v>29</v>
      </c>
      <c r="J513" s="41"/>
      <c r="K513" s="118" t="s">
        <v>1328</v>
      </c>
      <c r="L513" s="118"/>
      <c r="M513" s="118"/>
    </row>
    <row r="514" spans="1:13">
      <c r="A514" s="118"/>
      <c r="B514" s="118"/>
      <c r="C514" s="118"/>
      <c r="D514" s="118"/>
      <c r="E514" s="118"/>
      <c r="F514" s="118"/>
      <c r="G514" s="118"/>
      <c r="H514" s="118"/>
      <c r="I514" s="118" t="s">
        <v>30</v>
      </c>
      <c r="J514" s="118"/>
      <c r="K514" s="118" t="s">
        <v>1476</v>
      </c>
      <c r="L514" s="118"/>
      <c r="M514" s="118"/>
    </row>
    <row r="515" spans="1:13">
      <c r="A515" s="122" t="s">
        <v>24</v>
      </c>
      <c r="B515" s="122"/>
      <c r="C515" s="122"/>
      <c r="D515" s="42">
        <v>9</v>
      </c>
      <c r="E515" s="117" t="s">
        <v>40</v>
      </c>
      <c r="F515" s="117"/>
      <c r="G515" s="117"/>
      <c r="H515" s="42">
        <v>19</v>
      </c>
      <c r="I515" s="118" t="s">
        <v>27</v>
      </c>
      <c r="J515" s="118"/>
      <c r="K515" s="118" t="s">
        <v>21</v>
      </c>
      <c r="L515" s="118"/>
      <c r="M515" s="118"/>
    </row>
    <row r="516" spans="1:13" ht="45">
      <c r="A516" s="3" t="s">
        <v>9</v>
      </c>
      <c r="B516" s="3" t="s">
        <v>10</v>
      </c>
      <c r="C516" s="3" t="s">
        <v>11</v>
      </c>
      <c r="D516" s="3" t="s">
        <v>3</v>
      </c>
      <c r="E516" s="4" t="s">
        <v>41</v>
      </c>
      <c r="F516" s="4" t="s">
        <v>12</v>
      </c>
      <c r="G516" s="3" t="s">
        <v>13</v>
      </c>
      <c r="H516" s="3" t="s">
        <v>14</v>
      </c>
      <c r="I516" s="3" t="s">
        <v>1103</v>
      </c>
      <c r="J516" s="3" t="s">
        <v>16</v>
      </c>
      <c r="K516" s="3" t="s">
        <v>17</v>
      </c>
      <c r="L516" s="3" t="s">
        <v>18</v>
      </c>
      <c r="M516" s="3" t="s">
        <v>19</v>
      </c>
    </row>
    <row r="517" spans="1:13">
      <c r="A517" s="18">
        <v>1</v>
      </c>
      <c r="B517" s="111" t="s">
        <v>1130</v>
      </c>
      <c r="C517" s="18"/>
      <c r="D517" s="18">
        <v>1</v>
      </c>
      <c r="E517" s="20">
        <v>11500</v>
      </c>
      <c r="F517" s="20">
        <v>912</v>
      </c>
      <c r="G517" s="18"/>
      <c r="H517" s="18">
        <v>1</v>
      </c>
      <c r="I517" s="21" t="s">
        <v>1474</v>
      </c>
      <c r="J517" s="18">
        <v>1</v>
      </c>
      <c r="K517" s="18">
        <v>8743</v>
      </c>
      <c r="L517" s="22"/>
      <c r="M517" s="18"/>
    </row>
    <row r="518" spans="1:13">
      <c r="A518" s="18"/>
      <c r="B518" s="113"/>
      <c r="C518" s="18"/>
      <c r="D518" s="18"/>
      <c r="E518" s="20"/>
      <c r="F518" s="20"/>
      <c r="G518" s="18"/>
      <c r="H518" s="18">
        <v>1</v>
      </c>
      <c r="I518" s="21" t="s">
        <v>1475</v>
      </c>
      <c r="J518" s="18">
        <v>1</v>
      </c>
      <c r="K518" s="18">
        <v>1793</v>
      </c>
      <c r="L518" s="22"/>
      <c r="M518" s="18"/>
    </row>
    <row r="519" spans="1:13">
      <c r="A519" s="18">
        <v>2</v>
      </c>
      <c r="B519" s="113"/>
      <c r="C519" s="18"/>
      <c r="D519" s="18">
        <v>1</v>
      </c>
      <c r="E519" s="20">
        <v>11500</v>
      </c>
      <c r="F519" s="20">
        <v>485</v>
      </c>
      <c r="G519" s="18"/>
      <c r="H519" s="18">
        <v>1</v>
      </c>
      <c r="I519" s="21" t="s">
        <v>1459</v>
      </c>
      <c r="J519" s="18">
        <v>1</v>
      </c>
      <c r="K519" s="18">
        <v>6943</v>
      </c>
      <c r="L519" s="22"/>
      <c r="M519" s="18"/>
    </row>
    <row r="520" spans="1:13">
      <c r="A520" s="18"/>
      <c r="B520" s="113"/>
      <c r="C520" s="18"/>
      <c r="D520" s="18"/>
      <c r="E520" s="20"/>
      <c r="F520" s="20"/>
      <c r="G520" s="18"/>
      <c r="H520" s="18">
        <v>1</v>
      </c>
      <c r="I520" s="21" t="s">
        <v>1467</v>
      </c>
      <c r="J520" s="18">
        <v>1</v>
      </c>
      <c r="K520" s="18">
        <v>2801</v>
      </c>
      <c r="L520" s="22"/>
      <c r="M520" s="18"/>
    </row>
    <row r="521" spans="1:13">
      <c r="A521" s="18"/>
      <c r="B521" s="113"/>
      <c r="C521" s="18"/>
      <c r="D521" s="18"/>
      <c r="E521" s="20"/>
      <c r="F521" s="20"/>
      <c r="G521" s="18"/>
      <c r="H521" s="18">
        <v>1</v>
      </c>
      <c r="I521" s="21" t="s">
        <v>1471</v>
      </c>
      <c r="J521" s="18">
        <v>1</v>
      </c>
      <c r="K521" s="18">
        <v>1193</v>
      </c>
      <c r="L521" s="22"/>
      <c r="M521" s="18"/>
    </row>
    <row r="522" spans="1:13">
      <c r="A522" s="18">
        <v>3</v>
      </c>
      <c r="B522" s="113"/>
      <c r="C522" s="18"/>
      <c r="D522" s="18">
        <v>1</v>
      </c>
      <c r="E522" s="20">
        <v>11500</v>
      </c>
      <c r="F522" s="20">
        <v>387</v>
      </c>
      <c r="G522" s="18"/>
      <c r="H522" s="18">
        <v>1</v>
      </c>
      <c r="I522" s="21" t="s">
        <v>1462</v>
      </c>
      <c r="J522" s="18">
        <v>1</v>
      </c>
      <c r="K522" s="18">
        <v>5998</v>
      </c>
      <c r="L522" s="22"/>
      <c r="M522" s="18"/>
    </row>
    <row r="523" spans="1:13">
      <c r="A523" s="18"/>
      <c r="B523" s="113"/>
      <c r="C523" s="18"/>
      <c r="D523" s="18"/>
      <c r="E523" s="20"/>
      <c r="F523" s="20"/>
      <c r="G523" s="18"/>
      <c r="H523" s="18">
        <v>1</v>
      </c>
      <c r="I523" s="21" t="s">
        <v>1464</v>
      </c>
      <c r="J523" s="18">
        <v>1</v>
      </c>
      <c r="K523" s="18">
        <v>5063</v>
      </c>
      <c r="L523" s="22"/>
      <c r="M523" s="18"/>
    </row>
    <row r="524" spans="1:13">
      <c r="A524" s="18">
        <v>4</v>
      </c>
      <c r="B524" s="113"/>
      <c r="C524" s="18"/>
      <c r="D524" s="18">
        <v>1</v>
      </c>
      <c r="E524" s="20">
        <v>11500</v>
      </c>
      <c r="F524" s="20">
        <v>603</v>
      </c>
      <c r="G524" s="18"/>
      <c r="H524" s="18">
        <v>1</v>
      </c>
      <c r="I524" s="21" t="s">
        <v>1457</v>
      </c>
      <c r="J524" s="18">
        <v>1</v>
      </c>
      <c r="K524" s="18">
        <v>5833</v>
      </c>
      <c r="L524" s="22"/>
      <c r="M524" s="18"/>
    </row>
    <row r="525" spans="1:13">
      <c r="A525" s="18"/>
      <c r="B525" s="113"/>
      <c r="C525" s="18"/>
      <c r="D525" s="18"/>
      <c r="E525" s="20"/>
      <c r="F525" s="20"/>
      <c r="G525" s="18"/>
      <c r="H525" s="18">
        <v>1</v>
      </c>
      <c r="I525" s="21" t="s">
        <v>1460</v>
      </c>
      <c r="J525" s="18">
        <v>1</v>
      </c>
      <c r="K525" s="18">
        <v>3293</v>
      </c>
      <c r="L525" s="22"/>
      <c r="M525" s="18"/>
    </row>
    <row r="526" spans="1:13">
      <c r="A526" s="18"/>
      <c r="B526" s="113"/>
      <c r="C526" s="18"/>
      <c r="D526" s="18"/>
      <c r="E526" s="20"/>
      <c r="F526" s="20"/>
      <c r="G526" s="18"/>
      <c r="H526" s="18">
        <v>1</v>
      </c>
      <c r="I526" s="21" t="s">
        <v>1473</v>
      </c>
      <c r="J526" s="18">
        <v>1</v>
      </c>
      <c r="K526" s="18">
        <v>1693</v>
      </c>
      <c r="L526" s="22"/>
      <c r="M526" s="18"/>
    </row>
    <row r="527" spans="1:13">
      <c r="A527" s="18">
        <v>5</v>
      </c>
      <c r="B527" s="113"/>
      <c r="C527" s="18"/>
      <c r="D527" s="18">
        <v>1</v>
      </c>
      <c r="E527" s="20">
        <v>11500</v>
      </c>
      <c r="F527" s="20">
        <v>6881</v>
      </c>
      <c r="G527" s="18"/>
      <c r="H527" s="18">
        <v>1</v>
      </c>
      <c r="I527" s="21" t="s">
        <v>1458</v>
      </c>
      <c r="J527" s="18">
        <v>1</v>
      </c>
      <c r="K527" s="18">
        <v>4593</v>
      </c>
      <c r="L527" s="22"/>
      <c r="M527" s="18"/>
    </row>
    <row r="528" spans="1:13">
      <c r="A528" s="18">
        <v>6</v>
      </c>
      <c r="B528" s="113"/>
      <c r="C528" s="18"/>
      <c r="D528" s="18">
        <v>1</v>
      </c>
      <c r="E528" s="20">
        <v>11500</v>
      </c>
      <c r="F528" s="20"/>
      <c r="G528" s="18"/>
      <c r="H528" s="18">
        <v>1</v>
      </c>
      <c r="I528" s="21" t="s">
        <v>1470</v>
      </c>
      <c r="J528" s="18">
        <v>1</v>
      </c>
      <c r="K528" s="18">
        <v>11500</v>
      </c>
      <c r="L528" s="22"/>
      <c r="M528" s="18"/>
    </row>
    <row r="529" spans="1:13">
      <c r="A529" s="18">
        <v>7</v>
      </c>
      <c r="B529" s="113"/>
      <c r="C529" s="18"/>
      <c r="D529" s="18">
        <v>1</v>
      </c>
      <c r="E529" s="20">
        <v>11500</v>
      </c>
      <c r="F529" s="20"/>
      <c r="G529" s="18"/>
      <c r="H529" s="18">
        <v>1</v>
      </c>
      <c r="I529" s="21" t="s">
        <v>1463</v>
      </c>
      <c r="J529" s="18">
        <v>1</v>
      </c>
      <c r="K529" s="18">
        <v>11500</v>
      </c>
      <c r="L529" s="22"/>
      <c r="M529" s="18"/>
    </row>
    <row r="530" spans="1:13">
      <c r="A530" s="18">
        <v>8</v>
      </c>
      <c r="B530" s="113"/>
      <c r="C530" s="18"/>
      <c r="D530" s="18">
        <v>1</v>
      </c>
      <c r="E530" s="20">
        <v>11500</v>
      </c>
      <c r="F530" s="20">
        <v>27</v>
      </c>
      <c r="G530" s="18"/>
      <c r="H530" s="18">
        <v>1</v>
      </c>
      <c r="I530" s="21" t="s">
        <v>1472</v>
      </c>
      <c r="J530" s="18">
        <v>1</v>
      </c>
      <c r="K530" s="18">
        <v>11017</v>
      </c>
      <c r="L530" s="22"/>
      <c r="M530" s="18"/>
    </row>
    <row r="531" spans="1:13">
      <c r="A531" s="18"/>
      <c r="B531" s="113"/>
      <c r="C531" s="18"/>
      <c r="D531" s="18"/>
      <c r="E531" s="20"/>
      <c r="F531" s="20"/>
      <c r="G531" s="18"/>
      <c r="H531" s="18">
        <v>1</v>
      </c>
      <c r="I531" s="21" t="s">
        <v>1469</v>
      </c>
      <c r="J531" s="18">
        <v>1</v>
      </c>
      <c r="K531" s="18">
        <v>189</v>
      </c>
      <c r="L531" s="22"/>
      <c r="M531" s="18"/>
    </row>
    <row r="532" spans="1:13">
      <c r="A532" s="5"/>
      <c r="B532" s="113"/>
      <c r="C532" s="5"/>
      <c r="D532" s="5"/>
      <c r="E532" s="6"/>
      <c r="F532" s="6"/>
      <c r="G532" s="5"/>
      <c r="H532" s="5">
        <v>1</v>
      </c>
      <c r="I532" s="7" t="s">
        <v>1468</v>
      </c>
      <c r="J532" s="5">
        <v>1</v>
      </c>
      <c r="K532" s="5">
        <v>189</v>
      </c>
      <c r="L532" s="8"/>
      <c r="M532" s="5"/>
    </row>
    <row r="533" spans="1:13">
      <c r="A533" s="5">
        <v>9</v>
      </c>
      <c r="B533" s="113"/>
      <c r="C533" s="5"/>
      <c r="D533" s="5">
        <v>1</v>
      </c>
      <c r="E533" s="6">
        <v>11500</v>
      </c>
      <c r="F533" s="6">
        <v>52</v>
      </c>
      <c r="G533" s="5"/>
      <c r="H533" s="5">
        <v>1</v>
      </c>
      <c r="I533" s="7" t="s">
        <v>1461</v>
      </c>
      <c r="J533" s="5">
        <v>1</v>
      </c>
      <c r="K533" s="5">
        <v>10916</v>
      </c>
      <c r="L533" s="8"/>
      <c r="M533" s="18"/>
    </row>
    <row r="534" spans="1:13">
      <c r="A534" s="5"/>
      <c r="B534" s="113"/>
      <c r="C534" s="5"/>
      <c r="D534" s="5"/>
      <c r="E534" s="6"/>
      <c r="F534" s="6"/>
      <c r="G534" s="5"/>
      <c r="H534" s="5">
        <v>1</v>
      </c>
      <c r="I534" s="7" t="s">
        <v>1466</v>
      </c>
      <c r="J534" s="5">
        <v>1</v>
      </c>
      <c r="K534" s="5">
        <v>342</v>
      </c>
      <c r="L534" s="8"/>
      <c r="M534" s="5"/>
    </row>
    <row r="535" spans="1:13">
      <c r="A535" s="5"/>
      <c r="B535" s="112"/>
      <c r="C535" s="5"/>
      <c r="D535" s="5"/>
      <c r="E535" s="6"/>
      <c r="F535" s="6"/>
      <c r="G535" s="5"/>
      <c r="H535" s="5">
        <v>1</v>
      </c>
      <c r="I535" s="7" t="s">
        <v>1465</v>
      </c>
      <c r="J535" s="5">
        <v>1</v>
      </c>
      <c r="K535" s="5">
        <v>112</v>
      </c>
      <c r="L535" s="8"/>
      <c r="M535" s="5"/>
    </row>
    <row r="536" spans="1:13">
      <c r="A536" s="5"/>
      <c r="B536" s="5"/>
      <c r="C536" s="5"/>
      <c r="D536" s="5"/>
      <c r="E536" s="6"/>
      <c r="F536" s="6"/>
      <c r="G536" s="5"/>
      <c r="H536" s="5"/>
      <c r="I536" s="7"/>
      <c r="J536" s="5"/>
      <c r="K536" s="5"/>
      <c r="L536" s="8"/>
      <c r="M536" s="5"/>
    </row>
    <row r="537" spans="1:13">
      <c r="A537" s="117" t="s">
        <v>4</v>
      </c>
      <c r="B537" s="117"/>
      <c r="C537" s="117"/>
      <c r="D537" s="117"/>
      <c r="E537" s="117"/>
      <c r="F537" s="117"/>
      <c r="G537" s="117"/>
      <c r="H537" s="117"/>
      <c r="I537" s="118" t="s">
        <v>8</v>
      </c>
      <c r="J537" s="118"/>
      <c r="K537" s="89" t="s">
        <v>70</v>
      </c>
      <c r="L537" s="119"/>
      <c r="M537" s="120"/>
    </row>
    <row r="538" spans="1:13">
      <c r="A538" s="117"/>
      <c r="B538" s="117"/>
      <c r="C538" s="117"/>
      <c r="D538" s="117"/>
      <c r="E538" s="117"/>
      <c r="F538" s="117"/>
      <c r="G538" s="117"/>
      <c r="H538" s="117"/>
      <c r="I538" s="118" t="s">
        <v>25</v>
      </c>
      <c r="J538" s="118"/>
      <c r="K538" s="121" t="s">
        <v>1613</v>
      </c>
      <c r="L538" s="118"/>
      <c r="M538" s="118"/>
    </row>
    <row r="539" spans="1:13">
      <c r="A539" s="117"/>
      <c r="B539" s="117"/>
      <c r="C539" s="117"/>
      <c r="D539" s="117"/>
      <c r="E539" s="117"/>
      <c r="F539" s="117"/>
      <c r="G539" s="117"/>
      <c r="H539" s="117"/>
      <c r="I539" s="87" t="s">
        <v>26</v>
      </c>
      <c r="J539" s="88"/>
      <c r="K539" s="95" t="s">
        <v>338</v>
      </c>
      <c r="L539" s="104"/>
      <c r="M539" s="88"/>
    </row>
    <row r="540" spans="1:13">
      <c r="A540" s="118" t="s">
        <v>31</v>
      </c>
      <c r="B540" s="118"/>
      <c r="C540" s="118" t="s">
        <v>32</v>
      </c>
      <c r="D540" s="118"/>
      <c r="E540" s="118"/>
      <c r="F540" s="118"/>
      <c r="G540" s="118"/>
      <c r="H540" s="118"/>
      <c r="I540" s="40" t="s">
        <v>29</v>
      </c>
      <c r="J540" s="41"/>
      <c r="K540" s="118" t="s">
        <v>1328</v>
      </c>
      <c r="L540" s="118"/>
      <c r="M540" s="118"/>
    </row>
    <row r="541" spans="1:13">
      <c r="A541" s="118"/>
      <c r="B541" s="118"/>
      <c r="C541" s="118"/>
      <c r="D541" s="118"/>
      <c r="E541" s="118"/>
      <c r="F541" s="118"/>
      <c r="G541" s="118"/>
      <c r="H541" s="118"/>
      <c r="I541" s="118" t="s">
        <v>30</v>
      </c>
      <c r="J541" s="118"/>
      <c r="K541" s="118" t="s">
        <v>1444</v>
      </c>
      <c r="L541" s="118"/>
      <c r="M541" s="118"/>
    </row>
    <row r="542" spans="1:13">
      <c r="A542" s="122" t="s">
        <v>24</v>
      </c>
      <c r="B542" s="122"/>
      <c r="C542" s="122"/>
      <c r="D542" s="42">
        <v>6</v>
      </c>
      <c r="E542" s="117" t="s">
        <v>40</v>
      </c>
      <c r="F542" s="117"/>
      <c r="G542" s="117"/>
      <c r="H542" s="42">
        <v>19</v>
      </c>
      <c r="I542" s="118" t="s">
        <v>27</v>
      </c>
      <c r="J542" s="118"/>
      <c r="K542" s="118" t="s">
        <v>21</v>
      </c>
      <c r="L542" s="118"/>
      <c r="M542" s="118"/>
    </row>
    <row r="543" spans="1:13" ht="45">
      <c r="A543" s="3" t="s">
        <v>9</v>
      </c>
      <c r="B543" s="3" t="s">
        <v>10</v>
      </c>
      <c r="C543" s="3" t="s">
        <v>11</v>
      </c>
      <c r="D543" s="3" t="s">
        <v>3</v>
      </c>
      <c r="E543" s="4" t="s">
        <v>41</v>
      </c>
      <c r="F543" s="4" t="s">
        <v>12</v>
      </c>
      <c r="G543" s="3" t="s">
        <v>13</v>
      </c>
      <c r="H543" s="3" t="s">
        <v>14</v>
      </c>
      <c r="I543" s="3" t="s">
        <v>1103</v>
      </c>
      <c r="J543" s="3" t="s">
        <v>16</v>
      </c>
      <c r="K543" s="3" t="s">
        <v>17</v>
      </c>
      <c r="L543" s="3" t="s">
        <v>18</v>
      </c>
      <c r="M543" s="3" t="s">
        <v>19</v>
      </c>
    </row>
    <row r="544" spans="1:13">
      <c r="A544" s="18">
        <v>1</v>
      </c>
      <c r="B544" s="111" t="s">
        <v>1218</v>
      </c>
      <c r="C544" s="18"/>
      <c r="D544" s="18">
        <v>1</v>
      </c>
      <c r="E544" s="20">
        <v>11500</v>
      </c>
      <c r="F544" s="20"/>
      <c r="G544" s="18"/>
      <c r="H544" s="18">
        <v>1</v>
      </c>
      <c r="I544" s="21" t="s">
        <v>1441</v>
      </c>
      <c r="J544" s="18">
        <v>1</v>
      </c>
      <c r="K544" s="18">
        <v>11500</v>
      </c>
      <c r="L544" s="22"/>
      <c r="M544" s="18"/>
    </row>
    <row r="545" spans="1:13">
      <c r="A545" s="18">
        <v>2</v>
      </c>
      <c r="B545" s="113"/>
      <c r="C545" s="18"/>
      <c r="D545" s="18">
        <v>1</v>
      </c>
      <c r="E545" s="20">
        <v>11500</v>
      </c>
      <c r="F545" s="20"/>
      <c r="G545" s="18"/>
      <c r="H545" s="18">
        <v>1</v>
      </c>
      <c r="I545" s="21" t="s">
        <v>1440</v>
      </c>
      <c r="J545" s="18">
        <v>1</v>
      </c>
      <c r="K545" s="18">
        <v>11500</v>
      </c>
      <c r="L545" s="22"/>
      <c r="M545" s="18"/>
    </row>
    <row r="546" spans="1:13">
      <c r="A546" s="18">
        <v>3</v>
      </c>
      <c r="B546" s="113"/>
      <c r="C546" s="18"/>
      <c r="D546" s="18">
        <v>1</v>
      </c>
      <c r="E546" s="20">
        <v>11500</v>
      </c>
      <c r="F546" s="20"/>
      <c r="G546" s="18"/>
      <c r="H546" s="18">
        <v>1</v>
      </c>
      <c r="I546" s="21" t="s">
        <v>1439</v>
      </c>
      <c r="J546" s="18">
        <v>1</v>
      </c>
      <c r="K546" s="18">
        <v>11500</v>
      </c>
      <c r="L546" s="22"/>
      <c r="M546" s="18"/>
    </row>
    <row r="547" spans="1:13">
      <c r="A547" s="18">
        <v>4</v>
      </c>
      <c r="B547" s="113"/>
      <c r="C547" s="18"/>
      <c r="D547" s="18">
        <v>1</v>
      </c>
      <c r="E547" s="20">
        <v>11500</v>
      </c>
      <c r="F547" s="20"/>
      <c r="G547" s="18"/>
      <c r="H547" s="18">
        <v>1</v>
      </c>
      <c r="I547" s="21" t="s">
        <v>1443</v>
      </c>
      <c r="J547" s="18">
        <v>1</v>
      </c>
      <c r="K547" s="18">
        <v>11500</v>
      </c>
      <c r="L547" s="22"/>
      <c r="M547" s="18"/>
    </row>
    <row r="548" spans="1:13">
      <c r="A548" s="18">
        <v>5</v>
      </c>
      <c r="B548" s="113"/>
      <c r="C548" s="18"/>
      <c r="D548" s="18">
        <v>1</v>
      </c>
      <c r="E548" s="20">
        <v>11500</v>
      </c>
      <c r="F548" s="20"/>
      <c r="G548" s="18"/>
      <c r="H548" s="18">
        <v>1</v>
      </c>
      <c r="I548" s="21" t="s">
        <v>1442</v>
      </c>
      <c r="J548" s="18">
        <v>1</v>
      </c>
      <c r="K548" s="18">
        <v>11500</v>
      </c>
      <c r="L548" s="22"/>
      <c r="M548" s="18"/>
    </row>
    <row r="549" spans="1:13">
      <c r="A549" s="18">
        <v>6</v>
      </c>
      <c r="B549" s="113"/>
      <c r="C549" s="18"/>
      <c r="D549" s="18">
        <v>1</v>
      </c>
      <c r="E549" s="20">
        <v>11500</v>
      </c>
      <c r="F549" s="20"/>
      <c r="G549" s="18"/>
      <c r="H549" s="18">
        <v>1</v>
      </c>
      <c r="I549" s="21" t="s">
        <v>1438</v>
      </c>
      <c r="J549" s="18">
        <v>1</v>
      </c>
      <c r="K549" s="18">
        <v>11500</v>
      </c>
      <c r="L549" s="22"/>
      <c r="M549" s="18"/>
    </row>
    <row r="550" spans="1:13">
      <c r="A550" s="18">
        <v>7</v>
      </c>
      <c r="B550" s="113"/>
      <c r="C550" s="18"/>
      <c r="D550" s="18">
        <v>1</v>
      </c>
      <c r="E550" s="20">
        <v>3400</v>
      </c>
      <c r="F550" s="20">
        <v>204</v>
      </c>
      <c r="G550" s="18"/>
      <c r="H550" s="18">
        <v>1</v>
      </c>
      <c r="I550" s="21" t="s">
        <v>1446</v>
      </c>
      <c r="J550" s="18">
        <v>1</v>
      </c>
      <c r="K550" s="18">
        <v>2571</v>
      </c>
      <c r="L550" s="123" t="s">
        <v>873</v>
      </c>
      <c r="M550" s="124"/>
    </row>
    <row r="551" spans="1:13">
      <c r="A551" s="18"/>
      <c r="B551" s="113"/>
      <c r="C551" s="18"/>
      <c r="D551" s="18"/>
      <c r="E551" s="20"/>
      <c r="F551" s="20"/>
      <c r="G551" s="18"/>
      <c r="H551" s="18">
        <v>1</v>
      </c>
      <c r="I551" s="21" t="s">
        <v>1456</v>
      </c>
      <c r="J551" s="18">
        <v>1</v>
      </c>
      <c r="K551" s="18">
        <v>305</v>
      </c>
      <c r="L551" s="125"/>
      <c r="M551" s="126"/>
    </row>
    <row r="552" spans="1:13">
      <c r="A552" s="18"/>
      <c r="B552" s="113"/>
      <c r="C552" s="18"/>
      <c r="D552" s="18"/>
      <c r="E552" s="20"/>
      <c r="F552" s="20"/>
      <c r="G552" s="18"/>
      <c r="H552" s="18">
        <v>1</v>
      </c>
      <c r="I552" s="21" t="s">
        <v>1449</v>
      </c>
      <c r="J552" s="18">
        <v>1</v>
      </c>
      <c r="K552" s="18">
        <v>242</v>
      </c>
      <c r="L552" s="125"/>
      <c r="M552" s="126"/>
    </row>
    <row r="553" spans="1:13">
      <c r="A553" s="18">
        <v>8</v>
      </c>
      <c r="B553" s="113"/>
      <c r="C553" s="18"/>
      <c r="D553" s="18">
        <v>1</v>
      </c>
      <c r="E553" s="20">
        <v>3400</v>
      </c>
      <c r="F553" s="20">
        <v>998</v>
      </c>
      <c r="G553" s="18"/>
      <c r="H553" s="18">
        <v>1</v>
      </c>
      <c r="I553" s="21" t="s">
        <v>1454</v>
      </c>
      <c r="J553" s="18">
        <v>1</v>
      </c>
      <c r="K553" s="18">
        <v>2376</v>
      </c>
      <c r="L553" s="125"/>
      <c r="M553" s="126"/>
    </row>
    <row r="554" spans="1:13">
      <c r="A554" s="18">
        <v>9</v>
      </c>
      <c r="B554" s="113"/>
      <c r="C554" s="18"/>
      <c r="D554" s="18">
        <v>1</v>
      </c>
      <c r="E554" s="20">
        <v>3400</v>
      </c>
      <c r="F554" s="20">
        <v>998</v>
      </c>
      <c r="G554" s="18"/>
      <c r="H554" s="18">
        <v>1</v>
      </c>
      <c r="I554" s="21" t="s">
        <v>1452</v>
      </c>
      <c r="J554" s="18">
        <v>1</v>
      </c>
      <c r="K554" s="18">
        <v>2376</v>
      </c>
      <c r="L554" s="125"/>
      <c r="M554" s="126"/>
    </row>
    <row r="555" spans="1:13">
      <c r="A555" s="18">
        <v>10</v>
      </c>
      <c r="B555" s="113"/>
      <c r="C555" s="18"/>
      <c r="D555" s="18">
        <v>1</v>
      </c>
      <c r="E555" s="20">
        <v>3400</v>
      </c>
      <c r="F555" s="20">
        <v>5</v>
      </c>
      <c r="G555" s="18"/>
      <c r="H555" s="18">
        <v>1</v>
      </c>
      <c r="I555" s="21" t="s">
        <v>1450</v>
      </c>
      <c r="J555" s="18">
        <v>1</v>
      </c>
      <c r="K555" s="18">
        <v>2376</v>
      </c>
      <c r="L555" s="125"/>
      <c r="M555" s="126"/>
    </row>
    <row r="556" spans="1:13">
      <c r="A556" s="18"/>
      <c r="B556" s="113"/>
      <c r="C556" s="18"/>
      <c r="D556" s="18"/>
      <c r="E556" s="20"/>
      <c r="F556" s="20"/>
      <c r="G556" s="18"/>
      <c r="H556" s="18">
        <v>1</v>
      </c>
      <c r="I556" s="21" t="s">
        <v>1451</v>
      </c>
      <c r="J556" s="18">
        <v>1</v>
      </c>
      <c r="K556" s="18">
        <v>305</v>
      </c>
      <c r="L556" s="125"/>
      <c r="M556" s="126"/>
    </row>
    <row r="557" spans="1:13">
      <c r="A557" s="18"/>
      <c r="B557" s="113"/>
      <c r="C557" s="18"/>
      <c r="D557" s="18"/>
      <c r="E557" s="20"/>
      <c r="F557" s="20"/>
      <c r="G557" s="18"/>
      <c r="H557" s="18">
        <v>1</v>
      </c>
      <c r="I557" s="21" t="s">
        <v>1453</v>
      </c>
      <c r="J557" s="18">
        <v>1</v>
      </c>
      <c r="K557" s="18">
        <v>305</v>
      </c>
      <c r="L557" s="125"/>
      <c r="M557" s="126"/>
    </row>
    <row r="558" spans="1:13">
      <c r="A558" s="18"/>
      <c r="B558" s="113"/>
      <c r="C558" s="18"/>
      <c r="D558" s="18"/>
      <c r="E558" s="20"/>
      <c r="F558" s="20"/>
      <c r="G558" s="18"/>
      <c r="H558" s="18">
        <v>1</v>
      </c>
      <c r="I558" s="21" t="s">
        <v>1455</v>
      </c>
      <c r="J558" s="18">
        <v>1</v>
      </c>
      <c r="K558" s="18">
        <v>305</v>
      </c>
      <c r="L558" s="125"/>
      <c r="M558" s="126"/>
    </row>
    <row r="559" spans="1:13">
      <c r="A559" s="18">
        <v>11</v>
      </c>
      <c r="B559" s="113"/>
      <c r="C559" s="18"/>
      <c r="D559" s="18">
        <v>1</v>
      </c>
      <c r="E559" s="20">
        <v>900</v>
      </c>
      <c r="F559" s="20">
        <v>187</v>
      </c>
      <c r="G559" s="18"/>
      <c r="H559" s="18">
        <v>1</v>
      </c>
      <c r="I559" s="21" t="s">
        <v>1445</v>
      </c>
      <c r="J559" s="18">
        <v>1</v>
      </c>
      <c r="K559" s="18">
        <v>419</v>
      </c>
      <c r="L559" s="125"/>
      <c r="M559" s="126"/>
    </row>
    <row r="560" spans="1:13">
      <c r="A560" s="18"/>
      <c r="B560" s="113"/>
      <c r="C560" s="18"/>
      <c r="D560" s="18"/>
      <c r="E560" s="20"/>
      <c r="F560" s="20"/>
      <c r="G560" s="18"/>
      <c r="H560" s="18">
        <v>1</v>
      </c>
      <c r="I560" s="21" t="s">
        <v>1447</v>
      </c>
      <c r="J560" s="18">
        <v>1</v>
      </c>
      <c r="K560" s="18">
        <v>242</v>
      </c>
      <c r="L560" s="125"/>
      <c r="M560" s="126"/>
    </row>
    <row r="561" spans="1:13">
      <c r="A561" s="18">
        <v>12</v>
      </c>
      <c r="B561" s="113"/>
      <c r="C561" s="18"/>
      <c r="D561" s="18">
        <v>1</v>
      </c>
      <c r="E561" s="20">
        <v>900</v>
      </c>
      <c r="F561" s="20">
        <v>672</v>
      </c>
      <c r="G561" s="18"/>
      <c r="H561" s="18">
        <v>1</v>
      </c>
      <c r="I561" s="21" t="s">
        <v>1448</v>
      </c>
      <c r="J561" s="18">
        <v>1</v>
      </c>
      <c r="K561" s="18">
        <v>202</v>
      </c>
      <c r="L561" s="125"/>
      <c r="M561" s="126"/>
    </row>
    <row r="562" spans="1:13">
      <c r="A562" s="18">
        <v>13</v>
      </c>
      <c r="B562" s="112"/>
      <c r="C562" s="18"/>
      <c r="D562" s="18">
        <v>1</v>
      </c>
      <c r="E562" s="20">
        <v>445</v>
      </c>
      <c r="F562" s="20"/>
      <c r="G562" s="18"/>
      <c r="H562" s="18">
        <v>1</v>
      </c>
      <c r="I562" s="21" t="s">
        <v>1437</v>
      </c>
      <c r="J562" s="18">
        <v>1</v>
      </c>
      <c r="K562" s="18">
        <v>419</v>
      </c>
      <c r="L562" s="127"/>
      <c r="M562" s="128"/>
    </row>
    <row r="563" spans="1:13">
      <c r="A563" s="18"/>
      <c r="B563" s="18"/>
      <c r="C563" s="18"/>
      <c r="D563" s="18"/>
      <c r="E563" s="20"/>
      <c r="F563" s="20"/>
      <c r="G563" s="18"/>
      <c r="H563" s="18"/>
      <c r="I563" s="21"/>
      <c r="J563" s="18"/>
      <c r="K563" s="18"/>
      <c r="L563" s="22"/>
      <c r="M563" s="18"/>
    </row>
    <row r="564" spans="1:13">
      <c r="A564" s="117" t="s">
        <v>4</v>
      </c>
      <c r="B564" s="117"/>
      <c r="C564" s="117"/>
      <c r="D564" s="117"/>
      <c r="E564" s="117"/>
      <c r="F564" s="117"/>
      <c r="G564" s="117"/>
      <c r="H564" s="117"/>
      <c r="I564" s="118" t="s">
        <v>8</v>
      </c>
      <c r="J564" s="118"/>
      <c r="K564" s="89" t="s">
        <v>70</v>
      </c>
      <c r="L564" s="119"/>
      <c r="M564" s="120"/>
    </row>
    <row r="565" spans="1:13">
      <c r="A565" s="117"/>
      <c r="B565" s="117"/>
      <c r="C565" s="117"/>
      <c r="D565" s="117"/>
      <c r="E565" s="117"/>
      <c r="F565" s="117"/>
      <c r="G565" s="117"/>
      <c r="H565" s="117"/>
      <c r="I565" s="118" t="s">
        <v>25</v>
      </c>
      <c r="J565" s="118"/>
      <c r="K565" s="121" t="s">
        <v>1613</v>
      </c>
      <c r="L565" s="118"/>
      <c r="M565" s="118"/>
    </row>
    <row r="566" spans="1:13">
      <c r="A566" s="117"/>
      <c r="B566" s="117"/>
      <c r="C566" s="117"/>
      <c r="D566" s="117"/>
      <c r="E566" s="117"/>
      <c r="F566" s="117"/>
      <c r="G566" s="117"/>
      <c r="H566" s="117"/>
      <c r="I566" s="87" t="s">
        <v>26</v>
      </c>
      <c r="J566" s="88"/>
      <c r="K566" s="95" t="s">
        <v>290</v>
      </c>
      <c r="L566" s="104"/>
      <c r="M566" s="88"/>
    </row>
    <row r="567" spans="1:13">
      <c r="A567" s="118" t="s">
        <v>31</v>
      </c>
      <c r="B567" s="118"/>
      <c r="C567" s="118" t="s">
        <v>32</v>
      </c>
      <c r="D567" s="118"/>
      <c r="E567" s="118"/>
      <c r="F567" s="118"/>
      <c r="G567" s="118"/>
      <c r="H567" s="118"/>
      <c r="I567" s="40" t="s">
        <v>29</v>
      </c>
      <c r="J567" s="41"/>
      <c r="K567" s="118" t="s">
        <v>1328</v>
      </c>
      <c r="L567" s="118"/>
      <c r="M567" s="118"/>
    </row>
    <row r="568" spans="1:13">
      <c r="A568" s="118"/>
      <c r="B568" s="118"/>
      <c r="C568" s="118"/>
      <c r="D568" s="118"/>
      <c r="E568" s="118"/>
      <c r="F568" s="118"/>
      <c r="G568" s="118"/>
      <c r="H568" s="118"/>
      <c r="I568" s="118" t="s">
        <v>30</v>
      </c>
      <c r="J568" s="118"/>
      <c r="K568" s="118" t="s">
        <v>1436</v>
      </c>
      <c r="L568" s="118"/>
      <c r="M568" s="118"/>
    </row>
    <row r="569" spans="1:13">
      <c r="A569" s="122" t="s">
        <v>24</v>
      </c>
      <c r="B569" s="122"/>
      <c r="C569" s="122"/>
      <c r="D569" s="42">
        <v>3</v>
      </c>
      <c r="E569" s="117" t="s">
        <v>40</v>
      </c>
      <c r="F569" s="117"/>
      <c r="G569" s="117"/>
      <c r="H569" s="42">
        <v>6</v>
      </c>
      <c r="I569" s="118" t="s">
        <v>27</v>
      </c>
      <c r="J569" s="118"/>
      <c r="K569" s="118" t="s">
        <v>21</v>
      </c>
      <c r="L569" s="118"/>
      <c r="M569" s="118"/>
    </row>
    <row r="570" spans="1:13" ht="45">
      <c r="A570" s="3" t="s">
        <v>9</v>
      </c>
      <c r="B570" s="3" t="s">
        <v>10</v>
      </c>
      <c r="C570" s="3" t="s">
        <v>11</v>
      </c>
      <c r="D570" s="3" t="s">
        <v>3</v>
      </c>
      <c r="E570" s="4" t="s">
        <v>41</v>
      </c>
      <c r="F570" s="4" t="s">
        <v>12</v>
      </c>
      <c r="G570" s="3" t="s">
        <v>13</v>
      </c>
      <c r="H570" s="3" t="s">
        <v>14</v>
      </c>
      <c r="I570" s="3" t="s">
        <v>1103</v>
      </c>
      <c r="J570" s="3" t="s">
        <v>16</v>
      </c>
      <c r="K570" s="3" t="s">
        <v>17</v>
      </c>
      <c r="L570" s="3" t="s">
        <v>18</v>
      </c>
      <c r="M570" s="3" t="s">
        <v>19</v>
      </c>
    </row>
    <row r="571" spans="1:13">
      <c r="A571" s="18">
        <v>1</v>
      </c>
      <c r="B571" s="111" t="s">
        <v>1102</v>
      </c>
      <c r="C571" s="18"/>
      <c r="D571" s="18">
        <v>1</v>
      </c>
      <c r="E571" s="20">
        <v>11500</v>
      </c>
      <c r="F571" s="20">
        <v>298</v>
      </c>
      <c r="G571" s="18"/>
      <c r="H571" s="18">
        <v>1</v>
      </c>
      <c r="I571" s="21" t="s">
        <v>1431</v>
      </c>
      <c r="J571" s="18">
        <v>1</v>
      </c>
      <c r="K571" s="18">
        <v>2816</v>
      </c>
      <c r="L571" s="22"/>
      <c r="M571" s="18"/>
    </row>
    <row r="572" spans="1:13">
      <c r="A572" s="18"/>
      <c r="B572" s="113"/>
      <c r="C572" s="18"/>
      <c r="D572" s="18"/>
      <c r="E572" s="20"/>
      <c r="F572" s="20"/>
      <c r="G572" s="18"/>
      <c r="H572" s="18">
        <v>1</v>
      </c>
      <c r="I572" s="21" t="s">
        <v>1432</v>
      </c>
      <c r="J572" s="18">
        <v>1</v>
      </c>
      <c r="K572" s="18">
        <v>2816</v>
      </c>
      <c r="L572" s="22"/>
      <c r="M572" s="18"/>
    </row>
    <row r="573" spans="1:13">
      <c r="A573" s="18"/>
      <c r="B573" s="113"/>
      <c r="C573" s="18"/>
      <c r="D573" s="18"/>
      <c r="E573" s="20"/>
      <c r="F573" s="20"/>
      <c r="G573" s="18"/>
      <c r="H573" s="18">
        <v>1</v>
      </c>
      <c r="I573" s="21" t="s">
        <v>1433</v>
      </c>
      <c r="J573" s="18">
        <v>1</v>
      </c>
      <c r="K573" s="18">
        <v>2816</v>
      </c>
      <c r="L573" s="22"/>
      <c r="M573" s="18"/>
    </row>
    <row r="574" spans="1:13">
      <c r="A574" s="18"/>
      <c r="B574" s="113"/>
      <c r="C574" s="18"/>
      <c r="D574" s="18"/>
      <c r="E574" s="20"/>
      <c r="F574" s="20"/>
      <c r="G574" s="18"/>
      <c r="H574" s="18">
        <v>1</v>
      </c>
      <c r="I574" s="21" t="s">
        <v>1434</v>
      </c>
      <c r="J574" s="18">
        <v>1</v>
      </c>
      <c r="K574" s="18">
        <v>2650</v>
      </c>
      <c r="L574" s="22"/>
      <c r="M574" s="18"/>
    </row>
    <row r="575" spans="1:13">
      <c r="A575" s="18">
        <v>2</v>
      </c>
      <c r="B575" s="113"/>
      <c r="C575" s="18"/>
      <c r="D575" s="18">
        <v>1</v>
      </c>
      <c r="E575" s="20">
        <v>11500</v>
      </c>
      <c r="F575" s="20">
        <v>9409</v>
      </c>
      <c r="G575" s="18"/>
      <c r="H575" s="18">
        <v>1</v>
      </c>
      <c r="I575" s="21" t="s">
        <v>1435</v>
      </c>
      <c r="J575" s="18">
        <v>1</v>
      </c>
      <c r="K575" s="18">
        <v>2065</v>
      </c>
      <c r="L575" s="22"/>
      <c r="M575" s="18"/>
    </row>
    <row r="576" spans="1:13">
      <c r="A576" s="18">
        <v>3</v>
      </c>
      <c r="B576" s="113"/>
      <c r="C576" s="18"/>
      <c r="D576" s="18">
        <v>1</v>
      </c>
      <c r="E576" s="20">
        <v>11500</v>
      </c>
      <c r="F576" s="20"/>
      <c r="G576" s="18"/>
      <c r="H576" s="18">
        <v>1</v>
      </c>
      <c r="I576" s="21" t="s">
        <v>1428</v>
      </c>
      <c r="J576" s="18">
        <v>1</v>
      </c>
      <c r="K576" s="18">
        <v>11500</v>
      </c>
      <c r="L576" s="22"/>
      <c r="M576" s="18"/>
    </row>
    <row r="577" spans="1:13">
      <c r="A577" s="18">
        <v>4</v>
      </c>
      <c r="B577" s="113"/>
      <c r="C577" s="18"/>
      <c r="D577" s="18">
        <v>1</v>
      </c>
      <c r="E577" s="20">
        <v>6290</v>
      </c>
      <c r="F577" s="20">
        <v>606</v>
      </c>
      <c r="G577" s="18"/>
      <c r="H577" s="18">
        <v>1</v>
      </c>
      <c r="I577" s="21" t="s">
        <v>1429</v>
      </c>
      <c r="J577" s="18">
        <v>1</v>
      </c>
      <c r="K577" s="18">
        <v>2816</v>
      </c>
      <c r="L577" s="136" t="s">
        <v>873</v>
      </c>
      <c r="M577" s="137"/>
    </row>
    <row r="578" spans="1:13">
      <c r="A578" s="18"/>
      <c r="B578" s="112"/>
      <c r="C578" s="18"/>
      <c r="D578" s="18"/>
      <c r="E578" s="20"/>
      <c r="F578" s="20"/>
      <c r="G578" s="18"/>
      <c r="H578" s="18">
        <v>1</v>
      </c>
      <c r="I578" s="21" t="s">
        <v>1430</v>
      </c>
      <c r="J578" s="18">
        <v>1</v>
      </c>
      <c r="K578" s="18">
        <v>2816</v>
      </c>
      <c r="L578" s="138"/>
      <c r="M578" s="139"/>
    </row>
    <row r="579" spans="1:13">
      <c r="A579" s="18"/>
      <c r="B579" s="18"/>
      <c r="C579" s="18"/>
      <c r="D579" s="18"/>
      <c r="E579" s="20"/>
      <c r="F579" s="20"/>
      <c r="G579" s="18"/>
      <c r="H579" s="18"/>
      <c r="I579" s="21"/>
      <c r="J579" s="18"/>
      <c r="K579" s="18"/>
      <c r="L579" s="22"/>
      <c r="M579" s="18"/>
    </row>
    <row r="580" spans="1:13">
      <c r="A580" s="131" t="s">
        <v>1101</v>
      </c>
      <c r="B580" s="132"/>
      <c r="C580" s="132"/>
      <c r="D580" s="132"/>
      <c r="E580" s="132"/>
      <c r="F580" s="132"/>
      <c r="G580" s="132"/>
      <c r="H580" s="132"/>
      <c r="I580" s="132"/>
      <c r="J580" s="132"/>
      <c r="K580" s="132"/>
      <c r="L580" s="132"/>
      <c r="M580" s="133"/>
    </row>
    <row r="581" spans="1:13">
      <c r="A581" s="117" t="s">
        <v>4</v>
      </c>
      <c r="B581" s="117"/>
      <c r="C581" s="117"/>
      <c r="D581" s="117"/>
      <c r="E581" s="117"/>
      <c r="F581" s="117"/>
      <c r="G581" s="117"/>
      <c r="H581" s="117"/>
      <c r="I581" s="118" t="s">
        <v>8</v>
      </c>
      <c r="J581" s="118"/>
      <c r="K581" s="89" t="s">
        <v>70</v>
      </c>
      <c r="L581" s="119"/>
      <c r="M581" s="120"/>
    </row>
    <row r="582" spans="1:13">
      <c r="A582" s="117"/>
      <c r="B582" s="117"/>
      <c r="C582" s="117"/>
      <c r="D582" s="117"/>
      <c r="E582" s="117"/>
      <c r="F582" s="117"/>
      <c r="G582" s="117"/>
      <c r="H582" s="117"/>
      <c r="I582" s="118" t="s">
        <v>25</v>
      </c>
      <c r="J582" s="118"/>
      <c r="K582" s="121" t="s">
        <v>1327</v>
      </c>
      <c r="L582" s="118"/>
      <c r="M582" s="118"/>
    </row>
    <row r="583" spans="1:13">
      <c r="A583" s="117"/>
      <c r="B583" s="117"/>
      <c r="C583" s="117"/>
      <c r="D583" s="117"/>
      <c r="E583" s="117"/>
      <c r="F583" s="117"/>
      <c r="G583" s="117"/>
      <c r="H583" s="117"/>
      <c r="I583" s="87" t="s">
        <v>26</v>
      </c>
      <c r="J583" s="88"/>
      <c r="K583" s="95" t="s">
        <v>1419</v>
      </c>
      <c r="L583" s="104"/>
      <c r="M583" s="88"/>
    </row>
    <row r="584" spans="1:13">
      <c r="A584" s="118" t="s">
        <v>31</v>
      </c>
      <c r="B584" s="118"/>
      <c r="C584" s="118" t="s">
        <v>32</v>
      </c>
      <c r="D584" s="118"/>
      <c r="E584" s="118"/>
      <c r="F584" s="118"/>
      <c r="G584" s="118"/>
      <c r="H584" s="118"/>
      <c r="I584" s="40" t="s">
        <v>29</v>
      </c>
      <c r="J584" s="41"/>
      <c r="K584" s="118" t="s">
        <v>1328</v>
      </c>
      <c r="L584" s="118"/>
      <c r="M584" s="118"/>
    </row>
    <row r="585" spans="1:13">
      <c r="A585" s="118"/>
      <c r="B585" s="118"/>
      <c r="C585" s="118"/>
      <c r="D585" s="118"/>
      <c r="E585" s="118"/>
      <c r="F585" s="118"/>
      <c r="G585" s="118"/>
      <c r="H585" s="118"/>
      <c r="I585" s="118" t="s">
        <v>30</v>
      </c>
      <c r="J585" s="118"/>
      <c r="K585" s="118" t="s">
        <v>1420</v>
      </c>
      <c r="L585" s="118"/>
      <c r="M585" s="118"/>
    </row>
    <row r="586" spans="1:13">
      <c r="A586" s="122" t="s">
        <v>24</v>
      </c>
      <c r="B586" s="122"/>
      <c r="C586" s="122"/>
      <c r="D586" s="42">
        <v>1</v>
      </c>
      <c r="E586" s="117" t="s">
        <v>40</v>
      </c>
      <c r="F586" s="117"/>
      <c r="G586" s="117"/>
      <c r="H586" s="42">
        <v>1</v>
      </c>
      <c r="I586" s="118" t="s">
        <v>27</v>
      </c>
      <c r="J586" s="118"/>
      <c r="K586" s="118" t="s">
        <v>21</v>
      </c>
      <c r="L586" s="118"/>
      <c r="M586" s="118"/>
    </row>
    <row r="587" spans="1:13" ht="45">
      <c r="A587" s="3" t="s">
        <v>9</v>
      </c>
      <c r="B587" s="3" t="s">
        <v>10</v>
      </c>
      <c r="C587" s="3" t="s">
        <v>11</v>
      </c>
      <c r="D587" s="3" t="s">
        <v>3</v>
      </c>
      <c r="E587" s="4" t="s">
        <v>41</v>
      </c>
      <c r="F587" s="4" t="s">
        <v>12</v>
      </c>
      <c r="G587" s="3" t="s">
        <v>13</v>
      </c>
      <c r="H587" s="3" t="s">
        <v>14</v>
      </c>
      <c r="I587" s="3" t="s">
        <v>1103</v>
      </c>
      <c r="J587" s="3" t="s">
        <v>16</v>
      </c>
      <c r="K587" s="3" t="s">
        <v>17</v>
      </c>
      <c r="L587" s="3" t="s">
        <v>18</v>
      </c>
      <c r="M587" s="3" t="s">
        <v>19</v>
      </c>
    </row>
    <row r="588" spans="1:13">
      <c r="A588" s="18">
        <v>1</v>
      </c>
      <c r="B588" s="111" t="s">
        <v>1421</v>
      </c>
      <c r="C588" s="18"/>
      <c r="D588" s="18">
        <v>1</v>
      </c>
      <c r="E588" s="20">
        <v>11500</v>
      </c>
      <c r="F588" s="20">
        <v>9996</v>
      </c>
      <c r="G588" s="18"/>
      <c r="H588" s="18">
        <v>1</v>
      </c>
      <c r="I588" s="21" t="s">
        <v>1417</v>
      </c>
      <c r="J588" s="18">
        <v>1</v>
      </c>
      <c r="K588" s="18">
        <v>1478</v>
      </c>
      <c r="L588" s="22"/>
      <c r="M588" s="18"/>
    </row>
    <row r="589" spans="1:13">
      <c r="A589" s="18"/>
      <c r="B589" s="112"/>
      <c r="C589" s="18"/>
      <c r="D589" s="18"/>
      <c r="E589" s="20"/>
      <c r="F589" s="20"/>
      <c r="G589" s="18"/>
      <c r="H589" s="18"/>
      <c r="I589" s="21"/>
      <c r="J589" s="18"/>
      <c r="K589" s="18"/>
      <c r="L589" s="22"/>
      <c r="M589" s="18"/>
    </row>
    <row r="590" spans="1:13">
      <c r="A590" s="117" t="s">
        <v>4</v>
      </c>
      <c r="B590" s="117"/>
      <c r="C590" s="117"/>
      <c r="D590" s="117"/>
      <c r="E590" s="117"/>
      <c r="F590" s="117"/>
      <c r="G590" s="117"/>
      <c r="H590" s="117"/>
      <c r="I590" s="118" t="s">
        <v>8</v>
      </c>
      <c r="J590" s="118"/>
      <c r="K590" s="89" t="s">
        <v>70</v>
      </c>
      <c r="L590" s="119"/>
      <c r="M590" s="120"/>
    </row>
    <row r="591" spans="1:13">
      <c r="A591" s="117"/>
      <c r="B591" s="117"/>
      <c r="C591" s="117"/>
      <c r="D591" s="117"/>
      <c r="E591" s="117"/>
      <c r="F591" s="117"/>
      <c r="G591" s="117"/>
      <c r="H591" s="117"/>
      <c r="I591" s="118" t="s">
        <v>25</v>
      </c>
      <c r="J591" s="118"/>
      <c r="K591" s="121" t="s">
        <v>1327</v>
      </c>
      <c r="L591" s="118"/>
      <c r="M591" s="118"/>
    </row>
    <row r="592" spans="1:13">
      <c r="A592" s="117"/>
      <c r="B592" s="117"/>
      <c r="C592" s="117"/>
      <c r="D592" s="117"/>
      <c r="E592" s="117"/>
      <c r="F592" s="117"/>
      <c r="G592" s="117"/>
      <c r="H592" s="117"/>
      <c r="I592" s="87" t="s">
        <v>26</v>
      </c>
      <c r="J592" s="88"/>
      <c r="K592" s="95" t="s">
        <v>1414</v>
      </c>
      <c r="L592" s="104"/>
      <c r="M592" s="88"/>
    </row>
    <row r="593" spans="1:13">
      <c r="A593" s="118" t="s">
        <v>31</v>
      </c>
      <c r="B593" s="118"/>
      <c r="C593" s="118" t="s">
        <v>32</v>
      </c>
      <c r="D593" s="118"/>
      <c r="E593" s="118"/>
      <c r="F593" s="118"/>
      <c r="G593" s="118"/>
      <c r="H593" s="118"/>
      <c r="I593" s="40" t="s">
        <v>29</v>
      </c>
      <c r="J593" s="41"/>
      <c r="K593" s="118" t="s">
        <v>1328</v>
      </c>
      <c r="L593" s="118"/>
      <c r="M593" s="118"/>
    </row>
    <row r="594" spans="1:13">
      <c r="A594" s="118"/>
      <c r="B594" s="118"/>
      <c r="C594" s="118"/>
      <c r="D594" s="118"/>
      <c r="E594" s="118"/>
      <c r="F594" s="118"/>
      <c r="G594" s="118"/>
      <c r="H594" s="118"/>
      <c r="I594" s="118" t="s">
        <v>30</v>
      </c>
      <c r="J594" s="118"/>
      <c r="K594" s="118" t="s">
        <v>1415</v>
      </c>
      <c r="L594" s="118"/>
      <c r="M594" s="118"/>
    </row>
    <row r="595" spans="1:13">
      <c r="A595" s="122" t="s">
        <v>24</v>
      </c>
      <c r="B595" s="122"/>
      <c r="C595" s="122"/>
      <c r="D595" s="42">
        <v>2</v>
      </c>
      <c r="E595" s="117" t="s">
        <v>40</v>
      </c>
      <c r="F595" s="117"/>
      <c r="G595" s="117"/>
      <c r="H595" s="42">
        <v>2</v>
      </c>
      <c r="I595" s="118" t="s">
        <v>27</v>
      </c>
      <c r="J595" s="118"/>
      <c r="K595" s="118" t="s">
        <v>21</v>
      </c>
      <c r="L595" s="118"/>
      <c r="M595" s="118"/>
    </row>
    <row r="596" spans="1:13" ht="45">
      <c r="A596" s="3" t="s">
        <v>9</v>
      </c>
      <c r="B596" s="3" t="s">
        <v>10</v>
      </c>
      <c r="C596" s="3" t="s">
        <v>11</v>
      </c>
      <c r="D596" s="3" t="s">
        <v>3</v>
      </c>
      <c r="E596" s="4" t="s">
        <v>41</v>
      </c>
      <c r="F596" s="4" t="s">
        <v>12</v>
      </c>
      <c r="G596" s="3" t="s">
        <v>13</v>
      </c>
      <c r="H596" s="3" t="s">
        <v>14</v>
      </c>
      <c r="I596" s="3" t="s">
        <v>1103</v>
      </c>
      <c r="J596" s="3" t="s">
        <v>16</v>
      </c>
      <c r="K596" s="3" t="s">
        <v>17</v>
      </c>
      <c r="L596" s="3" t="s">
        <v>18</v>
      </c>
      <c r="M596" s="3" t="s">
        <v>19</v>
      </c>
    </row>
    <row r="597" spans="1:13">
      <c r="A597" s="18">
        <v>1</v>
      </c>
      <c r="B597" s="111" t="s">
        <v>1416</v>
      </c>
      <c r="C597" s="18"/>
      <c r="D597" s="18">
        <v>1</v>
      </c>
      <c r="E597" s="20">
        <v>11500</v>
      </c>
      <c r="F597" s="20"/>
      <c r="G597" s="18"/>
      <c r="H597" s="18">
        <v>1</v>
      </c>
      <c r="I597" s="21" t="s">
        <v>1413</v>
      </c>
      <c r="J597" s="18">
        <v>1</v>
      </c>
      <c r="K597" s="18">
        <v>11500</v>
      </c>
      <c r="L597" s="22"/>
      <c r="M597" s="18"/>
    </row>
    <row r="598" spans="1:13">
      <c r="A598" s="18">
        <v>2</v>
      </c>
      <c r="B598" s="112"/>
      <c r="C598" s="18"/>
      <c r="D598" s="18">
        <v>1</v>
      </c>
      <c r="E598" s="20">
        <v>11500</v>
      </c>
      <c r="F598" s="20"/>
      <c r="G598" s="18"/>
      <c r="H598" s="18">
        <v>1</v>
      </c>
      <c r="I598" s="21" t="s">
        <v>1412</v>
      </c>
      <c r="J598" s="18">
        <v>1</v>
      </c>
      <c r="K598" s="18">
        <v>11500</v>
      </c>
      <c r="L598" s="22"/>
      <c r="M598" s="18"/>
    </row>
    <row r="599" spans="1:13">
      <c r="A599" s="18"/>
      <c r="B599" s="18"/>
      <c r="C599" s="18"/>
      <c r="D599" s="18"/>
      <c r="E599" s="20"/>
      <c r="F599" s="20"/>
      <c r="G599" s="18"/>
      <c r="H599" s="18"/>
      <c r="I599" s="21"/>
      <c r="J599" s="18"/>
      <c r="K599" s="18"/>
      <c r="L599" s="22"/>
      <c r="M599" s="18"/>
    </row>
    <row r="600" spans="1:13">
      <c r="A600" s="117" t="s">
        <v>4</v>
      </c>
      <c r="B600" s="117"/>
      <c r="C600" s="117"/>
      <c r="D600" s="117"/>
      <c r="E600" s="117"/>
      <c r="F600" s="117"/>
      <c r="G600" s="117"/>
      <c r="H600" s="117"/>
      <c r="I600" s="118" t="s">
        <v>8</v>
      </c>
      <c r="J600" s="118"/>
      <c r="K600" s="89" t="s">
        <v>70</v>
      </c>
      <c r="L600" s="119"/>
      <c r="M600" s="120"/>
    </row>
    <row r="601" spans="1:13">
      <c r="A601" s="117"/>
      <c r="B601" s="117"/>
      <c r="C601" s="117"/>
      <c r="D601" s="117"/>
      <c r="E601" s="117"/>
      <c r="F601" s="117"/>
      <c r="G601" s="117"/>
      <c r="H601" s="117"/>
      <c r="I601" s="118" t="s">
        <v>25</v>
      </c>
      <c r="J601" s="118"/>
      <c r="K601" s="121" t="s">
        <v>1327</v>
      </c>
      <c r="L601" s="118"/>
      <c r="M601" s="118"/>
    </row>
    <row r="602" spans="1:13">
      <c r="A602" s="117"/>
      <c r="B602" s="117"/>
      <c r="C602" s="117"/>
      <c r="D602" s="117"/>
      <c r="E602" s="117"/>
      <c r="F602" s="117"/>
      <c r="G602" s="117"/>
      <c r="H602" s="117"/>
      <c r="I602" s="87" t="s">
        <v>26</v>
      </c>
      <c r="J602" s="88"/>
      <c r="K602" s="95" t="s">
        <v>1409</v>
      </c>
      <c r="L602" s="104"/>
      <c r="M602" s="88"/>
    </row>
    <row r="603" spans="1:13">
      <c r="A603" s="118" t="s">
        <v>31</v>
      </c>
      <c r="B603" s="118"/>
      <c r="C603" s="118" t="s">
        <v>32</v>
      </c>
      <c r="D603" s="118"/>
      <c r="E603" s="118"/>
      <c r="F603" s="118"/>
      <c r="G603" s="118"/>
      <c r="H603" s="118"/>
      <c r="I603" s="40" t="s">
        <v>29</v>
      </c>
      <c r="J603" s="41"/>
      <c r="K603" s="118" t="s">
        <v>1328</v>
      </c>
      <c r="L603" s="118"/>
      <c r="M603" s="118"/>
    </row>
    <row r="604" spans="1:13">
      <c r="A604" s="118"/>
      <c r="B604" s="118"/>
      <c r="C604" s="118"/>
      <c r="D604" s="118"/>
      <c r="E604" s="118"/>
      <c r="F604" s="118"/>
      <c r="G604" s="118"/>
      <c r="H604" s="118"/>
      <c r="I604" s="118" t="s">
        <v>30</v>
      </c>
      <c r="J604" s="118"/>
      <c r="K604" s="118" t="s">
        <v>1410</v>
      </c>
      <c r="L604" s="118"/>
      <c r="M604" s="118"/>
    </row>
    <row r="605" spans="1:13">
      <c r="A605" s="122" t="s">
        <v>24</v>
      </c>
      <c r="B605" s="122"/>
      <c r="C605" s="122"/>
      <c r="D605" s="42">
        <v>4</v>
      </c>
      <c r="E605" s="117" t="s">
        <v>40</v>
      </c>
      <c r="F605" s="117"/>
      <c r="G605" s="117"/>
      <c r="H605" s="42">
        <v>6</v>
      </c>
      <c r="I605" s="118" t="s">
        <v>27</v>
      </c>
      <c r="J605" s="118"/>
      <c r="K605" s="118" t="s">
        <v>21</v>
      </c>
      <c r="L605" s="118"/>
      <c r="M605" s="118"/>
    </row>
    <row r="606" spans="1:13" ht="45">
      <c r="A606" s="3" t="s">
        <v>9</v>
      </c>
      <c r="B606" s="3" t="s">
        <v>10</v>
      </c>
      <c r="C606" s="3" t="s">
        <v>11</v>
      </c>
      <c r="D606" s="3" t="s">
        <v>3</v>
      </c>
      <c r="E606" s="4" t="s">
        <v>41</v>
      </c>
      <c r="F606" s="4" t="s">
        <v>12</v>
      </c>
      <c r="G606" s="3" t="s">
        <v>13</v>
      </c>
      <c r="H606" s="3" t="s">
        <v>14</v>
      </c>
      <c r="I606" s="3" t="s">
        <v>1103</v>
      </c>
      <c r="J606" s="3" t="s">
        <v>16</v>
      </c>
      <c r="K606" s="3" t="s">
        <v>17</v>
      </c>
      <c r="L606" s="3" t="s">
        <v>18</v>
      </c>
      <c r="M606" s="3" t="s">
        <v>19</v>
      </c>
    </row>
    <row r="607" spans="1:13">
      <c r="A607" s="18">
        <v>1</v>
      </c>
      <c r="B607" s="111" t="s">
        <v>1411</v>
      </c>
      <c r="C607" s="18"/>
      <c r="D607" s="18">
        <v>1</v>
      </c>
      <c r="E607" s="20">
        <v>11500</v>
      </c>
      <c r="F607" s="20">
        <v>184</v>
      </c>
      <c r="G607" s="18"/>
      <c r="H607" s="18">
        <v>1</v>
      </c>
      <c r="I607" s="21" t="s">
        <v>1404</v>
      </c>
      <c r="J607" s="18">
        <v>1</v>
      </c>
      <c r="K607" s="18">
        <v>8207</v>
      </c>
      <c r="L607" s="22"/>
      <c r="M607" s="18"/>
    </row>
    <row r="608" spans="1:13">
      <c r="A608" s="18"/>
      <c r="B608" s="113"/>
      <c r="C608" s="18"/>
      <c r="D608" s="18"/>
      <c r="E608" s="20"/>
      <c r="F608" s="20"/>
      <c r="G608" s="18"/>
      <c r="H608" s="18">
        <v>1</v>
      </c>
      <c r="I608" s="21" t="s">
        <v>1406</v>
      </c>
      <c r="J608" s="18">
        <v>1</v>
      </c>
      <c r="K608" s="18">
        <v>3057</v>
      </c>
      <c r="L608" s="22"/>
      <c r="M608" s="18"/>
    </row>
    <row r="609" spans="1:13">
      <c r="A609" s="18">
        <v>2</v>
      </c>
      <c r="B609" s="113"/>
      <c r="C609" s="18"/>
      <c r="D609" s="18">
        <v>1</v>
      </c>
      <c r="E609" s="20">
        <v>11500</v>
      </c>
      <c r="F609" s="20">
        <v>5877</v>
      </c>
      <c r="G609" s="18"/>
      <c r="H609" s="18">
        <v>1</v>
      </c>
      <c r="I609" s="21" t="s">
        <v>1403</v>
      </c>
      <c r="J609" s="18">
        <v>1</v>
      </c>
      <c r="K609" s="18">
        <v>3714</v>
      </c>
      <c r="L609" s="22"/>
      <c r="M609" s="18"/>
    </row>
    <row r="610" spans="1:13">
      <c r="A610" s="18"/>
      <c r="B610" s="113"/>
      <c r="C610" s="18"/>
      <c r="D610" s="18"/>
      <c r="E610" s="20"/>
      <c r="F610" s="20"/>
      <c r="G610" s="18"/>
      <c r="H610" s="18">
        <v>1</v>
      </c>
      <c r="I610" s="21" t="s">
        <v>1405</v>
      </c>
      <c r="J610" s="18">
        <v>1</v>
      </c>
      <c r="K610" s="18">
        <v>1857</v>
      </c>
      <c r="L610" s="22"/>
      <c r="M610" s="18"/>
    </row>
    <row r="611" spans="1:13">
      <c r="A611" s="18">
        <v>3</v>
      </c>
      <c r="B611" s="113"/>
      <c r="C611" s="18"/>
      <c r="D611" s="18">
        <v>1</v>
      </c>
      <c r="E611" s="20">
        <v>11500</v>
      </c>
      <c r="F611" s="20"/>
      <c r="G611" s="18"/>
      <c r="H611" s="18">
        <v>1</v>
      </c>
      <c r="I611" s="21" t="s">
        <v>1407</v>
      </c>
      <c r="J611" s="18">
        <v>1</v>
      </c>
      <c r="K611" s="18">
        <v>11500</v>
      </c>
      <c r="L611" s="22"/>
      <c r="M611" s="18"/>
    </row>
    <row r="612" spans="1:13">
      <c r="A612" s="18">
        <v>4</v>
      </c>
      <c r="B612" s="112"/>
      <c r="C612" s="18"/>
      <c r="D612" s="18">
        <v>1</v>
      </c>
      <c r="E612" s="20">
        <v>11500</v>
      </c>
      <c r="F612" s="20"/>
      <c r="G612" s="18"/>
      <c r="H612" s="18">
        <v>1</v>
      </c>
      <c r="I612" s="21" t="s">
        <v>1408</v>
      </c>
      <c r="J612" s="18">
        <v>1</v>
      </c>
      <c r="K612" s="18">
        <v>11500</v>
      </c>
      <c r="L612" s="22"/>
      <c r="M612" s="18"/>
    </row>
    <row r="613" spans="1:13">
      <c r="A613" s="18"/>
      <c r="B613" s="19"/>
      <c r="C613" s="18"/>
      <c r="D613" s="18"/>
      <c r="E613" s="20"/>
      <c r="F613" s="20"/>
      <c r="G613" s="18"/>
      <c r="H613" s="18"/>
      <c r="I613" s="21"/>
      <c r="J613" s="18"/>
      <c r="K613" s="18"/>
      <c r="L613" s="22"/>
      <c r="M613" s="18"/>
    </row>
    <row r="614" spans="1:13">
      <c r="A614" s="117" t="s">
        <v>4</v>
      </c>
      <c r="B614" s="117"/>
      <c r="C614" s="117"/>
      <c r="D614" s="117"/>
      <c r="E614" s="117"/>
      <c r="F614" s="117"/>
      <c r="G614" s="117"/>
      <c r="H614" s="117"/>
      <c r="I614" s="118" t="s">
        <v>8</v>
      </c>
      <c r="J614" s="118"/>
      <c r="K614" s="89" t="s">
        <v>70</v>
      </c>
      <c r="L614" s="119"/>
      <c r="M614" s="120"/>
    </row>
    <row r="615" spans="1:13">
      <c r="A615" s="117"/>
      <c r="B615" s="117"/>
      <c r="C615" s="117"/>
      <c r="D615" s="117"/>
      <c r="E615" s="117"/>
      <c r="F615" s="117"/>
      <c r="G615" s="117"/>
      <c r="H615" s="117"/>
      <c r="I615" s="118" t="s">
        <v>25</v>
      </c>
      <c r="J615" s="118"/>
      <c r="K615" s="121" t="s">
        <v>1327</v>
      </c>
      <c r="L615" s="118"/>
      <c r="M615" s="118"/>
    </row>
    <row r="616" spans="1:13">
      <c r="A616" s="117"/>
      <c r="B616" s="117"/>
      <c r="C616" s="117"/>
      <c r="D616" s="117"/>
      <c r="E616" s="117"/>
      <c r="F616" s="117"/>
      <c r="G616" s="117"/>
      <c r="H616" s="117"/>
      <c r="I616" s="87" t="s">
        <v>26</v>
      </c>
      <c r="J616" s="88"/>
      <c r="K616" s="95" t="s">
        <v>530</v>
      </c>
      <c r="L616" s="104"/>
      <c r="M616" s="88"/>
    </row>
    <row r="617" spans="1:13">
      <c r="A617" s="118" t="s">
        <v>31</v>
      </c>
      <c r="B617" s="118"/>
      <c r="C617" s="118" t="s">
        <v>32</v>
      </c>
      <c r="D617" s="118"/>
      <c r="E617" s="118"/>
      <c r="F617" s="118"/>
      <c r="G617" s="118"/>
      <c r="H617" s="118"/>
      <c r="I617" s="40" t="s">
        <v>29</v>
      </c>
      <c r="J617" s="41"/>
      <c r="K617" s="118" t="s">
        <v>1328</v>
      </c>
      <c r="L617" s="118"/>
      <c r="M617" s="118"/>
    </row>
    <row r="618" spans="1:13">
      <c r="A618" s="118"/>
      <c r="B618" s="118"/>
      <c r="C618" s="118"/>
      <c r="D618" s="118"/>
      <c r="E618" s="118"/>
      <c r="F618" s="118"/>
      <c r="G618" s="118"/>
      <c r="H618" s="118"/>
      <c r="I618" s="118" t="s">
        <v>30</v>
      </c>
      <c r="J618" s="118"/>
      <c r="K618" s="118" t="s">
        <v>1390</v>
      </c>
      <c r="L618" s="118"/>
      <c r="M618" s="118"/>
    </row>
    <row r="619" spans="1:13">
      <c r="A619" s="122" t="s">
        <v>24</v>
      </c>
      <c r="B619" s="122"/>
      <c r="C619" s="122"/>
      <c r="D619" s="42">
        <v>2</v>
      </c>
      <c r="E619" s="117" t="s">
        <v>40</v>
      </c>
      <c r="F619" s="117"/>
      <c r="G619" s="117"/>
      <c r="H619" s="42">
        <v>4</v>
      </c>
      <c r="I619" s="118" t="s">
        <v>27</v>
      </c>
      <c r="J619" s="118"/>
      <c r="K619" s="118" t="s">
        <v>21</v>
      </c>
      <c r="L619" s="118"/>
      <c r="M619" s="118"/>
    </row>
    <row r="620" spans="1:13" ht="45">
      <c r="A620" s="3" t="s">
        <v>9</v>
      </c>
      <c r="B620" s="3" t="s">
        <v>10</v>
      </c>
      <c r="C620" s="3" t="s">
        <v>11</v>
      </c>
      <c r="D620" s="3" t="s">
        <v>3</v>
      </c>
      <c r="E620" s="4" t="s">
        <v>41</v>
      </c>
      <c r="F620" s="4" t="s">
        <v>12</v>
      </c>
      <c r="G620" s="3" t="s">
        <v>13</v>
      </c>
      <c r="H620" s="3" t="s">
        <v>14</v>
      </c>
      <c r="I620" s="3" t="s">
        <v>1103</v>
      </c>
      <c r="J620" s="3" t="s">
        <v>16</v>
      </c>
      <c r="K620" s="3" t="s">
        <v>17</v>
      </c>
      <c r="L620" s="3" t="s">
        <v>18</v>
      </c>
      <c r="M620" s="3" t="s">
        <v>19</v>
      </c>
    </row>
    <row r="621" spans="1:13">
      <c r="A621" s="18">
        <v>1</v>
      </c>
      <c r="B621" s="111" t="s">
        <v>1182</v>
      </c>
      <c r="C621" s="18"/>
      <c r="D621" s="18">
        <v>1</v>
      </c>
      <c r="E621" s="20">
        <v>11500</v>
      </c>
      <c r="F621" s="20">
        <v>547</v>
      </c>
      <c r="G621" s="18"/>
      <c r="H621" s="18">
        <v>1</v>
      </c>
      <c r="I621" s="21" t="s">
        <v>1387</v>
      </c>
      <c r="J621" s="18">
        <v>1</v>
      </c>
      <c r="K621" s="18">
        <v>8060</v>
      </c>
      <c r="L621" s="22"/>
      <c r="M621" s="18"/>
    </row>
    <row r="622" spans="1:13">
      <c r="A622" s="18"/>
      <c r="B622" s="113"/>
      <c r="C622" s="18"/>
      <c r="D622" s="18"/>
      <c r="E622" s="20"/>
      <c r="F622" s="20"/>
      <c r="G622" s="18"/>
      <c r="H622" s="18">
        <v>1</v>
      </c>
      <c r="I622" s="21" t="s">
        <v>1389</v>
      </c>
      <c r="J622" s="18">
        <v>1</v>
      </c>
      <c r="K622" s="18">
        <v>2841</v>
      </c>
      <c r="L622" s="22"/>
      <c r="M622" s="18"/>
    </row>
    <row r="623" spans="1:13">
      <c r="A623" s="18">
        <v>2</v>
      </c>
      <c r="B623" s="113"/>
      <c r="C623" s="18"/>
      <c r="D623" s="18">
        <v>1</v>
      </c>
      <c r="E623" s="20">
        <v>11500</v>
      </c>
      <c r="F623" s="20">
        <v>8888</v>
      </c>
      <c r="G623" s="18"/>
      <c r="H623" s="18">
        <v>1</v>
      </c>
      <c r="I623" s="21" t="s">
        <v>1388</v>
      </c>
      <c r="J623" s="18">
        <v>1</v>
      </c>
      <c r="K623" s="18">
        <v>1919</v>
      </c>
      <c r="L623" s="22"/>
      <c r="M623" s="18"/>
    </row>
    <row r="624" spans="1:13">
      <c r="A624" s="18"/>
      <c r="B624" s="112"/>
      <c r="C624" s="18"/>
      <c r="D624" s="18"/>
      <c r="E624" s="20"/>
      <c r="F624" s="20"/>
      <c r="G624" s="18"/>
      <c r="H624" s="18">
        <v>1</v>
      </c>
      <c r="I624" s="21" t="s">
        <v>1386</v>
      </c>
      <c r="J624" s="18">
        <v>1</v>
      </c>
      <c r="K624" s="18">
        <v>641</v>
      </c>
      <c r="L624" s="22"/>
      <c r="M624" s="18"/>
    </row>
    <row r="625" spans="1:13">
      <c r="A625" s="18"/>
      <c r="B625" s="18"/>
      <c r="C625" s="18"/>
      <c r="D625" s="18"/>
      <c r="E625" s="20"/>
      <c r="F625" s="20"/>
      <c r="G625" s="18"/>
      <c r="H625" s="18"/>
      <c r="I625" s="21"/>
      <c r="J625" s="18"/>
      <c r="K625" s="18"/>
      <c r="L625" s="22"/>
      <c r="M625" s="18"/>
    </row>
    <row r="626" spans="1:13">
      <c r="A626" s="117" t="s">
        <v>4</v>
      </c>
      <c r="B626" s="117"/>
      <c r="C626" s="117"/>
      <c r="D626" s="117"/>
      <c r="E626" s="117"/>
      <c r="F626" s="117"/>
      <c r="G626" s="117"/>
      <c r="H626" s="117"/>
      <c r="I626" s="118" t="s">
        <v>8</v>
      </c>
      <c r="J626" s="118"/>
      <c r="K626" s="89" t="s">
        <v>70</v>
      </c>
      <c r="L626" s="119"/>
      <c r="M626" s="120"/>
    </row>
    <row r="627" spans="1:13">
      <c r="A627" s="117"/>
      <c r="B627" s="117"/>
      <c r="C627" s="117"/>
      <c r="D627" s="117"/>
      <c r="E627" s="117"/>
      <c r="F627" s="117"/>
      <c r="G627" s="117"/>
      <c r="H627" s="117"/>
      <c r="I627" s="118" t="s">
        <v>25</v>
      </c>
      <c r="J627" s="118"/>
      <c r="K627" s="121" t="s">
        <v>1327</v>
      </c>
      <c r="L627" s="118"/>
      <c r="M627" s="118"/>
    </row>
    <row r="628" spans="1:13">
      <c r="A628" s="117"/>
      <c r="B628" s="117"/>
      <c r="C628" s="117"/>
      <c r="D628" s="117"/>
      <c r="E628" s="117"/>
      <c r="F628" s="117"/>
      <c r="G628" s="117"/>
      <c r="H628" s="117"/>
      <c r="I628" s="87" t="s">
        <v>26</v>
      </c>
      <c r="J628" s="88"/>
      <c r="K628" s="95" t="s">
        <v>67</v>
      </c>
      <c r="L628" s="104"/>
      <c r="M628" s="88"/>
    </row>
    <row r="629" spans="1:13">
      <c r="A629" s="118" t="s">
        <v>31</v>
      </c>
      <c r="B629" s="118"/>
      <c r="C629" s="118" t="s">
        <v>32</v>
      </c>
      <c r="D629" s="118"/>
      <c r="E629" s="118"/>
      <c r="F629" s="118"/>
      <c r="G629" s="118"/>
      <c r="H629" s="118"/>
      <c r="I629" s="40" t="s">
        <v>29</v>
      </c>
      <c r="J629" s="41"/>
      <c r="K629" s="118" t="s">
        <v>1328</v>
      </c>
      <c r="L629" s="118"/>
      <c r="M629" s="118"/>
    </row>
    <row r="630" spans="1:13">
      <c r="A630" s="118"/>
      <c r="B630" s="118"/>
      <c r="C630" s="118"/>
      <c r="D630" s="118"/>
      <c r="E630" s="118"/>
      <c r="F630" s="118"/>
      <c r="G630" s="118"/>
      <c r="H630" s="118"/>
      <c r="I630" s="118" t="s">
        <v>30</v>
      </c>
      <c r="J630" s="118"/>
      <c r="K630" s="118" t="s">
        <v>1381</v>
      </c>
      <c r="L630" s="118"/>
      <c r="M630" s="118"/>
    </row>
    <row r="631" spans="1:13">
      <c r="A631" s="122" t="s">
        <v>24</v>
      </c>
      <c r="B631" s="122"/>
      <c r="C631" s="122"/>
      <c r="D631" s="42">
        <v>1</v>
      </c>
      <c r="E631" s="117" t="s">
        <v>40</v>
      </c>
      <c r="F631" s="117"/>
      <c r="G631" s="117"/>
      <c r="H631" s="42">
        <v>8</v>
      </c>
      <c r="I631" s="118" t="s">
        <v>27</v>
      </c>
      <c r="J631" s="118"/>
      <c r="K631" s="118" t="s">
        <v>21</v>
      </c>
      <c r="L631" s="118"/>
      <c r="M631" s="118"/>
    </row>
    <row r="632" spans="1:13" ht="45">
      <c r="A632" s="3" t="s">
        <v>9</v>
      </c>
      <c r="B632" s="3" t="s">
        <v>10</v>
      </c>
      <c r="C632" s="3" t="s">
        <v>11</v>
      </c>
      <c r="D632" s="3" t="s">
        <v>3</v>
      </c>
      <c r="E632" s="4" t="s">
        <v>41</v>
      </c>
      <c r="F632" s="4" t="s">
        <v>12</v>
      </c>
      <c r="G632" s="3" t="s">
        <v>13</v>
      </c>
      <c r="H632" s="3" t="s">
        <v>14</v>
      </c>
      <c r="I632" s="3" t="s">
        <v>1103</v>
      </c>
      <c r="J632" s="3" t="s">
        <v>16</v>
      </c>
      <c r="K632" s="3" t="s">
        <v>17</v>
      </c>
      <c r="L632" s="3" t="s">
        <v>18</v>
      </c>
      <c r="M632" s="3" t="s">
        <v>19</v>
      </c>
    </row>
    <row r="633" spans="1:13">
      <c r="A633" s="18">
        <v>1</v>
      </c>
      <c r="B633" s="111" t="s">
        <v>1382</v>
      </c>
      <c r="C633" s="18"/>
      <c r="D633" s="18">
        <v>1</v>
      </c>
      <c r="E633" s="20">
        <v>11500</v>
      </c>
      <c r="F633" s="20">
        <v>2238</v>
      </c>
      <c r="G633" s="18"/>
      <c r="H633" s="18">
        <v>1</v>
      </c>
      <c r="I633" s="21" t="s">
        <v>1373</v>
      </c>
      <c r="J633" s="18">
        <v>1</v>
      </c>
      <c r="K633" s="18">
        <v>1744</v>
      </c>
      <c r="L633" s="22"/>
      <c r="M633" s="18"/>
    </row>
    <row r="634" spans="1:13">
      <c r="A634" s="18"/>
      <c r="B634" s="113"/>
      <c r="C634" s="18"/>
      <c r="D634" s="18"/>
      <c r="E634" s="20"/>
      <c r="F634" s="20"/>
      <c r="G634" s="18"/>
      <c r="H634" s="18">
        <v>1</v>
      </c>
      <c r="I634" s="21" t="s">
        <v>1375</v>
      </c>
      <c r="J634" s="18">
        <v>1</v>
      </c>
      <c r="K634" s="18">
        <v>1744</v>
      </c>
      <c r="L634" s="22"/>
      <c r="M634" s="18"/>
    </row>
    <row r="635" spans="1:13">
      <c r="A635" s="18"/>
      <c r="B635" s="113"/>
      <c r="C635" s="18"/>
      <c r="D635" s="18"/>
      <c r="E635" s="20"/>
      <c r="F635" s="20"/>
      <c r="G635" s="18"/>
      <c r="H635" s="18">
        <v>1</v>
      </c>
      <c r="I635" s="21" t="s">
        <v>1377</v>
      </c>
      <c r="J635" s="18">
        <v>1</v>
      </c>
      <c r="K635" s="18">
        <v>1744</v>
      </c>
      <c r="L635" s="22"/>
      <c r="M635" s="18"/>
    </row>
    <row r="636" spans="1:13">
      <c r="A636" s="18"/>
      <c r="B636" s="113"/>
      <c r="C636" s="18"/>
      <c r="D636" s="18"/>
      <c r="E636" s="20"/>
      <c r="F636" s="20"/>
      <c r="G636" s="18"/>
      <c r="H636" s="18">
        <v>1</v>
      </c>
      <c r="I636" s="21" t="s">
        <v>1379</v>
      </c>
      <c r="J636" s="18">
        <v>1</v>
      </c>
      <c r="K636" s="18">
        <v>1744</v>
      </c>
      <c r="L636" s="22"/>
      <c r="M636" s="18"/>
    </row>
    <row r="637" spans="1:13">
      <c r="A637" s="18"/>
      <c r="B637" s="113"/>
      <c r="C637" s="18"/>
      <c r="D637" s="18"/>
      <c r="E637" s="20"/>
      <c r="F637" s="20"/>
      <c r="G637" s="18"/>
      <c r="H637" s="18">
        <v>1</v>
      </c>
      <c r="I637" s="21" t="s">
        <v>1374</v>
      </c>
      <c r="J637" s="18">
        <v>1</v>
      </c>
      <c r="K637" s="18">
        <v>782</v>
      </c>
      <c r="L637" s="22"/>
      <c r="M637" s="18"/>
    </row>
    <row r="638" spans="1:13">
      <c r="A638" s="18"/>
      <c r="B638" s="113"/>
      <c r="C638" s="18"/>
      <c r="D638" s="18"/>
      <c r="E638" s="20"/>
      <c r="F638" s="20"/>
      <c r="G638" s="18"/>
      <c r="H638" s="18">
        <v>1</v>
      </c>
      <c r="I638" s="21" t="s">
        <v>1376</v>
      </c>
      <c r="J638" s="18">
        <v>1</v>
      </c>
      <c r="K638" s="18">
        <v>432</v>
      </c>
      <c r="L638" s="22"/>
      <c r="M638" s="18"/>
    </row>
    <row r="639" spans="1:13">
      <c r="A639" s="18"/>
      <c r="B639" s="113"/>
      <c r="C639" s="18"/>
      <c r="D639" s="18"/>
      <c r="E639" s="20"/>
      <c r="F639" s="20"/>
      <c r="G639" s="18"/>
      <c r="H639" s="18">
        <v>1</v>
      </c>
      <c r="I639" s="21" t="s">
        <v>1378</v>
      </c>
      <c r="J639" s="18">
        <v>1</v>
      </c>
      <c r="K639" s="18">
        <v>432</v>
      </c>
      <c r="L639" s="22"/>
      <c r="M639" s="18"/>
    </row>
    <row r="640" spans="1:13">
      <c r="A640" s="18"/>
      <c r="B640" s="112"/>
      <c r="C640" s="18"/>
      <c r="D640" s="18"/>
      <c r="E640" s="20"/>
      <c r="F640" s="20"/>
      <c r="G640" s="18"/>
      <c r="H640" s="18">
        <v>1</v>
      </c>
      <c r="I640" s="21" t="s">
        <v>1380</v>
      </c>
      <c r="J640" s="18">
        <v>1</v>
      </c>
      <c r="K640" s="18">
        <v>432</v>
      </c>
      <c r="L640" s="22"/>
      <c r="M640" s="18"/>
    </row>
    <row r="641" spans="1:13">
      <c r="A641" s="18"/>
      <c r="B641" s="18"/>
      <c r="C641" s="18"/>
      <c r="D641" s="18"/>
      <c r="E641" s="20"/>
      <c r="F641" s="20"/>
      <c r="G641" s="18"/>
      <c r="H641" s="18"/>
      <c r="I641" s="21"/>
      <c r="J641" s="18"/>
      <c r="K641" s="18"/>
      <c r="L641" s="22"/>
      <c r="M641" s="18"/>
    </row>
    <row r="642" spans="1:13">
      <c r="A642" s="117" t="s">
        <v>4</v>
      </c>
      <c r="B642" s="117"/>
      <c r="C642" s="117"/>
      <c r="D642" s="117"/>
      <c r="E642" s="117"/>
      <c r="F642" s="117"/>
      <c r="G642" s="117"/>
      <c r="H642" s="117"/>
      <c r="I642" s="118" t="s">
        <v>8</v>
      </c>
      <c r="J642" s="118"/>
      <c r="K642" s="89" t="s">
        <v>70</v>
      </c>
      <c r="L642" s="119"/>
      <c r="M642" s="120"/>
    </row>
    <row r="643" spans="1:13">
      <c r="A643" s="117"/>
      <c r="B643" s="117"/>
      <c r="C643" s="117"/>
      <c r="D643" s="117"/>
      <c r="E643" s="117"/>
      <c r="F643" s="117"/>
      <c r="G643" s="117"/>
      <c r="H643" s="117"/>
      <c r="I643" s="118" t="s">
        <v>25</v>
      </c>
      <c r="J643" s="118"/>
      <c r="K643" s="121" t="s">
        <v>1327</v>
      </c>
      <c r="L643" s="118"/>
      <c r="M643" s="118"/>
    </row>
    <row r="644" spans="1:13">
      <c r="A644" s="117"/>
      <c r="B644" s="117"/>
      <c r="C644" s="117"/>
      <c r="D644" s="117"/>
      <c r="E644" s="117"/>
      <c r="F644" s="117"/>
      <c r="G644" s="117"/>
      <c r="H644" s="117"/>
      <c r="I644" s="87" t="s">
        <v>26</v>
      </c>
      <c r="J644" s="88"/>
      <c r="K644" s="95" t="s">
        <v>47</v>
      </c>
      <c r="L644" s="104"/>
      <c r="M644" s="88"/>
    </row>
    <row r="645" spans="1:13">
      <c r="A645" s="118" t="s">
        <v>31</v>
      </c>
      <c r="B645" s="118"/>
      <c r="C645" s="118" t="s">
        <v>32</v>
      </c>
      <c r="D645" s="118"/>
      <c r="E645" s="118"/>
      <c r="F645" s="118"/>
      <c r="G645" s="118"/>
      <c r="H645" s="118"/>
      <c r="I645" s="40" t="s">
        <v>29</v>
      </c>
      <c r="J645" s="41"/>
      <c r="K645" s="118" t="s">
        <v>1328</v>
      </c>
      <c r="L645" s="118"/>
      <c r="M645" s="118"/>
    </row>
    <row r="646" spans="1:13">
      <c r="A646" s="118"/>
      <c r="B646" s="118"/>
      <c r="C646" s="118"/>
      <c r="D646" s="118"/>
      <c r="E646" s="118"/>
      <c r="F646" s="118"/>
      <c r="G646" s="118"/>
      <c r="H646" s="118"/>
      <c r="I646" s="118" t="s">
        <v>30</v>
      </c>
      <c r="J646" s="118"/>
      <c r="K646" s="118" t="s">
        <v>1371</v>
      </c>
      <c r="L646" s="118"/>
      <c r="M646" s="118"/>
    </row>
    <row r="647" spans="1:13">
      <c r="A647" s="122" t="s">
        <v>24</v>
      </c>
      <c r="B647" s="122"/>
      <c r="C647" s="122"/>
      <c r="D647" s="42">
        <v>1</v>
      </c>
      <c r="E647" s="117" t="s">
        <v>40</v>
      </c>
      <c r="F647" s="117"/>
      <c r="G647" s="117"/>
      <c r="H647" s="42">
        <v>1</v>
      </c>
      <c r="I647" s="118" t="s">
        <v>27</v>
      </c>
      <c r="J647" s="118"/>
      <c r="K647" s="118" t="s">
        <v>21</v>
      </c>
      <c r="L647" s="118"/>
      <c r="M647" s="118"/>
    </row>
    <row r="648" spans="1:13" ht="45">
      <c r="A648" s="3" t="s">
        <v>9</v>
      </c>
      <c r="B648" s="3" t="s">
        <v>10</v>
      </c>
      <c r="C648" s="3" t="s">
        <v>11</v>
      </c>
      <c r="D648" s="3" t="s">
        <v>3</v>
      </c>
      <c r="E648" s="4" t="s">
        <v>41</v>
      </c>
      <c r="F648" s="4" t="s">
        <v>12</v>
      </c>
      <c r="G648" s="3" t="s">
        <v>13</v>
      </c>
      <c r="H648" s="3" t="s">
        <v>14</v>
      </c>
      <c r="I648" s="3" t="s">
        <v>1103</v>
      </c>
      <c r="J648" s="3" t="s">
        <v>16</v>
      </c>
      <c r="K648" s="3" t="s">
        <v>17</v>
      </c>
      <c r="L648" s="3" t="s">
        <v>18</v>
      </c>
      <c r="M648" s="3" t="s">
        <v>19</v>
      </c>
    </row>
    <row r="649" spans="1:13">
      <c r="A649" s="18">
        <v>1</v>
      </c>
      <c r="B649" s="111" t="s">
        <v>1372</v>
      </c>
      <c r="C649" s="18"/>
      <c r="D649" s="18">
        <v>1</v>
      </c>
      <c r="E649" s="20">
        <v>11500</v>
      </c>
      <c r="F649" s="20">
        <v>9476</v>
      </c>
      <c r="G649" s="18"/>
      <c r="H649" s="18">
        <v>1</v>
      </c>
      <c r="I649" s="21" t="s">
        <v>1370</v>
      </c>
      <c r="J649" s="18">
        <v>1</v>
      </c>
      <c r="K649" s="18">
        <v>1998</v>
      </c>
      <c r="L649" s="22"/>
      <c r="M649" s="18"/>
    </row>
    <row r="650" spans="1:13">
      <c r="A650" s="18"/>
      <c r="B650" s="112"/>
      <c r="C650" s="18"/>
      <c r="D650" s="18"/>
      <c r="E650" s="20"/>
      <c r="F650" s="20"/>
      <c r="G650" s="18"/>
      <c r="H650" s="18"/>
      <c r="I650" s="21"/>
      <c r="J650" s="18"/>
      <c r="K650" s="18"/>
      <c r="L650" s="22"/>
      <c r="M650" s="18"/>
    </row>
    <row r="651" spans="1:13">
      <c r="A651" s="117" t="s">
        <v>4</v>
      </c>
      <c r="B651" s="117"/>
      <c r="C651" s="117"/>
      <c r="D651" s="117"/>
      <c r="E651" s="117"/>
      <c r="F651" s="117"/>
      <c r="G651" s="117"/>
      <c r="H651" s="117"/>
      <c r="I651" s="118" t="s">
        <v>8</v>
      </c>
      <c r="J651" s="118"/>
      <c r="K651" s="89" t="s">
        <v>70</v>
      </c>
      <c r="L651" s="119"/>
      <c r="M651" s="120"/>
    </row>
    <row r="652" spans="1:13">
      <c r="A652" s="117"/>
      <c r="B652" s="117"/>
      <c r="C652" s="117"/>
      <c r="D652" s="117"/>
      <c r="E652" s="117"/>
      <c r="F652" s="117"/>
      <c r="G652" s="117"/>
      <c r="H652" s="117"/>
      <c r="I652" s="118" t="s">
        <v>25</v>
      </c>
      <c r="J652" s="118"/>
      <c r="K652" s="121" t="s">
        <v>1327</v>
      </c>
      <c r="L652" s="118"/>
      <c r="M652" s="118"/>
    </row>
    <row r="653" spans="1:13">
      <c r="A653" s="117"/>
      <c r="B653" s="117"/>
      <c r="C653" s="117"/>
      <c r="D653" s="117"/>
      <c r="E653" s="117"/>
      <c r="F653" s="117"/>
      <c r="G653" s="117"/>
      <c r="H653" s="117"/>
      <c r="I653" s="87" t="s">
        <v>26</v>
      </c>
      <c r="J653" s="88"/>
      <c r="K653" s="95" t="s">
        <v>43</v>
      </c>
      <c r="L653" s="104"/>
      <c r="M653" s="88"/>
    </row>
    <row r="654" spans="1:13">
      <c r="A654" s="118" t="s">
        <v>31</v>
      </c>
      <c r="B654" s="118"/>
      <c r="C654" s="118" t="s">
        <v>32</v>
      </c>
      <c r="D654" s="118"/>
      <c r="E654" s="118"/>
      <c r="F654" s="118"/>
      <c r="G654" s="118"/>
      <c r="H654" s="118"/>
      <c r="I654" s="40" t="s">
        <v>29</v>
      </c>
      <c r="J654" s="41"/>
      <c r="K654" s="118" t="s">
        <v>1328</v>
      </c>
      <c r="L654" s="118"/>
      <c r="M654" s="118"/>
    </row>
    <row r="655" spans="1:13">
      <c r="A655" s="118"/>
      <c r="B655" s="118"/>
      <c r="C655" s="118"/>
      <c r="D655" s="118"/>
      <c r="E655" s="118"/>
      <c r="F655" s="118"/>
      <c r="G655" s="118"/>
      <c r="H655" s="118"/>
      <c r="I655" s="118" t="s">
        <v>30</v>
      </c>
      <c r="J655" s="118"/>
      <c r="K655" s="118" t="s">
        <v>1369</v>
      </c>
      <c r="L655" s="118"/>
      <c r="M655" s="118"/>
    </row>
    <row r="656" spans="1:13">
      <c r="A656" s="122" t="s">
        <v>24</v>
      </c>
      <c r="B656" s="122"/>
      <c r="C656" s="122"/>
      <c r="D656" s="42">
        <v>9</v>
      </c>
      <c r="E656" s="117" t="s">
        <v>40</v>
      </c>
      <c r="F656" s="117"/>
      <c r="G656" s="117"/>
      <c r="H656" s="42">
        <v>16</v>
      </c>
      <c r="I656" s="118" t="s">
        <v>27</v>
      </c>
      <c r="J656" s="118"/>
      <c r="K656" s="118" t="s">
        <v>21</v>
      </c>
      <c r="L656" s="118"/>
      <c r="M656" s="118"/>
    </row>
    <row r="657" spans="1:13" ht="45">
      <c r="A657" s="3" t="s">
        <v>9</v>
      </c>
      <c r="B657" s="3" t="s">
        <v>10</v>
      </c>
      <c r="C657" s="3" t="s">
        <v>11</v>
      </c>
      <c r="D657" s="3" t="s">
        <v>3</v>
      </c>
      <c r="E657" s="4" t="s">
        <v>41</v>
      </c>
      <c r="F657" s="4" t="s">
        <v>12</v>
      </c>
      <c r="G657" s="3" t="s">
        <v>13</v>
      </c>
      <c r="H657" s="3" t="s">
        <v>14</v>
      </c>
      <c r="I657" s="3" t="s">
        <v>1103</v>
      </c>
      <c r="J657" s="3" t="s">
        <v>16</v>
      </c>
      <c r="K657" s="3" t="s">
        <v>17</v>
      </c>
      <c r="L657" s="3" t="s">
        <v>18</v>
      </c>
      <c r="M657" s="3" t="s">
        <v>19</v>
      </c>
    </row>
    <row r="658" spans="1:13">
      <c r="A658" s="18">
        <v>1</v>
      </c>
      <c r="B658" s="111" t="s">
        <v>1154</v>
      </c>
      <c r="C658" s="18"/>
      <c r="D658" s="18">
        <v>1</v>
      </c>
      <c r="E658" s="20">
        <v>11500</v>
      </c>
      <c r="F658" s="20">
        <v>56</v>
      </c>
      <c r="G658" s="18"/>
      <c r="H658" s="18">
        <v>1</v>
      </c>
      <c r="I658" s="21" t="s">
        <v>1366</v>
      </c>
      <c r="J658" s="18">
        <v>1</v>
      </c>
      <c r="K658" s="18">
        <v>9541</v>
      </c>
      <c r="L658" s="22"/>
      <c r="M658" s="18"/>
    </row>
    <row r="659" spans="1:13">
      <c r="A659" s="18"/>
      <c r="B659" s="113"/>
      <c r="C659" s="18"/>
      <c r="D659" s="18"/>
      <c r="E659" s="20"/>
      <c r="F659" s="20"/>
      <c r="G659" s="18"/>
      <c r="H659" s="18">
        <v>1</v>
      </c>
      <c r="I659" s="21" t="s">
        <v>1355</v>
      </c>
      <c r="J659" s="18">
        <v>1</v>
      </c>
      <c r="K659" s="18">
        <v>1284</v>
      </c>
      <c r="L659" s="22"/>
      <c r="M659" s="18"/>
    </row>
    <row r="660" spans="1:13">
      <c r="A660" s="18"/>
      <c r="B660" s="113"/>
      <c r="C660" s="18"/>
      <c r="D660" s="18"/>
      <c r="E660" s="20"/>
      <c r="F660" s="20"/>
      <c r="G660" s="18"/>
      <c r="H660" s="18">
        <v>1</v>
      </c>
      <c r="I660" s="21" t="s">
        <v>1360</v>
      </c>
      <c r="J660" s="18">
        <v>1</v>
      </c>
      <c r="K660" s="18">
        <v>541</v>
      </c>
      <c r="L660" s="22"/>
      <c r="M660" s="18"/>
    </row>
    <row r="661" spans="1:13">
      <c r="A661" s="18">
        <v>2</v>
      </c>
      <c r="B661" s="113"/>
      <c r="C661" s="18"/>
      <c r="D661" s="18">
        <v>1</v>
      </c>
      <c r="E661" s="20">
        <v>11500</v>
      </c>
      <c r="F661" s="20">
        <v>20</v>
      </c>
      <c r="G661" s="18"/>
      <c r="H661" s="18">
        <v>1</v>
      </c>
      <c r="I661" s="21" t="s">
        <v>1359</v>
      </c>
      <c r="J661" s="18">
        <v>1</v>
      </c>
      <c r="K661" s="18">
        <v>7462</v>
      </c>
      <c r="L661" s="22"/>
      <c r="M661" s="18"/>
    </row>
    <row r="662" spans="1:13">
      <c r="A662" s="18"/>
      <c r="B662" s="113"/>
      <c r="C662" s="18"/>
      <c r="D662" s="18"/>
      <c r="E662" s="20"/>
      <c r="F662" s="20"/>
      <c r="G662" s="18"/>
      <c r="H662" s="18">
        <v>1</v>
      </c>
      <c r="I662" s="21" t="s">
        <v>1367</v>
      </c>
      <c r="J662" s="18">
        <v>1</v>
      </c>
      <c r="K662" s="18">
        <v>2771</v>
      </c>
      <c r="L662" s="22"/>
      <c r="M662" s="18"/>
    </row>
    <row r="663" spans="1:13">
      <c r="A663" s="18"/>
      <c r="B663" s="113"/>
      <c r="C663" s="18"/>
      <c r="D663" s="18"/>
      <c r="E663" s="20"/>
      <c r="F663" s="20"/>
      <c r="G663" s="18"/>
      <c r="H663" s="18">
        <v>1</v>
      </c>
      <c r="I663" s="21" t="s">
        <v>1368</v>
      </c>
      <c r="J663" s="18">
        <v>1</v>
      </c>
      <c r="K663" s="18">
        <v>602</v>
      </c>
      <c r="L663" s="22"/>
      <c r="M663" s="18"/>
    </row>
    <row r="664" spans="1:13">
      <c r="A664" s="18"/>
      <c r="B664" s="113"/>
      <c r="C664" s="18"/>
      <c r="D664" s="18"/>
      <c r="E664" s="20"/>
      <c r="F664" s="20"/>
      <c r="G664" s="18"/>
      <c r="H664" s="18">
        <v>1</v>
      </c>
      <c r="I664" s="21" t="s">
        <v>1364</v>
      </c>
      <c r="J664" s="18">
        <v>1</v>
      </c>
      <c r="K664" s="18">
        <v>541</v>
      </c>
      <c r="L664" s="22"/>
      <c r="M664" s="18"/>
    </row>
    <row r="665" spans="1:13">
      <c r="A665" s="18">
        <v>3</v>
      </c>
      <c r="B665" s="113"/>
      <c r="C665" s="18"/>
      <c r="D665" s="18">
        <v>1</v>
      </c>
      <c r="E665" s="20">
        <v>11500</v>
      </c>
      <c r="F665" s="20">
        <v>4143</v>
      </c>
      <c r="G665" s="18"/>
      <c r="H665" s="18">
        <v>1</v>
      </c>
      <c r="I665" s="21" t="s">
        <v>1365</v>
      </c>
      <c r="J665" s="18">
        <v>1</v>
      </c>
      <c r="K665" s="18">
        <v>6864</v>
      </c>
      <c r="L665" s="22"/>
      <c r="M665" s="18"/>
    </row>
    <row r="666" spans="1:13">
      <c r="A666" s="18"/>
      <c r="B666" s="113"/>
      <c r="C666" s="18"/>
      <c r="D666" s="18"/>
      <c r="E666" s="20"/>
      <c r="F666" s="20"/>
      <c r="G666" s="18"/>
      <c r="H666" s="18">
        <v>1</v>
      </c>
      <c r="I666" s="21" t="s">
        <v>1357</v>
      </c>
      <c r="J666" s="18">
        <v>1</v>
      </c>
      <c r="K666" s="18">
        <v>441</v>
      </c>
      <c r="L666" s="22"/>
      <c r="M666" s="18"/>
    </row>
    <row r="667" spans="1:13">
      <c r="A667" s="18">
        <v>4</v>
      </c>
      <c r="B667" s="113"/>
      <c r="C667" s="18"/>
      <c r="D667" s="18">
        <v>1</v>
      </c>
      <c r="E667" s="20">
        <v>11500</v>
      </c>
      <c r="F667" s="20"/>
      <c r="G667" s="18"/>
      <c r="H667" s="18">
        <v>1</v>
      </c>
      <c r="I667" s="21" t="s">
        <v>1353</v>
      </c>
      <c r="J667" s="18">
        <v>1</v>
      </c>
      <c r="K667" s="18">
        <v>11500</v>
      </c>
      <c r="L667" s="22"/>
      <c r="M667" s="18"/>
    </row>
    <row r="668" spans="1:13">
      <c r="A668" s="18">
        <v>5</v>
      </c>
      <c r="B668" s="113"/>
      <c r="C668" s="18"/>
      <c r="D668" s="18">
        <v>1</v>
      </c>
      <c r="E668" s="20">
        <v>11500</v>
      </c>
      <c r="F668" s="20"/>
      <c r="G668" s="18"/>
      <c r="H668" s="18">
        <v>1</v>
      </c>
      <c r="I668" s="21" t="s">
        <v>1363</v>
      </c>
      <c r="J668" s="18">
        <v>1</v>
      </c>
      <c r="K668" s="18">
        <v>11500</v>
      </c>
      <c r="L668" s="22"/>
      <c r="M668" s="18"/>
    </row>
    <row r="669" spans="1:13">
      <c r="A669" s="18">
        <v>6</v>
      </c>
      <c r="B669" s="113"/>
      <c r="C669" s="18"/>
      <c r="D669" s="18">
        <v>1</v>
      </c>
      <c r="E669" s="20">
        <v>11500</v>
      </c>
      <c r="F669" s="20"/>
      <c r="G669" s="18"/>
      <c r="H669" s="18">
        <v>1</v>
      </c>
      <c r="I669" s="21" t="s">
        <v>1362</v>
      </c>
      <c r="J669" s="18">
        <v>1</v>
      </c>
      <c r="K669" s="18">
        <v>11500</v>
      </c>
      <c r="L669" s="22"/>
      <c r="M669" s="18"/>
    </row>
    <row r="670" spans="1:13">
      <c r="A670" s="18">
        <v>7</v>
      </c>
      <c r="B670" s="113"/>
      <c r="C670" s="18"/>
      <c r="D670" s="18">
        <v>1</v>
      </c>
      <c r="E670" s="20">
        <v>11500</v>
      </c>
      <c r="F670" s="20"/>
      <c r="G670" s="18"/>
      <c r="H670" s="18">
        <v>1</v>
      </c>
      <c r="I670" s="21" t="s">
        <v>1356</v>
      </c>
      <c r="J670" s="18">
        <v>1</v>
      </c>
      <c r="K670" s="18">
        <v>11500</v>
      </c>
      <c r="L670" s="22"/>
      <c r="M670" s="18"/>
    </row>
    <row r="671" spans="1:13">
      <c r="A671" s="18">
        <v>8</v>
      </c>
      <c r="B671" s="113"/>
      <c r="C671" s="18"/>
      <c r="D671" s="18">
        <v>1</v>
      </c>
      <c r="E671" s="20">
        <v>11500</v>
      </c>
      <c r="F671" s="20"/>
      <c r="G671" s="18"/>
      <c r="H671" s="18">
        <v>1</v>
      </c>
      <c r="I671" s="21" t="s">
        <v>1358</v>
      </c>
      <c r="J671" s="18">
        <v>1</v>
      </c>
      <c r="K671" s="18">
        <v>11500</v>
      </c>
      <c r="L671" s="22"/>
      <c r="M671" s="18"/>
    </row>
    <row r="672" spans="1:13">
      <c r="A672" s="18">
        <v>9</v>
      </c>
      <c r="B672" s="113"/>
      <c r="C672" s="18"/>
      <c r="D672" s="18">
        <v>1</v>
      </c>
      <c r="E672" s="20">
        <v>11500</v>
      </c>
      <c r="F672" s="20">
        <v>198</v>
      </c>
      <c r="G672" s="18"/>
      <c r="H672" s="18">
        <v>1</v>
      </c>
      <c r="I672" s="21" t="s">
        <v>1361</v>
      </c>
      <c r="J672" s="18">
        <v>1</v>
      </c>
      <c r="K672" s="18">
        <v>10487</v>
      </c>
      <c r="L672" s="22"/>
      <c r="M672" s="18"/>
    </row>
    <row r="673" spans="1:13">
      <c r="A673" s="5"/>
      <c r="B673" s="112"/>
      <c r="C673" s="5"/>
      <c r="D673" s="5"/>
      <c r="E673" s="6"/>
      <c r="F673" s="6"/>
      <c r="G673" s="5"/>
      <c r="H673" s="5">
        <v>1</v>
      </c>
      <c r="I673" s="7" t="s">
        <v>1354</v>
      </c>
      <c r="J673" s="5">
        <v>1</v>
      </c>
      <c r="K673" s="5">
        <v>763</v>
      </c>
      <c r="L673" s="8"/>
      <c r="M673" s="5"/>
    </row>
    <row r="674" spans="1:13">
      <c r="A674" s="5"/>
      <c r="B674" s="5"/>
      <c r="C674" s="5"/>
      <c r="D674" s="5"/>
      <c r="E674" s="6"/>
      <c r="F674" s="6"/>
      <c r="G674" s="5"/>
      <c r="H674" s="5"/>
      <c r="I674" s="7"/>
      <c r="J674" s="5"/>
      <c r="K674" s="5"/>
      <c r="L674" s="8"/>
      <c r="M674" s="18"/>
    </row>
    <row r="675" spans="1:13">
      <c r="A675" s="117" t="s">
        <v>4</v>
      </c>
      <c r="B675" s="117"/>
      <c r="C675" s="117"/>
      <c r="D675" s="117"/>
      <c r="E675" s="117"/>
      <c r="F675" s="117"/>
      <c r="G675" s="117"/>
      <c r="H675" s="117"/>
      <c r="I675" s="118" t="s">
        <v>8</v>
      </c>
      <c r="J675" s="118"/>
      <c r="K675" s="89" t="s">
        <v>70</v>
      </c>
      <c r="L675" s="119"/>
      <c r="M675" s="120"/>
    </row>
    <row r="676" spans="1:13">
      <c r="A676" s="117"/>
      <c r="B676" s="117"/>
      <c r="C676" s="117"/>
      <c r="D676" s="117"/>
      <c r="E676" s="117"/>
      <c r="F676" s="117"/>
      <c r="G676" s="117"/>
      <c r="H676" s="117"/>
      <c r="I676" s="118" t="s">
        <v>25</v>
      </c>
      <c r="J676" s="118"/>
      <c r="K676" s="121" t="s">
        <v>1327</v>
      </c>
      <c r="L676" s="118"/>
      <c r="M676" s="118"/>
    </row>
    <row r="677" spans="1:13">
      <c r="A677" s="117"/>
      <c r="B677" s="117"/>
      <c r="C677" s="117"/>
      <c r="D677" s="117"/>
      <c r="E677" s="117"/>
      <c r="F677" s="117"/>
      <c r="G677" s="117"/>
      <c r="H677" s="117"/>
      <c r="I677" s="87" t="s">
        <v>26</v>
      </c>
      <c r="J677" s="88"/>
      <c r="K677" s="95" t="s">
        <v>290</v>
      </c>
      <c r="L677" s="104"/>
      <c r="M677" s="88"/>
    </row>
    <row r="678" spans="1:13">
      <c r="A678" s="118" t="s">
        <v>31</v>
      </c>
      <c r="B678" s="118"/>
      <c r="C678" s="118" t="s">
        <v>32</v>
      </c>
      <c r="D678" s="118"/>
      <c r="E678" s="118"/>
      <c r="F678" s="118"/>
      <c r="G678" s="118"/>
      <c r="H678" s="118"/>
      <c r="I678" s="40" t="s">
        <v>29</v>
      </c>
      <c r="J678" s="41"/>
      <c r="K678" s="118" t="s">
        <v>1328</v>
      </c>
      <c r="L678" s="118"/>
      <c r="M678" s="118"/>
    </row>
    <row r="679" spans="1:13">
      <c r="A679" s="118"/>
      <c r="B679" s="118"/>
      <c r="C679" s="118"/>
      <c r="D679" s="118"/>
      <c r="E679" s="118"/>
      <c r="F679" s="118"/>
      <c r="G679" s="118"/>
      <c r="H679" s="118"/>
      <c r="I679" s="118" t="s">
        <v>30</v>
      </c>
      <c r="J679" s="118"/>
      <c r="K679" s="118" t="s">
        <v>1329</v>
      </c>
      <c r="L679" s="118"/>
      <c r="M679" s="118"/>
    </row>
    <row r="680" spans="1:13">
      <c r="A680" s="122" t="s">
        <v>24</v>
      </c>
      <c r="B680" s="122"/>
      <c r="C680" s="122"/>
      <c r="D680" s="42">
        <v>1</v>
      </c>
      <c r="E680" s="117" t="s">
        <v>40</v>
      </c>
      <c r="F680" s="117"/>
      <c r="G680" s="117"/>
      <c r="H680" s="42">
        <v>1</v>
      </c>
      <c r="I680" s="118" t="s">
        <v>27</v>
      </c>
      <c r="J680" s="118"/>
      <c r="K680" s="118" t="s">
        <v>21</v>
      </c>
      <c r="L680" s="118"/>
      <c r="M680" s="118"/>
    </row>
    <row r="681" spans="1:13" ht="45">
      <c r="A681" s="3" t="s">
        <v>9</v>
      </c>
      <c r="B681" s="3" t="s">
        <v>10</v>
      </c>
      <c r="C681" s="3" t="s">
        <v>11</v>
      </c>
      <c r="D681" s="3" t="s">
        <v>3</v>
      </c>
      <c r="E681" s="4" t="s">
        <v>41</v>
      </c>
      <c r="F681" s="4" t="s">
        <v>12</v>
      </c>
      <c r="G681" s="3" t="s">
        <v>13</v>
      </c>
      <c r="H681" s="3" t="s">
        <v>14</v>
      </c>
      <c r="I681" s="3" t="s">
        <v>1103</v>
      </c>
      <c r="J681" s="3" t="s">
        <v>16</v>
      </c>
      <c r="K681" s="3" t="s">
        <v>17</v>
      </c>
      <c r="L681" s="3" t="s">
        <v>18</v>
      </c>
      <c r="M681" s="3" t="s">
        <v>19</v>
      </c>
    </row>
    <row r="682" spans="1:13">
      <c r="A682" s="18">
        <v>1</v>
      </c>
      <c r="B682" s="111" t="s">
        <v>1102</v>
      </c>
      <c r="C682" s="18"/>
      <c r="D682" s="18">
        <v>1</v>
      </c>
      <c r="E682" s="20">
        <v>11500</v>
      </c>
      <c r="F682" s="20">
        <v>3878</v>
      </c>
      <c r="G682" s="18"/>
      <c r="H682" s="18">
        <v>1</v>
      </c>
      <c r="I682" s="21" t="s">
        <v>1326</v>
      </c>
      <c r="J682" s="18">
        <v>1</v>
      </c>
      <c r="K682" s="18">
        <v>7596</v>
      </c>
      <c r="L682" s="22"/>
      <c r="M682" s="18"/>
    </row>
    <row r="683" spans="1:13">
      <c r="A683" s="18"/>
      <c r="B683" s="112"/>
      <c r="C683" s="18"/>
      <c r="D683" s="18"/>
      <c r="E683" s="20"/>
      <c r="F683" s="20"/>
      <c r="G683" s="18"/>
      <c r="H683" s="18"/>
      <c r="I683" s="21"/>
      <c r="J683" s="18"/>
      <c r="K683" s="18"/>
      <c r="L683" s="22"/>
      <c r="M683" s="18"/>
    </row>
    <row r="684" spans="1:13">
      <c r="A684" s="117" t="s">
        <v>4</v>
      </c>
      <c r="B684" s="117"/>
      <c r="C684" s="117"/>
      <c r="D684" s="117"/>
      <c r="E684" s="117"/>
      <c r="F684" s="117"/>
      <c r="G684" s="117"/>
      <c r="H684" s="117"/>
      <c r="I684" s="118" t="s">
        <v>8</v>
      </c>
      <c r="J684" s="118"/>
      <c r="K684" s="89" t="s">
        <v>70</v>
      </c>
      <c r="L684" s="119"/>
      <c r="M684" s="120"/>
    </row>
    <row r="685" spans="1:13">
      <c r="A685" s="117"/>
      <c r="B685" s="117"/>
      <c r="C685" s="117"/>
      <c r="D685" s="117"/>
      <c r="E685" s="117"/>
      <c r="F685" s="117"/>
      <c r="G685" s="117"/>
      <c r="H685" s="117"/>
      <c r="I685" s="118" t="s">
        <v>25</v>
      </c>
      <c r="J685" s="118"/>
      <c r="K685" s="121" t="s">
        <v>1327</v>
      </c>
      <c r="L685" s="118"/>
      <c r="M685" s="118"/>
    </row>
    <row r="686" spans="1:13">
      <c r="A686" s="117"/>
      <c r="B686" s="117"/>
      <c r="C686" s="117"/>
      <c r="D686" s="117"/>
      <c r="E686" s="117"/>
      <c r="F686" s="117"/>
      <c r="G686" s="117"/>
      <c r="H686" s="117"/>
      <c r="I686" s="87" t="s">
        <v>26</v>
      </c>
      <c r="J686" s="88"/>
      <c r="K686" s="95" t="s">
        <v>53</v>
      </c>
      <c r="L686" s="104"/>
      <c r="M686" s="88"/>
    </row>
    <row r="687" spans="1:13">
      <c r="A687" s="118" t="s">
        <v>31</v>
      </c>
      <c r="B687" s="118"/>
      <c r="C687" s="118" t="s">
        <v>32</v>
      </c>
      <c r="D687" s="118"/>
      <c r="E687" s="118"/>
      <c r="F687" s="118"/>
      <c r="G687" s="118"/>
      <c r="H687" s="118"/>
      <c r="I687" s="40" t="s">
        <v>29</v>
      </c>
      <c r="J687" s="41"/>
      <c r="K687" s="118" t="s">
        <v>1328</v>
      </c>
      <c r="L687" s="118"/>
      <c r="M687" s="118"/>
    </row>
    <row r="688" spans="1:13">
      <c r="A688" s="118"/>
      <c r="B688" s="118"/>
      <c r="C688" s="118"/>
      <c r="D688" s="118"/>
      <c r="E688" s="118"/>
      <c r="F688" s="118"/>
      <c r="G688" s="118"/>
      <c r="H688" s="118"/>
      <c r="I688" s="118" t="s">
        <v>30</v>
      </c>
      <c r="J688" s="118"/>
      <c r="K688" s="118" t="s">
        <v>1402</v>
      </c>
      <c r="L688" s="118"/>
      <c r="M688" s="118"/>
    </row>
    <row r="689" spans="1:13">
      <c r="A689" s="122" t="s">
        <v>24</v>
      </c>
      <c r="B689" s="122"/>
      <c r="C689" s="122"/>
      <c r="D689" s="42">
        <v>1</v>
      </c>
      <c r="E689" s="117" t="s">
        <v>40</v>
      </c>
      <c r="F689" s="117"/>
      <c r="G689" s="117"/>
      <c r="H689" s="42">
        <v>7</v>
      </c>
      <c r="I689" s="118" t="s">
        <v>27</v>
      </c>
      <c r="J689" s="118"/>
      <c r="K689" s="118" t="s">
        <v>21</v>
      </c>
      <c r="L689" s="118"/>
      <c r="M689" s="118"/>
    </row>
    <row r="690" spans="1:13" ht="45">
      <c r="A690" s="3" t="s">
        <v>9</v>
      </c>
      <c r="B690" s="3" t="s">
        <v>10</v>
      </c>
      <c r="C690" s="3" t="s">
        <v>11</v>
      </c>
      <c r="D690" s="3" t="s">
        <v>3</v>
      </c>
      <c r="E690" s="4" t="s">
        <v>41</v>
      </c>
      <c r="F690" s="4" t="s">
        <v>12</v>
      </c>
      <c r="G690" s="3" t="s">
        <v>13</v>
      </c>
      <c r="H690" s="3" t="s">
        <v>14</v>
      </c>
      <c r="I690" s="3" t="s">
        <v>1103</v>
      </c>
      <c r="J690" s="3" t="s">
        <v>16</v>
      </c>
      <c r="K690" s="3" t="s">
        <v>17</v>
      </c>
      <c r="L690" s="3" t="s">
        <v>18</v>
      </c>
      <c r="M690" s="3" t="s">
        <v>19</v>
      </c>
    </row>
    <row r="691" spans="1:13">
      <c r="A691" s="18">
        <v>1</v>
      </c>
      <c r="B691" s="111" t="s">
        <v>1319</v>
      </c>
      <c r="C691" s="18"/>
      <c r="D691" s="18">
        <v>1</v>
      </c>
      <c r="E691" s="20">
        <v>11500</v>
      </c>
      <c r="F691" s="20">
        <v>5829</v>
      </c>
      <c r="G691" s="18"/>
      <c r="H691" s="18">
        <v>1</v>
      </c>
      <c r="I691" s="21" t="s">
        <v>1396</v>
      </c>
      <c r="J691" s="18">
        <v>1</v>
      </c>
      <c r="K691" s="18">
        <v>2906</v>
      </c>
      <c r="L691" s="22"/>
      <c r="M691" s="18"/>
    </row>
    <row r="692" spans="1:13">
      <c r="A692" s="18"/>
      <c r="B692" s="113"/>
      <c r="C692" s="18"/>
      <c r="D692" s="18"/>
      <c r="E692" s="20"/>
      <c r="F692" s="20"/>
      <c r="G692" s="18"/>
      <c r="H692" s="18">
        <v>1</v>
      </c>
      <c r="I692" s="21" t="s">
        <v>1397</v>
      </c>
      <c r="J692" s="18">
        <v>1</v>
      </c>
      <c r="K692" s="18">
        <v>1493</v>
      </c>
      <c r="L692" s="22"/>
      <c r="M692" s="18"/>
    </row>
    <row r="693" spans="1:13">
      <c r="A693" s="18"/>
      <c r="B693" s="113"/>
      <c r="C693" s="18"/>
      <c r="D693" s="18"/>
      <c r="E693" s="20"/>
      <c r="F693" s="20"/>
      <c r="G693" s="18"/>
      <c r="H693" s="18">
        <v>1</v>
      </c>
      <c r="I693" s="21" t="s">
        <v>1395</v>
      </c>
      <c r="J693" s="18">
        <v>1</v>
      </c>
      <c r="K693" s="18">
        <v>498</v>
      </c>
      <c r="L693" s="22"/>
      <c r="M693" s="18"/>
    </row>
    <row r="694" spans="1:13">
      <c r="A694" s="18"/>
      <c r="B694" s="113"/>
      <c r="C694" s="18"/>
      <c r="D694" s="18"/>
      <c r="E694" s="20"/>
      <c r="F694" s="20"/>
      <c r="G694" s="18"/>
      <c r="H694" s="18">
        <v>1</v>
      </c>
      <c r="I694" s="21" t="s">
        <v>1398</v>
      </c>
      <c r="J694" s="18">
        <v>1</v>
      </c>
      <c r="K694" s="18">
        <v>148</v>
      </c>
      <c r="L694" s="22"/>
      <c r="M694" s="18"/>
    </row>
    <row r="695" spans="1:13">
      <c r="A695" s="18"/>
      <c r="B695" s="113"/>
      <c r="C695" s="18"/>
      <c r="D695" s="18"/>
      <c r="E695" s="20"/>
      <c r="F695" s="20"/>
      <c r="G695" s="18"/>
      <c r="H695" s="18">
        <v>1</v>
      </c>
      <c r="I695" s="21" t="s">
        <v>1399</v>
      </c>
      <c r="J695" s="18">
        <v>1</v>
      </c>
      <c r="K695" s="18">
        <v>148</v>
      </c>
      <c r="L695" s="22"/>
      <c r="M695" s="18"/>
    </row>
    <row r="696" spans="1:13">
      <c r="A696" s="18"/>
      <c r="B696" s="113"/>
      <c r="C696" s="18"/>
      <c r="D696" s="18"/>
      <c r="E696" s="20"/>
      <c r="F696" s="20"/>
      <c r="G696" s="18"/>
      <c r="H696" s="18">
        <v>1</v>
      </c>
      <c r="I696" s="21" t="s">
        <v>1400</v>
      </c>
      <c r="J696" s="18">
        <v>1</v>
      </c>
      <c r="K696" s="18">
        <v>148</v>
      </c>
      <c r="L696" s="22"/>
      <c r="M696" s="18"/>
    </row>
    <row r="697" spans="1:13">
      <c r="A697" s="18"/>
      <c r="B697" s="112"/>
      <c r="C697" s="18"/>
      <c r="D697" s="18"/>
      <c r="E697" s="20"/>
      <c r="F697" s="20"/>
      <c r="G697" s="18"/>
      <c r="H697" s="18">
        <v>1</v>
      </c>
      <c r="I697" s="21" t="s">
        <v>1401</v>
      </c>
      <c r="J697" s="18">
        <v>1</v>
      </c>
      <c r="K697" s="18">
        <v>148</v>
      </c>
      <c r="L697" s="22"/>
      <c r="M697" s="18"/>
    </row>
    <row r="698" spans="1:13">
      <c r="A698" s="18"/>
      <c r="B698" s="18"/>
      <c r="C698" s="18"/>
      <c r="D698" s="18"/>
      <c r="E698" s="20"/>
      <c r="F698" s="20"/>
      <c r="G698" s="18"/>
      <c r="H698" s="18"/>
      <c r="I698" s="21"/>
      <c r="J698" s="18"/>
      <c r="K698" s="18"/>
      <c r="L698" s="22"/>
      <c r="M698" s="18"/>
    </row>
    <row r="699" spans="1:13">
      <c r="A699" s="117" t="s">
        <v>4</v>
      </c>
      <c r="B699" s="117"/>
      <c r="C699" s="117"/>
      <c r="D699" s="117"/>
      <c r="E699" s="117"/>
      <c r="F699" s="117"/>
      <c r="G699" s="117"/>
      <c r="H699" s="117"/>
      <c r="I699" s="118" t="s">
        <v>8</v>
      </c>
      <c r="J699" s="118"/>
      <c r="K699" s="89" t="s">
        <v>70</v>
      </c>
      <c r="L699" s="119"/>
      <c r="M699" s="120"/>
    </row>
    <row r="700" spans="1:13">
      <c r="A700" s="117"/>
      <c r="B700" s="117"/>
      <c r="C700" s="117"/>
      <c r="D700" s="117"/>
      <c r="E700" s="117"/>
      <c r="F700" s="117"/>
      <c r="G700" s="117"/>
      <c r="H700" s="117"/>
      <c r="I700" s="118" t="s">
        <v>25</v>
      </c>
      <c r="J700" s="118"/>
      <c r="K700" s="121" t="s">
        <v>1327</v>
      </c>
      <c r="L700" s="118"/>
      <c r="M700" s="118"/>
    </row>
    <row r="701" spans="1:13">
      <c r="A701" s="117"/>
      <c r="B701" s="117"/>
      <c r="C701" s="117"/>
      <c r="D701" s="117"/>
      <c r="E701" s="117"/>
      <c r="F701" s="117"/>
      <c r="G701" s="117"/>
      <c r="H701" s="117"/>
      <c r="I701" s="87" t="s">
        <v>26</v>
      </c>
      <c r="J701" s="88"/>
      <c r="K701" s="95" t="s">
        <v>1081</v>
      </c>
      <c r="L701" s="104"/>
      <c r="M701" s="88"/>
    </row>
    <row r="702" spans="1:13">
      <c r="A702" s="118" t="s">
        <v>31</v>
      </c>
      <c r="B702" s="118"/>
      <c r="C702" s="118" t="s">
        <v>32</v>
      </c>
      <c r="D702" s="118"/>
      <c r="E702" s="118"/>
      <c r="F702" s="118"/>
      <c r="G702" s="118"/>
      <c r="H702" s="118"/>
      <c r="I702" s="40" t="s">
        <v>29</v>
      </c>
      <c r="J702" s="41"/>
      <c r="K702" s="118" t="s">
        <v>1328</v>
      </c>
      <c r="L702" s="118"/>
      <c r="M702" s="118"/>
    </row>
    <row r="703" spans="1:13">
      <c r="A703" s="118"/>
      <c r="B703" s="118"/>
      <c r="C703" s="118"/>
      <c r="D703" s="118"/>
      <c r="E703" s="118"/>
      <c r="F703" s="118"/>
      <c r="G703" s="118"/>
      <c r="H703" s="118"/>
      <c r="I703" s="118" t="s">
        <v>30</v>
      </c>
      <c r="J703" s="118"/>
      <c r="K703" s="118" t="s">
        <v>1393</v>
      </c>
      <c r="L703" s="118"/>
      <c r="M703" s="118"/>
    </row>
    <row r="704" spans="1:13">
      <c r="A704" s="122" t="s">
        <v>24</v>
      </c>
      <c r="B704" s="122"/>
      <c r="C704" s="122"/>
      <c r="D704" s="42">
        <v>1</v>
      </c>
      <c r="E704" s="117" t="s">
        <v>40</v>
      </c>
      <c r="F704" s="117"/>
      <c r="G704" s="117"/>
      <c r="H704" s="42">
        <v>2</v>
      </c>
      <c r="I704" s="118" t="s">
        <v>27</v>
      </c>
      <c r="J704" s="118"/>
      <c r="K704" s="118" t="s">
        <v>21</v>
      </c>
      <c r="L704" s="118"/>
      <c r="M704" s="118"/>
    </row>
    <row r="705" spans="1:13" ht="45">
      <c r="A705" s="3" t="s">
        <v>9</v>
      </c>
      <c r="B705" s="3" t="s">
        <v>10</v>
      </c>
      <c r="C705" s="3" t="s">
        <v>11</v>
      </c>
      <c r="D705" s="3" t="s">
        <v>3</v>
      </c>
      <c r="E705" s="4" t="s">
        <v>41</v>
      </c>
      <c r="F705" s="4" t="s">
        <v>12</v>
      </c>
      <c r="G705" s="3" t="s">
        <v>13</v>
      </c>
      <c r="H705" s="3" t="s">
        <v>14</v>
      </c>
      <c r="I705" s="3" t="s">
        <v>1103</v>
      </c>
      <c r="J705" s="3" t="s">
        <v>16</v>
      </c>
      <c r="K705" s="3" t="s">
        <v>17</v>
      </c>
      <c r="L705" s="3" t="s">
        <v>18</v>
      </c>
      <c r="M705" s="3" t="s">
        <v>19</v>
      </c>
    </row>
    <row r="706" spans="1:13">
      <c r="A706" s="18">
        <v>1</v>
      </c>
      <c r="B706" s="111" t="s">
        <v>1394</v>
      </c>
      <c r="C706" s="18"/>
      <c r="D706" s="18">
        <v>1</v>
      </c>
      <c r="E706" s="20">
        <v>11500</v>
      </c>
      <c r="F706" s="20">
        <v>9345</v>
      </c>
      <c r="G706" s="18"/>
      <c r="H706" s="18">
        <v>1</v>
      </c>
      <c r="I706" s="21" t="s">
        <v>1392</v>
      </c>
      <c r="J706" s="18">
        <v>1</v>
      </c>
      <c r="K706" s="18">
        <v>1818</v>
      </c>
      <c r="L706" s="22"/>
      <c r="M706" s="18"/>
    </row>
    <row r="707" spans="1:13">
      <c r="A707" s="18"/>
      <c r="B707" s="112"/>
      <c r="C707" s="18"/>
      <c r="D707" s="18"/>
      <c r="E707" s="20"/>
      <c r="F707" s="20"/>
      <c r="G707" s="18"/>
      <c r="H707" s="18">
        <v>1</v>
      </c>
      <c r="I707" s="21" t="s">
        <v>1391</v>
      </c>
      <c r="J707" s="18">
        <v>1</v>
      </c>
      <c r="K707" s="18">
        <v>285</v>
      </c>
      <c r="L707" s="22"/>
      <c r="M707" s="18"/>
    </row>
    <row r="708" spans="1:13">
      <c r="A708" s="18"/>
      <c r="B708" s="18"/>
      <c r="C708" s="18"/>
      <c r="D708" s="18"/>
      <c r="E708" s="20"/>
      <c r="F708" s="20"/>
      <c r="G708" s="18"/>
      <c r="H708" s="18"/>
      <c r="I708" s="21"/>
      <c r="J708" s="18"/>
      <c r="K708" s="18"/>
      <c r="L708" s="22"/>
      <c r="M708" s="18"/>
    </row>
    <row r="709" spans="1:13">
      <c r="A709" s="117" t="s">
        <v>4</v>
      </c>
      <c r="B709" s="117"/>
      <c r="C709" s="117"/>
      <c r="D709" s="117"/>
      <c r="E709" s="117"/>
      <c r="F709" s="117"/>
      <c r="G709" s="117"/>
      <c r="H709" s="117"/>
      <c r="I709" s="118" t="s">
        <v>8</v>
      </c>
      <c r="J709" s="118"/>
      <c r="K709" s="89" t="s">
        <v>70</v>
      </c>
      <c r="L709" s="119"/>
      <c r="M709" s="120"/>
    </row>
    <row r="710" spans="1:13">
      <c r="A710" s="117"/>
      <c r="B710" s="117"/>
      <c r="C710" s="117"/>
      <c r="D710" s="117"/>
      <c r="E710" s="117"/>
      <c r="F710" s="117"/>
      <c r="G710" s="117"/>
      <c r="H710" s="117"/>
      <c r="I710" s="118" t="s">
        <v>25</v>
      </c>
      <c r="J710" s="118"/>
      <c r="K710" s="121" t="s">
        <v>1327</v>
      </c>
      <c r="L710" s="118"/>
      <c r="M710" s="118"/>
    </row>
    <row r="711" spans="1:13">
      <c r="A711" s="117"/>
      <c r="B711" s="117"/>
      <c r="C711" s="117"/>
      <c r="D711" s="117"/>
      <c r="E711" s="117"/>
      <c r="F711" s="117"/>
      <c r="G711" s="117"/>
      <c r="H711" s="117"/>
      <c r="I711" s="87" t="s">
        <v>26</v>
      </c>
      <c r="J711" s="88"/>
      <c r="K711" s="95" t="s">
        <v>1065</v>
      </c>
      <c r="L711" s="104"/>
      <c r="M711" s="88"/>
    </row>
    <row r="712" spans="1:13">
      <c r="A712" s="118" t="s">
        <v>31</v>
      </c>
      <c r="B712" s="118"/>
      <c r="C712" s="118" t="s">
        <v>32</v>
      </c>
      <c r="D712" s="118"/>
      <c r="E712" s="118"/>
      <c r="F712" s="118"/>
      <c r="G712" s="118"/>
      <c r="H712" s="118"/>
      <c r="I712" s="40" t="s">
        <v>29</v>
      </c>
      <c r="J712" s="41"/>
      <c r="K712" s="118" t="s">
        <v>1328</v>
      </c>
      <c r="L712" s="118"/>
      <c r="M712" s="118"/>
    </row>
    <row r="713" spans="1:13">
      <c r="A713" s="118"/>
      <c r="B713" s="118"/>
      <c r="C713" s="118"/>
      <c r="D713" s="118"/>
      <c r="E713" s="118"/>
      <c r="F713" s="118"/>
      <c r="G713" s="118"/>
      <c r="H713" s="118"/>
      <c r="I713" s="118" t="s">
        <v>30</v>
      </c>
      <c r="J713" s="118"/>
      <c r="K713" s="118" t="s">
        <v>1385</v>
      </c>
      <c r="L713" s="118"/>
      <c r="M713" s="118"/>
    </row>
    <row r="714" spans="1:13">
      <c r="A714" s="122" t="s">
        <v>24</v>
      </c>
      <c r="B714" s="122"/>
      <c r="C714" s="122"/>
      <c r="D714" s="42">
        <v>2</v>
      </c>
      <c r="E714" s="117" t="s">
        <v>40</v>
      </c>
      <c r="F714" s="117"/>
      <c r="G714" s="117"/>
      <c r="H714" s="42">
        <v>2</v>
      </c>
      <c r="I714" s="118" t="s">
        <v>27</v>
      </c>
      <c r="J714" s="118"/>
      <c r="K714" s="118" t="s">
        <v>21</v>
      </c>
      <c r="L714" s="118"/>
      <c r="M714" s="118"/>
    </row>
    <row r="715" spans="1:13" ht="45">
      <c r="A715" s="3" t="s">
        <v>9</v>
      </c>
      <c r="B715" s="3" t="s">
        <v>10</v>
      </c>
      <c r="C715" s="3" t="s">
        <v>11</v>
      </c>
      <c r="D715" s="3" t="s">
        <v>3</v>
      </c>
      <c r="E715" s="4" t="s">
        <v>41</v>
      </c>
      <c r="F715" s="4" t="s">
        <v>12</v>
      </c>
      <c r="G715" s="3" t="s">
        <v>13</v>
      </c>
      <c r="H715" s="3" t="s">
        <v>14</v>
      </c>
      <c r="I715" s="3" t="s">
        <v>1103</v>
      </c>
      <c r="J715" s="3" t="s">
        <v>16</v>
      </c>
      <c r="K715" s="3" t="s">
        <v>17</v>
      </c>
      <c r="L715" s="3" t="s">
        <v>18</v>
      </c>
      <c r="M715" s="3" t="s">
        <v>19</v>
      </c>
    </row>
    <row r="716" spans="1:13">
      <c r="A716" s="18">
        <v>1</v>
      </c>
      <c r="B716" s="111" t="s">
        <v>1172</v>
      </c>
      <c r="C716" s="18"/>
      <c r="D716" s="18">
        <v>1</v>
      </c>
      <c r="E716" s="20">
        <v>11500</v>
      </c>
      <c r="F716" s="20">
        <v>10781</v>
      </c>
      <c r="G716" s="18"/>
      <c r="H716" s="18">
        <v>1</v>
      </c>
      <c r="I716" s="21" t="s">
        <v>1383</v>
      </c>
      <c r="J716" s="18">
        <v>1</v>
      </c>
      <c r="K716" s="18">
        <v>693</v>
      </c>
      <c r="L716" s="22"/>
      <c r="M716" s="18"/>
    </row>
    <row r="717" spans="1:13">
      <c r="A717" s="18">
        <v>2</v>
      </c>
      <c r="B717" s="112"/>
      <c r="C717" s="18"/>
      <c r="D717" s="18">
        <v>1</v>
      </c>
      <c r="E717" s="20">
        <v>11500</v>
      </c>
      <c r="F717" s="20"/>
      <c r="G717" s="18"/>
      <c r="H717" s="18">
        <v>1</v>
      </c>
      <c r="I717" s="21" t="s">
        <v>1384</v>
      </c>
      <c r="J717" s="18">
        <v>1</v>
      </c>
      <c r="K717" s="18">
        <v>11500</v>
      </c>
      <c r="L717" s="22"/>
      <c r="M717" s="18"/>
    </row>
    <row r="718" spans="1:13">
      <c r="A718" s="18"/>
      <c r="B718" s="18"/>
      <c r="C718" s="18"/>
      <c r="D718" s="18"/>
      <c r="E718" s="20"/>
      <c r="F718" s="20"/>
      <c r="G718" s="18"/>
      <c r="H718" s="18"/>
      <c r="I718" s="21"/>
      <c r="J718" s="18"/>
      <c r="K718" s="18"/>
      <c r="L718" s="22"/>
      <c r="M718" s="18"/>
    </row>
    <row r="719" spans="1:13">
      <c r="A719" s="117" t="s">
        <v>4</v>
      </c>
      <c r="B719" s="117"/>
      <c r="C719" s="117"/>
      <c r="D719" s="117"/>
      <c r="E719" s="117"/>
      <c r="F719" s="117"/>
      <c r="G719" s="117"/>
      <c r="H719" s="117"/>
      <c r="I719" s="118" t="s">
        <v>8</v>
      </c>
      <c r="J719" s="118"/>
      <c r="K719" s="89" t="s">
        <v>70</v>
      </c>
      <c r="L719" s="119"/>
      <c r="M719" s="120"/>
    </row>
    <row r="720" spans="1:13">
      <c r="A720" s="117"/>
      <c r="B720" s="117"/>
      <c r="C720" s="117"/>
      <c r="D720" s="117"/>
      <c r="E720" s="117"/>
      <c r="F720" s="117"/>
      <c r="G720" s="117"/>
      <c r="H720" s="117"/>
      <c r="I720" s="118" t="s">
        <v>25</v>
      </c>
      <c r="J720" s="118"/>
      <c r="K720" s="121" t="s">
        <v>1327</v>
      </c>
      <c r="L720" s="118"/>
      <c r="M720" s="118"/>
    </row>
    <row r="721" spans="1:13">
      <c r="A721" s="117"/>
      <c r="B721" s="117"/>
      <c r="C721" s="117"/>
      <c r="D721" s="117"/>
      <c r="E721" s="117"/>
      <c r="F721" s="117"/>
      <c r="G721" s="117"/>
      <c r="H721" s="117"/>
      <c r="I721" s="87" t="s">
        <v>26</v>
      </c>
      <c r="J721" s="88"/>
      <c r="K721" s="95" t="s">
        <v>423</v>
      </c>
      <c r="L721" s="104"/>
      <c r="M721" s="88"/>
    </row>
    <row r="722" spans="1:13">
      <c r="A722" s="118" t="s">
        <v>31</v>
      </c>
      <c r="B722" s="118"/>
      <c r="C722" s="118" t="s">
        <v>32</v>
      </c>
      <c r="D722" s="118"/>
      <c r="E722" s="118"/>
      <c r="F722" s="118"/>
      <c r="G722" s="118"/>
      <c r="H722" s="118"/>
      <c r="I722" s="40" t="s">
        <v>29</v>
      </c>
      <c r="J722" s="41"/>
      <c r="K722" s="118" t="s">
        <v>1328</v>
      </c>
      <c r="L722" s="118"/>
      <c r="M722" s="118"/>
    </row>
    <row r="723" spans="1:13">
      <c r="A723" s="118"/>
      <c r="B723" s="118"/>
      <c r="C723" s="118"/>
      <c r="D723" s="118"/>
      <c r="E723" s="118"/>
      <c r="F723" s="118"/>
      <c r="G723" s="118"/>
      <c r="H723" s="118"/>
      <c r="I723" s="118" t="s">
        <v>30</v>
      </c>
      <c r="J723" s="118"/>
      <c r="K723" s="118" t="s">
        <v>1352</v>
      </c>
      <c r="L723" s="118"/>
      <c r="M723" s="118"/>
    </row>
    <row r="724" spans="1:13">
      <c r="A724" s="122" t="s">
        <v>24</v>
      </c>
      <c r="B724" s="122"/>
      <c r="C724" s="122"/>
      <c r="D724" s="42">
        <v>2</v>
      </c>
      <c r="E724" s="117" t="s">
        <v>40</v>
      </c>
      <c r="F724" s="117"/>
      <c r="G724" s="117"/>
      <c r="H724" s="42">
        <v>22</v>
      </c>
      <c r="I724" s="118" t="s">
        <v>27</v>
      </c>
      <c r="J724" s="118"/>
      <c r="K724" s="118" t="s">
        <v>21</v>
      </c>
      <c r="L724" s="118"/>
      <c r="M724" s="118"/>
    </row>
    <row r="725" spans="1:13" ht="45">
      <c r="A725" s="3" t="s">
        <v>9</v>
      </c>
      <c r="B725" s="3" t="s">
        <v>10</v>
      </c>
      <c r="C725" s="3" t="s">
        <v>11</v>
      </c>
      <c r="D725" s="3" t="s">
        <v>3</v>
      </c>
      <c r="E725" s="4" t="s">
        <v>41</v>
      </c>
      <c r="F725" s="4" t="s">
        <v>12</v>
      </c>
      <c r="G725" s="3" t="s">
        <v>13</v>
      </c>
      <c r="H725" s="3" t="s">
        <v>14</v>
      </c>
      <c r="I725" s="3" t="s">
        <v>1103</v>
      </c>
      <c r="J725" s="3" t="s">
        <v>16</v>
      </c>
      <c r="K725" s="3" t="s">
        <v>17</v>
      </c>
      <c r="L725" s="3" t="s">
        <v>18</v>
      </c>
      <c r="M725" s="3" t="s">
        <v>19</v>
      </c>
    </row>
    <row r="726" spans="1:13">
      <c r="A726" s="18">
        <v>1</v>
      </c>
      <c r="B726" s="111" t="s">
        <v>1130</v>
      </c>
      <c r="C726" s="18"/>
      <c r="D726" s="18">
        <v>1</v>
      </c>
      <c r="E726" s="20">
        <v>11500</v>
      </c>
      <c r="F726" s="20">
        <v>110</v>
      </c>
      <c r="G726" s="18"/>
      <c r="H726" s="18">
        <v>1</v>
      </c>
      <c r="I726" s="21" t="s">
        <v>1340</v>
      </c>
      <c r="J726" s="18">
        <v>1</v>
      </c>
      <c r="K726" s="18">
        <v>1478</v>
      </c>
      <c r="L726" s="22"/>
      <c r="M726" s="18"/>
    </row>
    <row r="727" spans="1:13">
      <c r="A727" s="18"/>
      <c r="B727" s="113"/>
      <c r="C727" s="18"/>
      <c r="D727" s="18"/>
      <c r="E727" s="20"/>
      <c r="F727" s="20"/>
      <c r="G727" s="18"/>
      <c r="H727" s="18">
        <v>1</v>
      </c>
      <c r="I727" s="21" t="s">
        <v>1347</v>
      </c>
      <c r="J727" s="18">
        <v>1</v>
      </c>
      <c r="K727" s="18">
        <v>1478</v>
      </c>
      <c r="L727" s="22"/>
      <c r="M727" s="18"/>
    </row>
    <row r="728" spans="1:13">
      <c r="A728" s="18"/>
      <c r="B728" s="113"/>
      <c r="C728" s="18"/>
      <c r="D728" s="18"/>
      <c r="E728" s="20"/>
      <c r="F728" s="20"/>
      <c r="G728" s="18"/>
      <c r="H728" s="18">
        <v>1</v>
      </c>
      <c r="I728" s="21" t="s">
        <v>1348</v>
      </c>
      <c r="J728" s="18">
        <v>1</v>
      </c>
      <c r="K728" s="18">
        <v>1478</v>
      </c>
      <c r="L728" s="22"/>
      <c r="M728" s="18"/>
    </row>
    <row r="729" spans="1:13">
      <c r="A729" s="18"/>
      <c r="B729" s="113"/>
      <c r="C729" s="18"/>
      <c r="D729" s="18"/>
      <c r="E729" s="20"/>
      <c r="F729" s="20"/>
      <c r="G729" s="18"/>
      <c r="H729" s="18">
        <v>1</v>
      </c>
      <c r="I729" s="21" t="s">
        <v>1339</v>
      </c>
      <c r="J729" s="18">
        <v>1</v>
      </c>
      <c r="K729" s="18">
        <v>1236</v>
      </c>
      <c r="L729" s="22"/>
      <c r="M729" s="18"/>
    </row>
    <row r="730" spans="1:13">
      <c r="A730" s="18"/>
      <c r="B730" s="113"/>
      <c r="C730" s="18"/>
      <c r="D730" s="18"/>
      <c r="E730" s="20"/>
      <c r="F730" s="20"/>
      <c r="G730" s="18"/>
      <c r="H730" s="18">
        <v>1</v>
      </c>
      <c r="I730" s="21" t="s">
        <v>1343</v>
      </c>
      <c r="J730" s="18">
        <v>1</v>
      </c>
      <c r="K730" s="18">
        <v>1236</v>
      </c>
      <c r="L730" s="22"/>
      <c r="M730" s="18"/>
    </row>
    <row r="731" spans="1:13">
      <c r="A731" s="18"/>
      <c r="B731" s="113"/>
      <c r="C731" s="18"/>
      <c r="D731" s="18"/>
      <c r="E731" s="20"/>
      <c r="F731" s="20"/>
      <c r="G731" s="18"/>
      <c r="H731" s="18">
        <v>1</v>
      </c>
      <c r="I731" s="21" t="s">
        <v>1346</v>
      </c>
      <c r="J731" s="18">
        <v>1</v>
      </c>
      <c r="K731" s="18">
        <v>1236</v>
      </c>
      <c r="L731" s="22"/>
      <c r="M731" s="18"/>
    </row>
    <row r="732" spans="1:13">
      <c r="A732" s="18"/>
      <c r="B732" s="113"/>
      <c r="C732" s="18"/>
      <c r="D732" s="18"/>
      <c r="E732" s="20"/>
      <c r="F732" s="20"/>
      <c r="G732" s="18"/>
      <c r="H732" s="18">
        <v>1</v>
      </c>
      <c r="I732" s="21" t="s">
        <v>1351</v>
      </c>
      <c r="J732" s="18">
        <v>1</v>
      </c>
      <c r="K732" s="18">
        <v>1236</v>
      </c>
      <c r="L732" s="22"/>
      <c r="M732" s="18"/>
    </row>
    <row r="733" spans="1:13">
      <c r="A733" s="18"/>
      <c r="B733" s="113"/>
      <c r="C733" s="18"/>
      <c r="D733" s="18"/>
      <c r="E733" s="20"/>
      <c r="F733" s="20"/>
      <c r="G733" s="18"/>
      <c r="H733" s="18">
        <v>1</v>
      </c>
      <c r="I733" s="21" t="s">
        <v>1337</v>
      </c>
      <c r="J733" s="18">
        <v>1</v>
      </c>
      <c r="K733" s="18">
        <v>1138</v>
      </c>
      <c r="L733" s="22"/>
      <c r="M733" s="18"/>
    </row>
    <row r="734" spans="1:13">
      <c r="A734" s="18"/>
      <c r="B734" s="113"/>
      <c r="C734" s="18"/>
      <c r="D734" s="18"/>
      <c r="E734" s="20"/>
      <c r="F734" s="20"/>
      <c r="G734" s="18"/>
      <c r="H734" s="18">
        <v>1</v>
      </c>
      <c r="I734" s="21" t="s">
        <v>1335</v>
      </c>
      <c r="J734" s="18">
        <v>1</v>
      </c>
      <c r="K734" s="18">
        <v>640</v>
      </c>
      <c r="L734" s="22"/>
      <c r="M734" s="18"/>
    </row>
    <row r="735" spans="1:13">
      <c r="A735" s="18">
        <v>2</v>
      </c>
      <c r="B735" s="113"/>
      <c r="C735" s="18"/>
      <c r="D735" s="18">
        <v>1</v>
      </c>
      <c r="E735" s="20">
        <v>11500</v>
      </c>
      <c r="F735" s="20">
        <v>3796</v>
      </c>
      <c r="G735" s="18"/>
      <c r="H735" s="18">
        <v>1</v>
      </c>
      <c r="I735" s="21" t="s">
        <v>1341</v>
      </c>
      <c r="J735" s="18">
        <v>1</v>
      </c>
      <c r="K735" s="18">
        <v>1138</v>
      </c>
      <c r="L735" s="22"/>
      <c r="M735" s="18"/>
    </row>
    <row r="736" spans="1:13">
      <c r="A736" s="18"/>
      <c r="B736" s="113"/>
      <c r="C736" s="18"/>
      <c r="D736" s="18"/>
      <c r="E736" s="20"/>
      <c r="F736" s="20"/>
      <c r="G736" s="18"/>
      <c r="H736" s="18">
        <v>1</v>
      </c>
      <c r="I736" s="21" t="s">
        <v>1344</v>
      </c>
      <c r="J736" s="18">
        <v>1</v>
      </c>
      <c r="K736" s="18">
        <v>1138</v>
      </c>
      <c r="L736" s="22"/>
      <c r="M736" s="18"/>
    </row>
    <row r="737" spans="1:13">
      <c r="A737" s="18"/>
      <c r="B737" s="113"/>
      <c r="C737" s="18"/>
      <c r="D737" s="18"/>
      <c r="E737" s="20"/>
      <c r="F737" s="20"/>
      <c r="G737" s="18"/>
      <c r="H737" s="18">
        <v>1</v>
      </c>
      <c r="I737" s="21" t="s">
        <v>1349</v>
      </c>
      <c r="J737" s="18">
        <v>1</v>
      </c>
      <c r="K737" s="18">
        <v>1138</v>
      </c>
      <c r="L737" s="22"/>
      <c r="M737" s="18"/>
    </row>
    <row r="738" spans="1:13">
      <c r="A738" s="18"/>
      <c r="B738" s="113"/>
      <c r="C738" s="18"/>
      <c r="D738" s="18"/>
      <c r="E738" s="20"/>
      <c r="F738" s="20"/>
      <c r="G738" s="18"/>
      <c r="H738" s="18">
        <v>1</v>
      </c>
      <c r="I738" s="21" t="s">
        <v>1336</v>
      </c>
      <c r="J738" s="18">
        <v>1</v>
      </c>
      <c r="K738" s="18">
        <v>596</v>
      </c>
      <c r="L738" s="22"/>
      <c r="M738" s="18"/>
    </row>
    <row r="739" spans="1:13">
      <c r="A739" s="18"/>
      <c r="B739" s="113"/>
      <c r="C739" s="18"/>
      <c r="D739" s="18"/>
      <c r="E739" s="20"/>
      <c r="F739" s="20"/>
      <c r="G739" s="18"/>
      <c r="H739" s="18">
        <v>1</v>
      </c>
      <c r="I739" s="21" t="s">
        <v>1338</v>
      </c>
      <c r="J739" s="18">
        <v>1</v>
      </c>
      <c r="K739" s="18">
        <v>567</v>
      </c>
      <c r="L739" s="22"/>
      <c r="M739" s="18"/>
    </row>
    <row r="740" spans="1:13">
      <c r="A740" s="18"/>
      <c r="B740" s="113"/>
      <c r="C740" s="18"/>
      <c r="D740" s="18"/>
      <c r="E740" s="20"/>
      <c r="F740" s="20"/>
      <c r="G740" s="18"/>
      <c r="H740" s="18">
        <v>1</v>
      </c>
      <c r="I740" s="21" t="s">
        <v>1342</v>
      </c>
      <c r="J740" s="18">
        <v>1</v>
      </c>
      <c r="K740" s="18">
        <v>567</v>
      </c>
      <c r="L740" s="22"/>
      <c r="M740" s="18"/>
    </row>
    <row r="741" spans="1:13">
      <c r="A741" s="5"/>
      <c r="B741" s="113"/>
      <c r="C741" s="5"/>
      <c r="D741" s="5"/>
      <c r="E741" s="6"/>
      <c r="F741" s="6"/>
      <c r="G741" s="5"/>
      <c r="H741" s="5">
        <v>1</v>
      </c>
      <c r="I741" s="7" t="s">
        <v>1345</v>
      </c>
      <c r="J741" s="5">
        <v>1</v>
      </c>
      <c r="K741" s="5">
        <v>567</v>
      </c>
      <c r="L741" s="8"/>
      <c r="M741" s="5"/>
    </row>
    <row r="742" spans="1:13">
      <c r="A742" s="5"/>
      <c r="B742" s="113"/>
      <c r="C742" s="5"/>
      <c r="D742" s="5"/>
      <c r="E742" s="6"/>
      <c r="F742" s="6"/>
      <c r="G742" s="5"/>
      <c r="H742" s="5">
        <v>1</v>
      </c>
      <c r="I742" s="7" t="s">
        <v>1350</v>
      </c>
      <c r="J742" s="5">
        <v>1</v>
      </c>
      <c r="K742" s="5">
        <v>567</v>
      </c>
      <c r="L742" s="8"/>
      <c r="M742" s="18"/>
    </row>
    <row r="743" spans="1:13">
      <c r="A743" s="5"/>
      <c r="B743" s="113"/>
      <c r="C743" s="5"/>
      <c r="D743" s="5"/>
      <c r="E743" s="6"/>
      <c r="F743" s="6"/>
      <c r="G743" s="5"/>
      <c r="H743" s="5">
        <v>1</v>
      </c>
      <c r="I743" s="7" t="s">
        <v>1332</v>
      </c>
      <c r="J743" s="5">
        <v>1</v>
      </c>
      <c r="K743" s="5">
        <v>298</v>
      </c>
      <c r="L743" s="8"/>
      <c r="M743" s="5"/>
    </row>
    <row r="744" spans="1:13">
      <c r="A744" s="5"/>
      <c r="B744" s="113"/>
      <c r="C744" s="5"/>
      <c r="D744" s="5"/>
      <c r="E744" s="6"/>
      <c r="F744" s="6"/>
      <c r="G744" s="5"/>
      <c r="H744" s="5">
        <v>1</v>
      </c>
      <c r="I744" s="7" t="s">
        <v>1334</v>
      </c>
      <c r="J744" s="5">
        <v>1</v>
      </c>
      <c r="K744" s="5">
        <v>285</v>
      </c>
      <c r="L744" s="8"/>
      <c r="M744" s="5"/>
    </row>
    <row r="745" spans="1:13">
      <c r="A745" s="5"/>
      <c r="B745" s="113"/>
      <c r="C745" s="5"/>
      <c r="D745" s="5"/>
      <c r="E745" s="6"/>
      <c r="F745" s="6"/>
      <c r="G745" s="5"/>
      <c r="H745" s="5">
        <v>1</v>
      </c>
      <c r="I745" s="7" t="s">
        <v>1330</v>
      </c>
      <c r="J745" s="5">
        <v>1</v>
      </c>
      <c r="K745" s="5">
        <v>191</v>
      </c>
      <c r="L745" s="8"/>
      <c r="M745" s="5"/>
    </row>
    <row r="746" spans="1:13">
      <c r="A746" s="5"/>
      <c r="B746" s="113"/>
      <c r="C746" s="5"/>
      <c r="D746" s="5"/>
      <c r="E746" s="6"/>
      <c r="F746" s="6"/>
      <c r="G746" s="5"/>
      <c r="H746" s="5">
        <v>1</v>
      </c>
      <c r="I746" s="7" t="s">
        <v>1333</v>
      </c>
      <c r="J746" s="5">
        <v>1</v>
      </c>
      <c r="K746" s="5">
        <v>181</v>
      </c>
      <c r="L746" s="8"/>
      <c r="M746" s="5"/>
    </row>
    <row r="747" spans="1:13">
      <c r="A747" s="5"/>
      <c r="B747" s="113"/>
      <c r="C747" s="5"/>
      <c r="D747" s="5"/>
      <c r="E747" s="6"/>
      <c r="F747" s="6"/>
      <c r="G747" s="5"/>
      <c r="H747" s="5">
        <v>1</v>
      </c>
      <c r="I747" s="7" t="s">
        <v>1331</v>
      </c>
      <c r="J747" s="5">
        <v>1</v>
      </c>
      <c r="K747" s="5">
        <v>133</v>
      </c>
      <c r="L747" s="8"/>
      <c r="M747" s="5"/>
    </row>
    <row r="748" spans="1:13">
      <c r="A748" s="5"/>
      <c r="B748" s="112"/>
      <c r="C748" s="5"/>
      <c r="D748" s="5"/>
      <c r="E748" s="6"/>
      <c r="F748" s="6"/>
      <c r="G748" s="5"/>
      <c r="H748" s="5"/>
      <c r="I748" s="7"/>
      <c r="J748" s="5"/>
      <c r="K748" s="5"/>
      <c r="L748" s="8"/>
      <c r="M748" s="5"/>
    </row>
    <row r="749" spans="1:13">
      <c r="A749" s="117" t="s">
        <v>4</v>
      </c>
      <c r="B749" s="117"/>
      <c r="C749" s="117"/>
      <c r="D749" s="117"/>
      <c r="E749" s="117"/>
      <c r="F749" s="117"/>
      <c r="G749" s="117"/>
      <c r="H749" s="117"/>
      <c r="I749" s="118" t="s">
        <v>8</v>
      </c>
      <c r="J749" s="118"/>
      <c r="K749" s="89" t="s">
        <v>70</v>
      </c>
      <c r="L749" s="119"/>
      <c r="M749" s="120"/>
    </row>
    <row r="750" spans="1:13">
      <c r="A750" s="117"/>
      <c r="B750" s="117"/>
      <c r="C750" s="117"/>
      <c r="D750" s="117"/>
      <c r="E750" s="117"/>
      <c r="F750" s="117"/>
      <c r="G750" s="117"/>
      <c r="H750" s="117"/>
      <c r="I750" s="118" t="s">
        <v>25</v>
      </c>
      <c r="J750" s="118"/>
      <c r="K750" s="121" t="s">
        <v>1098</v>
      </c>
      <c r="L750" s="118"/>
      <c r="M750" s="118"/>
    </row>
    <row r="751" spans="1:13">
      <c r="A751" s="117"/>
      <c r="B751" s="117"/>
      <c r="C751" s="117"/>
      <c r="D751" s="117"/>
      <c r="E751" s="117"/>
      <c r="F751" s="117"/>
      <c r="G751" s="117"/>
      <c r="H751" s="117"/>
      <c r="I751" s="87" t="s">
        <v>26</v>
      </c>
      <c r="J751" s="88"/>
      <c r="K751" s="95" t="s">
        <v>53</v>
      </c>
      <c r="L751" s="104"/>
      <c r="M751" s="88"/>
    </row>
    <row r="752" spans="1:13">
      <c r="A752" s="118" t="s">
        <v>31</v>
      </c>
      <c r="B752" s="118"/>
      <c r="C752" s="118" t="s">
        <v>32</v>
      </c>
      <c r="D752" s="118"/>
      <c r="E752" s="118"/>
      <c r="F752" s="118"/>
      <c r="G752" s="118"/>
      <c r="H752" s="118"/>
      <c r="I752" s="40" t="s">
        <v>29</v>
      </c>
      <c r="J752" s="41"/>
      <c r="K752" s="118" t="s">
        <v>1099</v>
      </c>
      <c r="L752" s="118"/>
      <c r="M752" s="118"/>
    </row>
    <row r="753" spans="1:13">
      <c r="A753" s="118"/>
      <c r="B753" s="118"/>
      <c r="C753" s="118"/>
      <c r="D753" s="118"/>
      <c r="E753" s="118"/>
      <c r="F753" s="118"/>
      <c r="G753" s="118"/>
      <c r="H753" s="118"/>
      <c r="I753" s="118" t="s">
        <v>30</v>
      </c>
      <c r="J753" s="118"/>
      <c r="K753" s="118" t="s">
        <v>1318</v>
      </c>
      <c r="L753" s="118"/>
      <c r="M753" s="118"/>
    </row>
    <row r="754" spans="1:13">
      <c r="A754" s="122" t="s">
        <v>24</v>
      </c>
      <c r="B754" s="122"/>
      <c r="C754" s="122"/>
      <c r="D754" s="42">
        <v>1</v>
      </c>
      <c r="E754" s="117" t="s">
        <v>40</v>
      </c>
      <c r="F754" s="117"/>
      <c r="G754" s="117"/>
      <c r="H754" s="42">
        <v>2</v>
      </c>
      <c r="I754" s="118" t="s">
        <v>27</v>
      </c>
      <c r="J754" s="118"/>
      <c r="K754" s="118" t="s">
        <v>21</v>
      </c>
      <c r="L754" s="118"/>
      <c r="M754" s="118"/>
    </row>
    <row r="755" spans="1:13" ht="45">
      <c r="A755" s="3" t="s">
        <v>9</v>
      </c>
      <c r="B755" s="3" t="s">
        <v>10</v>
      </c>
      <c r="C755" s="3" t="s">
        <v>11</v>
      </c>
      <c r="D755" s="3" t="s">
        <v>3</v>
      </c>
      <c r="E755" s="4" t="s">
        <v>41</v>
      </c>
      <c r="F755" s="4" t="s">
        <v>12</v>
      </c>
      <c r="G755" s="3" t="s">
        <v>13</v>
      </c>
      <c r="H755" s="3" t="s">
        <v>14</v>
      </c>
      <c r="I755" s="3" t="s">
        <v>1103</v>
      </c>
      <c r="J755" s="3" t="s">
        <v>16</v>
      </c>
      <c r="K755" s="3" t="s">
        <v>17</v>
      </c>
      <c r="L755" s="3" t="s">
        <v>18</v>
      </c>
      <c r="M755" s="3" t="s">
        <v>19</v>
      </c>
    </row>
    <row r="756" spans="1:13">
      <c r="A756" s="18">
        <v>1</v>
      </c>
      <c r="B756" s="111" t="s">
        <v>1319</v>
      </c>
      <c r="C756" s="18"/>
      <c r="D756" s="18">
        <v>1</v>
      </c>
      <c r="E756" s="20">
        <v>2580</v>
      </c>
      <c r="F756" s="20">
        <v>1314</v>
      </c>
      <c r="G756" s="18"/>
      <c r="H756" s="18">
        <v>1</v>
      </c>
      <c r="I756" s="21" t="s">
        <v>1315</v>
      </c>
      <c r="J756" s="18">
        <v>1</v>
      </c>
      <c r="K756" s="18">
        <v>632</v>
      </c>
      <c r="L756" s="136" t="s">
        <v>873</v>
      </c>
      <c r="M756" s="137"/>
    </row>
    <row r="757" spans="1:13">
      <c r="A757" s="18"/>
      <c r="B757" s="112"/>
      <c r="C757" s="18"/>
      <c r="D757" s="18"/>
      <c r="E757" s="20"/>
      <c r="F757" s="20"/>
      <c r="G757" s="18"/>
      <c r="H757" s="18">
        <v>1</v>
      </c>
      <c r="I757" s="21" t="s">
        <v>1317</v>
      </c>
      <c r="J757" s="18">
        <v>1</v>
      </c>
      <c r="K757" s="18">
        <v>582</v>
      </c>
      <c r="L757" s="138"/>
      <c r="M757" s="139"/>
    </row>
    <row r="758" spans="1:13">
      <c r="A758" s="18"/>
      <c r="B758" s="18"/>
      <c r="C758" s="18"/>
      <c r="D758" s="18"/>
      <c r="E758" s="20"/>
      <c r="F758" s="20"/>
      <c r="G758" s="18"/>
      <c r="H758" s="18"/>
      <c r="I758" s="21"/>
      <c r="J758" s="18"/>
      <c r="K758" s="18"/>
      <c r="L758" s="22"/>
      <c r="M758" s="18"/>
    </row>
    <row r="759" spans="1:13">
      <c r="A759" s="117" t="s">
        <v>4</v>
      </c>
      <c r="B759" s="117"/>
      <c r="C759" s="117"/>
      <c r="D759" s="117"/>
      <c r="E759" s="117"/>
      <c r="F759" s="117"/>
      <c r="G759" s="117"/>
      <c r="H759" s="117"/>
      <c r="I759" s="118" t="s">
        <v>8</v>
      </c>
      <c r="J759" s="118"/>
      <c r="K759" s="89" t="s">
        <v>70</v>
      </c>
      <c r="L759" s="119"/>
      <c r="M759" s="120"/>
    </row>
    <row r="760" spans="1:13">
      <c r="A760" s="117"/>
      <c r="B760" s="117"/>
      <c r="C760" s="117"/>
      <c r="D760" s="117"/>
      <c r="E760" s="117"/>
      <c r="F760" s="117"/>
      <c r="G760" s="117"/>
      <c r="H760" s="117"/>
      <c r="I760" s="118" t="s">
        <v>25</v>
      </c>
      <c r="J760" s="118"/>
      <c r="K760" s="121" t="s">
        <v>1098</v>
      </c>
      <c r="L760" s="118"/>
      <c r="M760" s="118"/>
    </row>
    <row r="761" spans="1:13">
      <c r="A761" s="117"/>
      <c r="B761" s="117"/>
      <c r="C761" s="117"/>
      <c r="D761" s="117"/>
      <c r="E761" s="117"/>
      <c r="F761" s="117"/>
      <c r="G761" s="117"/>
      <c r="H761" s="117"/>
      <c r="I761" s="87" t="s">
        <v>26</v>
      </c>
      <c r="J761" s="88"/>
      <c r="K761" s="95" t="s">
        <v>736</v>
      </c>
      <c r="L761" s="104"/>
      <c r="M761" s="88"/>
    </row>
    <row r="762" spans="1:13">
      <c r="A762" s="118" t="s">
        <v>31</v>
      </c>
      <c r="B762" s="118"/>
      <c r="C762" s="118" t="s">
        <v>32</v>
      </c>
      <c r="D762" s="118"/>
      <c r="E762" s="118"/>
      <c r="F762" s="118"/>
      <c r="G762" s="118"/>
      <c r="H762" s="118"/>
      <c r="I762" s="40" t="s">
        <v>29</v>
      </c>
      <c r="J762" s="41"/>
      <c r="K762" s="118" t="s">
        <v>1099</v>
      </c>
      <c r="L762" s="118"/>
      <c r="M762" s="118"/>
    </row>
    <row r="763" spans="1:13">
      <c r="A763" s="118"/>
      <c r="B763" s="118"/>
      <c r="C763" s="118"/>
      <c r="D763" s="118"/>
      <c r="E763" s="118"/>
      <c r="F763" s="118"/>
      <c r="G763" s="118"/>
      <c r="H763" s="118"/>
      <c r="I763" s="118" t="s">
        <v>30</v>
      </c>
      <c r="J763" s="118"/>
      <c r="K763" s="118" t="s">
        <v>1314</v>
      </c>
      <c r="L763" s="118"/>
      <c r="M763" s="118"/>
    </row>
    <row r="764" spans="1:13">
      <c r="A764" s="122" t="s">
        <v>24</v>
      </c>
      <c r="B764" s="122"/>
      <c r="C764" s="122"/>
      <c r="D764" s="42">
        <v>1</v>
      </c>
      <c r="E764" s="117" t="s">
        <v>40</v>
      </c>
      <c r="F764" s="117"/>
      <c r="G764" s="117"/>
      <c r="H764" s="42">
        <v>4</v>
      </c>
      <c r="I764" s="118" t="s">
        <v>27</v>
      </c>
      <c r="J764" s="118"/>
      <c r="K764" s="118" t="s">
        <v>21</v>
      </c>
      <c r="L764" s="118"/>
      <c r="M764" s="118"/>
    </row>
    <row r="765" spans="1:13" ht="45">
      <c r="A765" s="3" t="s">
        <v>9</v>
      </c>
      <c r="B765" s="3" t="s">
        <v>10</v>
      </c>
      <c r="C765" s="3" t="s">
        <v>11</v>
      </c>
      <c r="D765" s="3" t="s">
        <v>3</v>
      </c>
      <c r="E765" s="4" t="s">
        <v>41</v>
      </c>
      <c r="F765" s="4" t="s">
        <v>12</v>
      </c>
      <c r="G765" s="3" t="s">
        <v>13</v>
      </c>
      <c r="H765" s="3" t="s">
        <v>14</v>
      </c>
      <c r="I765" s="3" t="s">
        <v>1103</v>
      </c>
      <c r="J765" s="3" t="s">
        <v>16</v>
      </c>
      <c r="K765" s="3" t="s">
        <v>17</v>
      </c>
      <c r="L765" s="3" t="s">
        <v>18</v>
      </c>
      <c r="M765" s="3" t="s">
        <v>19</v>
      </c>
    </row>
    <row r="766" spans="1:13">
      <c r="A766" s="18">
        <v>1</v>
      </c>
      <c r="B766" s="111" t="s">
        <v>1188</v>
      </c>
      <c r="C766" s="18"/>
      <c r="D766" s="18">
        <v>1</v>
      </c>
      <c r="E766" s="20">
        <v>11500</v>
      </c>
      <c r="F766" s="20">
        <v>4938</v>
      </c>
      <c r="G766" s="18"/>
      <c r="H766" s="18">
        <v>1</v>
      </c>
      <c r="I766" s="21" t="s">
        <v>1186</v>
      </c>
      <c r="J766" s="18">
        <v>1</v>
      </c>
      <c r="K766" s="18">
        <v>2706</v>
      </c>
      <c r="L766" s="22"/>
      <c r="M766" s="18"/>
    </row>
    <row r="767" spans="1:13">
      <c r="A767" s="18"/>
      <c r="B767" s="113"/>
      <c r="C767" s="18"/>
      <c r="D767" s="18"/>
      <c r="E767" s="20"/>
      <c r="F767" s="20"/>
      <c r="G767" s="18"/>
      <c r="H767" s="18">
        <v>1</v>
      </c>
      <c r="I767" s="21" t="s">
        <v>1185</v>
      </c>
      <c r="J767" s="18">
        <v>1</v>
      </c>
      <c r="K767" s="18">
        <v>2156</v>
      </c>
      <c r="L767" s="22"/>
      <c r="M767" s="18"/>
    </row>
    <row r="768" spans="1:13">
      <c r="A768" s="18"/>
      <c r="B768" s="113"/>
      <c r="C768" s="18"/>
      <c r="D768" s="18"/>
      <c r="E768" s="20"/>
      <c r="F768" s="20"/>
      <c r="G768" s="18"/>
      <c r="H768" s="18">
        <v>1</v>
      </c>
      <c r="I768" s="21" t="s">
        <v>1313</v>
      </c>
      <c r="J768" s="18">
        <v>1</v>
      </c>
      <c r="K768" s="18">
        <v>990</v>
      </c>
      <c r="L768" s="22"/>
      <c r="M768" s="18"/>
    </row>
    <row r="769" spans="1:13">
      <c r="A769" s="18"/>
      <c r="B769" s="112"/>
      <c r="C769" s="18"/>
      <c r="D769" s="18"/>
      <c r="E769" s="20"/>
      <c r="F769" s="20"/>
      <c r="G769" s="18"/>
      <c r="H769" s="18">
        <v>1</v>
      </c>
      <c r="I769" s="21" t="s">
        <v>1183</v>
      </c>
      <c r="J769" s="18">
        <v>1</v>
      </c>
      <c r="K769" s="18">
        <v>606</v>
      </c>
      <c r="L769" s="22"/>
      <c r="M769" s="18"/>
    </row>
    <row r="770" spans="1:13">
      <c r="A770" s="18"/>
      <c r="B770" s="18"/>
      <c r="C770" s="18"/>
      <c r="D770" s="18"/>
      <c r="E770" s="20"/>
      <c r="F770" s="20"/>
      <c r="G770" s="18"/>
      <c r="H770" s="18"/>
      <c r="I770" s="21"/>
      <c r="J770" s="18"/>
      <c r="K770" s="18"/>
      <c r="L770" s="22"/>
      <c r="M770" s="18"/>
    </row>
    <row r="771" spans="1:13">
      <c r="A771" s="117" t="s">
        <v>4</v>
      </c>
      <c r="B771" s="117"/>
      <c r="C771" s="117"/>
      <c r="D771" s="117"/>
      <c r="E771" s="117"/>
      <c r="F771" s="117"/>
      <c r="G771" s="117"/>
      <c r="H771" s="117"/>
      <c r="I771" s="118" t="s">
        <v>8</v>
      </c>
      <c r="J771" s="118"/>
      <c r="K771" s="89" t="s">
        <v>70</v>
      </c>
      <c r="L771" s="119"/>
      <c r="M771" s="120"/>
    </row>
    <row r="772" spans="1:13">
      <c r="A772" s="117"/>
      <c r="B772" s="117"/>
      <c r="C772" s="117"/>
      <c r="D772" s="117"/>
      <c r="E772" s="117"/>
      <c r="F772" s="117"/>
      <c r="G772" s="117"/>
      <c r="H772" s="117"/>
      <c r="I772" s="118" t="s">
        <v>25</v>
      </c>
      <c r="J772" s="118"/>
      <c r="K772" s="121" t="s">
        <v>1098</v>
      </c>
      <c r="L772" s="118"/>
      <c r="M772" s="118"/>
    </row>
    <row r="773" spans="1:13">
      <c r="A773" s="117"/>
      <c r="B773" s="117"/>
      <c r="C773" s="117"/>
      <c r="D773" s="117"/>
      <c r="E773" s="117"/>
      <c r="F773" s="117"/>
      <c r="G773" s="117"/>
      <c r="H773" s="117"/>
      <c r="I773" s="87" t="s">
        <v>26</v>
      </c>
      <c r="J773" s="88"/>
      <c r="K773" s="95" t="s">
        <v>530</v>
      </c>
      <c r="L773" s="104"/>
      <c r="M773" s="88"/>
    </row>
    <row r="774" spans="1:13">
      <c r="A774" s="118" t="s">
        <v>31</v>
      </c>
      <c r="B774" s="118"/>
      <c r="C774" s="118" t="s">
        <v>32</v>
      </c>
      <c r="D774" s="118"/>
      <c r="E774" s="118"/>
      <c r="F774" s="118"/>
      <c r="G774" s="118"/>
      <c r="H774" s="118"/>
      <c r="I774" s="40" t="s">
        <v>29</v>
      </c>
      <c r="J774" s="41"/>
      <c r="K774" s="118" t="s">
        <v>1099</v>
      </c>
      <c r="L774" s="118"/>
      <c r="M774" s="118"/>
    </row>
    <row r="775" spans="1:13">
      <c r="A775" s="118"/>
      <c r="B775" s="118"/>
      <c r="C775" s="118"/>
      <c r="D775" s="118"/>
      <c r="E775" s="118"/>
      <c r="F775" s="118"/>
      <c r="G775" s="118"/>
      <c r="H775" s="118"/>
      <c r="I775" s="118" t="s">
        <v>30</v>
      </c>
      <c r="J775" s="118"/>
      <c r="K775" s="118" t="s">
        <v>1312</v>
      </c>
      <c r="L775" s="118"/>
      <c r="M775" s="118"/>
    </row>
    <row r="776" spans="1:13">
      <c r="A776" s="122" t="s">
        <v>24</v>
      </c>
      <c r="B776" s="122"/>
      <c r="C776" s="122"/>
      <c r="D776" s="42">
        <v>3</v>
      </c>
      <c r="E776" s="117" t="s">
        <v>40</v>
      </c>
      <c r="F776" s="117"/>
      <c r="G776" s="117"/>
      <c r="H776" s="42">
        <v>5</v>
      </c>
      <c r="I776" s="118" t="s">
        <v>27</v>
      </c>
      <c r="J776" s="118"/>
      <c r="K776" s="118" t="s">
        <v>21</v>
      </c>
      <c r="L776" s="118"/>
      <c r="M776" s="118"/>
    </row>
    <row r="777" spans="1:13" ht="45">
      <c r="A777" s="3" t="s">
        <v>9</v>
      </c>
      <c r="B777" s="3" t="s">
        <v>10</v>
      </c>
      <c r="C777" s="3" t="s">
        <v>11</v>
      </c>
      <c r="D777" s="3" t="s">
        <v>3</v>
      </c>
      <c r="E777" s="4" t="s">
        <v>41</v>
      </c>
      <c r="F777" s="4" t="s">
        <v>12</v>
      </c>
      <c r="G777" s="3" t="s">
        <v>13</v>
      </c>
      <c r="H777" s="3" t="s">
        <v>14</v>
      </c>
      <c r="I777" s="3" t="s">
        <v>1103</v>
      </c>
      <c r="J777" s="3" t="s">
        <v>16</v>
      </c>
      <c r="K777" s="3" t="s">
        <v>17</v>
      </c>
      <c r="L777" s="3" t="s">
        <v>18</v>
      </c>
      <c r="M777" s="3" t="s">
        <v>19</v>
      </c>
    </row>
    <row r="778" spans="1:13">
      <c r="A778" s="18">
        <v>1</v>
      </c>
      <c r="B778" s="111" t="s">
        <v>1182</v>
      </c>
      <c r="C778" s="18"/>
      <c r="D778" s="18">
        <v>1</v>
      </c>
      <c r="E778" s="20">
        <v>11500</v>
      </c>
      <c r="F778" s="20">
        <v>2815</v>
      </c>
      <c r="G778" s="18"/>
      <c r="H778" s="18">
        <v>1</v>
      </c>
      <c r="I778" s="21" t="s">
        <v>1179</v>
      </c>
      <c r="J778" s="18">
        <v>1</v>
      </c>
      <c r="K778" s="18">
        <v>4593</v>
      </c>
      <c r="L778" s="22"/>
      <c r="M778" s="18"/>
    </row>
    <row r="779" spans="1:13">
      <c r="A779" s="18"/>
      <c r="B779" s="113"/>
      <c r="C779" s="18"/>
      <c r="D779" s="18"/>
      <c r="E779" s="20"/>
      <c r="F779" s="20"/>
      <c r="G779" s="18"/>
      <c r="H779" s="18">
        <v>1</v>
      </c>
      <c r="I779" s="21" t="s">
        <v>1174</v>
      </c>
      <c r="J779" s="18">
        <v>1</v>
      </c>
      <c r="K779" s="18">
        <v>3287</v>
      </c>
      <c r="L779" s="22"/>
      <c r="M779" s="18"/>
    </row>
    <row r="780" spans="1:13">
      <c r="A780" s="18"/>
      <c r="B780" s="113"/>
      <c r="C780" s="18"/>
      <c r="D780" s="18"/>
      <c r="E780" s="20"/>
      <c r="F780" s="20"/>
      <c r="G780" s="18"/>
      <c r="H780" s="18">
        <v>1</v>
      </c>
      <c r="I780" s="21" t="s">
        <v>1180</v>
      </c>
      <c r="J780" s="18">
        <v>1</v>
      </c>
      <c r="K780" s="18">
        <v>727</v>
      </c>
      <c r="L780" s="22"/>
      <c r="M780" s="18"/>
    </row>
    <row r="781" spans="1:13">
      <c r="A781" s="18">
        <v>2</v>
      </c>
      <c r="B781" s="113"/>
      <c r="C781" s="18"/>
      <c r="D781" s="18">
        <v>1</v>
      </c>
      <c r="E781" s="20">
        <v>11500</v>
      </c>
      <c r="F781" s="20"/>
      <c r="G781" s="18"/>
      <c r="H781" s="18">
        <v>1</v>
      </c>
      <c r="I781" s="21" t="s">
        <v>1177</v>
      </c>
      <c r="J781" s="18">
        <v>1</v>
      </c>
      <c r="K781" s="18">
        <v>11500</v>
      </c>
      <c r="L781" s="22"/>
      <c r="M781" s="18"/>
    </row>
    <row r="782" spans="1:13">
      <c r="A782" s="18">
        <v>3</v>
      </c>
      <c r="B782" s="113"/>
      <c r="C782" s="18"/>
      <c r="D782" s="18">
        <v>1</v>
      </c>
      <c r="E782" s="20">
        <v>11500</v>
      </c>
      <c r="F782" s="20"/>
      <c r="G782" s="18"/>
      <c r="H782" s="18">
        <v>1</v>
      </c>
      <c r="I782" s="21" t="s">
        <v>1176</v>
      </c>
      <c r="J782" s="18">
        <v>1</v>
      </c>
      <c r="K782" s="18">
        <v>11500</v>
      </c>
      <c r="L782" s="22"/>
      <c r="M782" s="18"/>
    </row>
    <row r="783" spans="1:13">
      <c r="A783" s="18">
        <v>4</v>
      </c>
      <c r="B783" s="113"/>
      <c r="C783" s="18"/>
      <c r="D783" s="18">
        <v>1</v>
      </c>
      <c r="E783" s="20">
        <v>3100</v>
      </c>
      <c r="F783" s="20">
        <v>646</v>
      </c>
      <c r="G783" s="18"/>
      <c r="H783" s="18">
        <v>1</v>
      </c>
      <c r="I783" s="21" t="s">
        <v>1175</v>
      </c>
      <c r="J783" s="18">
        <v>1</v>
      </c>
      <c r="K783" s="18">
        <v>1441</v>
      </c>
      <c r="L783" s="136" t="s">
        <v>873</v>
      </c>
      <c r="M783" s="137"/>
    </row>
    <row r="784" spans="1:13">
      <c r="A784" s="18"/>
      <c r="B784" s="113"/>
      <c r="C784" s="18"/>
      <c r="D784" s="18"/>
      <c r="E784" s="20"/>
      <c r="F784" s="20"/>
      <c r="G784" s="18"/>
      <c r="H784" s="18">
        <v>1</v>
      </c>
      <c r="I784" s="21" t="s">
        <v>1178</v>
      </c>
      <c r="J784" s="18">
        <v>1</v>
      </c>
      <c r="K784" s="18">
        <v>961</v>
      </c>
      <c r="L784" s="173"/>
      <c r="M784" s="174"/>
    </row>
    <row r="785" spans="1:13">
      <c r="A785" s="18">
        <v>5</v>
      </c>
      <c r="B785" s="112"/>
      <c r="C785" s="18"/>
      <c r="D785" s="18">
        <v>1</v>
      </c>
      <c r="E785" s="20">
        <v>265</v>
      </c>
      <c r="F785" s="20">
        <v>69</v>
      </c>
      <c r="G785" s="18"/>
      <c r="H785" s="18">
        <v>1</v>
      </c>
      <c r="I785" s="21" t="s">
        <v>1173</v>
      </c>
      <c r="J785" s="18">
        <v>1</v>
      </c>
      <c r="K785" s="18">
        <v>170</v>
      </c>
      <c r="L785" s="138"/>
      <c r="M785" s="139"/>
    </row>
    <row r="786" spans="1:13">
      <c r="A786" s="18"/>
      <c r="B786" s="18"/>
      <c r="C786" s="18"/>
      <c r="D786" s="18"/>
      <c r="E786" s="20"/>
      <c r="F786" s="20"/>
      <c r="G786" s="18"/>
      <c r="H786" s="18"/>
      <c r="I786" s="21"/>
      <c r="J786" s="18"/>
      <c r="K786" s="18"/>
      <c r="L786" s="22"/>
      <c r="M786" s="18"/>
    </row>
    <row r="787" spans="1:13">
      <c r="A787" s="117" t="s">
        <v>4</v>
      </c>
      <c r="B787" s="117"/>
      <c r="C787" s="117"/>
      <c r="D787" s="117"/>
      <c r="E787" s="117"/>
      <c r="F787" s="117"/>
      <c r="G787" s="117"/>
      <c r="H787" s="117"/>
      <c r="I787" s="118" t="s">
        <v>8</v>
      </c>
      <c r="J787" s="118"/>
      <c r="K787" s="89" t="s">
        <v>70</v>
      </c>
      <c r="L787" s="119"/>
      <c r="M787" s="120"/>
    </row>
    <row r="788" spans="1:13">
      <c r="A788" s="117"/>
      <c r="B788" s="117"/>
      <c r="C788" s="117"/>
      <c r="D788" s="117"/>
      <c r="E788" s="117"/>
      <c r="F788" s="117"/>
      <c r="G788" s="117"/>
      <c r="H788" s="117"/>
      <c r="I788" s="118" t="s">
        <v>25</v>
      </c>
      <c r="J788" s="118"/>
      <c r="K788" s="121" t="s">
        <v>1098</v>
      </c>
      <c r="L788" s="118"/>
      <c r="M788" s="118"/>
    </row>
    <row r="789" spans="1:13">
      <c r="A789" s="117"/>
      <c r="B789" s="117"/>
      <c r="C789" s="117"/>
      <c r="D789" s="117"/>
      <c r="E789" s="117"/>
      <c r="F789" s="117"/>
      <c r="G789" s="117"/>
      <c r="H789" s="117"/>
      <c r="I789" s="87" t="s">
        <v>26</v>
      </c>
      <c r="J789" s="88"/>
      <c r="K789" s="95" t="s">
        <v>1065</v>
      </c>
      <c r="L789" s="104"/>
      <c r="M789" s="88"/>
    </row>
    <row r="790" spans="1:13">
      <c r="A790" s="118" t="s">
        <v>31</v>
      </c>
      <c r="B790" s="118"/>
      <c r="C790" s="118" t="s">
        <v>32</v>
      </c>
      <c r="D790" s="118"/>
      <c r="E790" s="118"/>
      <c r="F790" s="118"/>
      <c r="G790" s="118"/>
      <c r="H790" s="118"/>
      <c r="I790" s="40" t="s">
        <v>29</v>
      </c>
      <c r="J790" s="41"/>
      <c r="K790" s="118" t="s">
        <v>1099</v>
      </c>
      <c r="L790" s="118"/>
      <c r="M790" s="118"/>
    </row>
    <row r="791" spans="1:13">
      <c r="A791" s="118"/>
      <c r="B791" s="118"/>
      <c r="C791" s="118"/>
      <c r="D791" s="118"/>
      <c r="E791" s="118"/>
      <c r="F791" s="118"/>
      <c r="G791" s="118"/>
      <c r="H791" s="118"/>
      <c r="I791" s="118" t="s">
        <v>30</v>
      </c>
      <c r="J791" s="118"/>
      <c r="K791" s="118" t="s">
        <v>1310</v>
      </c>
      <c r="L791" s="118"/>
      <c r="M791" s="118"/>
    </row>
    <row r="792" spans="1:13">
      <c r="A792" s="122" t="s">
        <v>24</v>
      </c>
      <c r="B792" s="122"/>
      <c r="C792" s="122"/>
      <c r="D792" s="42">
        <v>4</v>
      </c>
      <c r="E792" s="117" t="s">
        <v>40</v>
      </c>
      <c r="F792" s="117"/>
      <c r="G792" s="117"/>
      <c r="H792" s="42">
        <v>7</v>
      </c>
      <c r="I792" s="118" t="s">
        <v>27</v>
      </c>
      <c r="J792" s="118"/>
      <c r="K792" s="118" t="s">
        <v>21</v>
      </c>
      <c r="L792" s="118"/>
      <c r="M792" s="118"/>
    </row>
    <row r="793" spans="1:13" ht="45">
      <c r="A793" s="3" t="s">
        <v>9</v>
      </c>
      <c r="B793" s="3" t="s">
        <v>10</v>
      </c>
      <c r="C793" s="3" t="s">
        <v>11</v>
      </c>
      <c r="D793" s="3" t="s">
        <v>3</v>
      </c>
      <c r="E793" s="4" t="s">
        <v>41</v>
      </c>
      <c r="F793" s="4" t="s">
        <v>12</v>
      </c>
      <c r="G793" s="3" t="s">
        <v>13</v>
      </c>
      <c r="H793" s="3" t="s">
        <v>14</v>
      </c>
      <c r="I793" s="3" t="s">
        <v>1103</v>
      </c>
      <c r="J793" s="3" t="s">
        <v>16</v>
      </c>
      <c r="K793" s="3" t="s">
        <v>17</v>
      </c>
      <c r="L793" s="3" t="s">
        <v>18</v>
      </c>
      <c r="M793" s="3" t="s">
        <v>19</v>
      </c>
    </row>
    <row r="794" spans="1:13">
      <c r="A794" s="18">
        <v>1</v>
      </c>
      <c r="B794" s="111" t="s">
        <v>1172</v>
      </c>
      <c r="C794" s="18"/>
      <c r="D794" s="18">
        <v>1</v>
      </c>
      <c r="E794" s="20">
        <v>11500</v>
      </c>
      <c r="F794" s="20">
        <v>6054</v>
      </c>
      <c r="G794" s="18"/>
      <c r="H794" s="18">
        <v>1</v>
      </c>
      <c r="I794" s="21" t="s">
        <v>1170</v>
      </c>
      <c r="J794" s="18">
        <v>1</v>
      </c>
      <c r="K794" s="18">
        <v>3263</v>
      </c>
      <c r="L794" s="22"/>
      <c r="M794" s="18"/>
    </row>
    <row r="795" spans="1:13">
      <c r="A795" s="18"/>
      <c r="B795" s="113"/>
      <c r="C795" s="18"/>
      <c r="D795" s="18"/>
      <c r="E795" s="20"/>
      <c r="F795" s="20"/>
      <c r="G795" s="18"/>
      <c r="H795" s="18">
        <v>1</v>
      </c>
      <c r="I795" s="21" t="s">
        <v>1166</v>
      </c>
      <c r="J795" s="18">
        <v>1</v>
      </c>
      <c r="K795" s="18">
        <v>693</v>
      </c>
      <c r="L795" s="22"/>
      <c r="M795" s="18"/>
    </row>
    <row r="796" spans="1:13">
      <c r="A796" s="18"/>
      <c r="B796" s="113"/>
      <c r="C796" s="18"/>
      <c r="D796" s="18"/>
      <c r="E796" s="20"/>
      <c r="F796" s="20"/>
      <c r="G796" s="18"/>
      <c r="H796" s="18">
        <v>1</v>
      </c>
      <c r="I796" s="21" t="s">
        <v>1169</v>
      </c>
      <c r="J796" s="18">
        <v>1</v>
      </c>
      <c r="K796" s="18">
        <v>693</v>
      </c>
      <c r="L796" s="22"/>
      <c r="M796" s="18"/>
    </row>
    <row r="797" spans="1:13">
      <c r="A797" s="18"/>
      <c r="B797" s="113"/>
      <c r="C797" s="18"/>
      <c r="D797" s="18"/>
      <c r="E797" s="20"/>
      <c r="F797" s="20"/>
      <c r="G797" s="18"/>
      <c r="H797" s="18">
        <v>1</v>
      </c>
      <c r="I797" s="21" t="s">
        <v>1165</v>
      </c>
      <c r="J797" s="18">
        <v>1</v>
      </c>
      <c r="K797" s="18">
        <v>693</v>
      </c>
      <c r="L797" s="22"/>
      <c r="M797" s="18"/>
    </row>
    <row r="798" spans="1:13">
      <c r="A798" s="18">
        <v>2</v>
      </c>
      <c r="B798" s="113"/>
      <c r="C798" s="18"/>
      <c r="D798" s="18">
        <v>1</v>
      </c>
      <c r="E798" s="20">
        <v>11500</v>
      </c>
      <c r="F798" s="20"/>
      <c r="G798" s="18"/>
      <c r="H798" s="18">
        <v>1</v>
      </c>
      <c r="I798" s="21" t="s">
        <v>1168</v>
      </c>
      <c r="J798" s="18">
        <v>1</v>
      </c>
      <c r="K798" s="18">
        <v>11500</v>
      </c>
      <c r="L798" s="22"/>
      <c r="M798" s="18"/>
    </row>
    <row r="799" spans="1:13">
      <c r="A799" s="18">
        <v>3</v>
      </c>
      <c r="B799" s="113"/>
      <c r="C799" s="18"/>
      <c r="D799" s="18">
        <v>1</v>
      </c>
      <c r="E799" s="20">
        <v>11500</v>
      </c>
      <c r="F799" s="20"/>
      <c r="G799" s="18"/>
      <c r="H799" s="18">
        <v>1</v>
      </c>
      <c r="I799" s="21" t="s">
        <v>1164</v>
      </c>
      <c r="J799" s="18">
        <v>1</v>
      </c>
      <c r="K799" s="18">
        <v>11500</v>
      </c>
      <c r="L799" s="22"/>
      <c r="M799" s="18"/>
    </row>
    <row r="800" spans="1:13">
      <c r="A800" s="18">
        <v>4</v>
      </c>
      <c r="B800" s="112"/>
      <c r="C800" s="18"/>
      <c r="D800" s="18">
        <v>1</v>
      </c>
      <c r="E800" s="20">
        <v>11500</v>
      </c>
      <c r="F800" s="20"/>
      <c r="G800" s="18"/>
      <c r="H800" s="18">
        <v>1</v>
      </c>
      <c r="I800" s="21" t="s">
        <v>1167</v>
      </c>
      <c r="J800" s="18">
        <v>1</v>
      </c>
      <c r="K800" s="18">
        <v>11500</v>
      </c>
      <c r="L800" s="22"/>
      <c r="M800" s="18"/>
    </row>
    <row r="801" spans="1:13">
      <c r="A801" s="18"/>
      <c r="B801" s="18"/>
      <c r="C801" s="18"/>
      <c r="D801" s="18"/>
      <c r="E801" s="20"/>
      <c r="F801" s="20"/>
      <c r="G801" s="18"/>
      <c r="H801" s="18"/>
      <c r="I801" s="21"/>
      <c r="J801" s="18"/>
      <c r="K801" s="18"/>
      <c r="L801" s="22"/>
      <c r="M801" s="18"/>
    </row>
    <row r="802" spans="1:13">
      <c r="A802" s="117" t="s">
        <v>4</v>
      </c>
      <c r="B802" s="117"/>
      <c r="C802" s="117"/>
      <c r="D802" s="117"/>
      <c r="E802" s="117"/>
      <c r="F802" s="117"/>
      <c r="G802" s="117"/>
      <c r="H802" s="117"/>
      <c r="I802" s="118" t="s">
        <v>8</v>
      </c>
      <c r="J802" s="118"/>
      <c r="K802" s="89" t="s">
        <v>70</v>
      </c>
      <c r="L802" s="119"/>
      <c r="M802" s="120"/>
    </row>
    <row r="803" spans="1:13">
      <c r="A803" s="117"/>
      <c r="B803" s="117"/>
      <c r="C803" s="117"/>
      <c r="D803" s="117"/>
      <c r="E803" s="117"/>
      <c r="F803" s="117"/>
      <c r="G803" s="117"/>
      <c r="H803" s="117"/>
      <c r="I803" s="118" t="s">
        <v>25</v>
      </c>
      <c r="J803" s="118"/>
      <c r="K803" s="121" t="s">
        <v>1098</v>
      </c>
      <c r="L803" s="118"/>
      <c r="M803" s="118"/>
    </row>
    <row r="804" spans="1:13">
      <c r="A804" s="117"/>
      <c r="B804" s="117"/>
      <c r="C804" s="117"/>
      <c r="D804" s="117"/>
      <c r="E804" s="117"/>
      <c r="F804" s="117"/>
      <c r="G804" s="117"/>
      <c r="H804" s="117"/>
      <c r="I804" s="87" t="s">
        <v>26</v>
      </c>
      <c r="J804" s="88"/>
      <c r="K804" s="95" t="s">
        <v>1161</v>
      </c>
      <c r="L804" s="104"/>
      <c r="M804" s="88"/>
    </row>
    <row r="805" spans="1:13">
      <c r="A805" s="118" t="s">
        <v>31</v>
      </c>
      <c r="B805" s="118"/>
      <c r="C805" s="118" t="s">
        <v>32</v>
      </c>
      <c r="D805" s="118"/>
      <c r="E805" s="118"/>
      <c r="F805" s="118"/>
      <c r="G805" s="118"/>
      <c r="H805" s="118"/>
      <c r="I805" s="40" t="s">
        <v>29</v>
      </c>
      <c r="J805" s="41"/>
      <c r="K805" s="118" t="s">
        <v>1099</v>
      </c>
      <c r="L805" s="118"/>
      <c r="M805" s="118"/>
    </row>
    <row r="806" spans="1:13">
      <c r="A806" s="118"/>
      <c r="B806" s="118"/>
      <c r="C806" s="118"/>
      <c r="D806" s="118"/>
      <c r="E806" s="118"/>
      <c r="F806" s="118"/>
      <c r="G806" s="118"/>
      <c r="H806" s="118"/>
      <c r="I806" s="118" t="s">
        <v>30</v>
      </c>
      <c r="J806" s="118"/>
      <c r="K806" s="118" t="s">
        <v>1308</v>
      </c>
      <c r="L806" s="118"/>
      <c r="M806" s="118"/>
    </row>
    <row r="807" spans="1:13">
      <c r="A807" s="122" t="s">
        <v>24</v>
      </c>
      <c r="B807" s="122"/>
      <c r="C807" s="122"/>
      <c r="D807" s="42">
        <v>2</v>
      </c>
      <c r="E807" s="117" t="s">
        <v>40</v>
      </c>
      <c r="F807" s="117"/>
      <c r="G807" s="117"/>
      <c r="H807" s="42">
        <v>6</v>
      </c>
      <c r="I807" s="118" t="s">
        <v>27</v>
      </c>
      <c r="J807" s="118"/>
      <c r="K807" s="118" t="s">
        <v>21</v>
      </c>
      <c r="L807" s="118"/>
      <c r="M807" s="118"/>
    </row>
    <row r="808" spans="1:13" ht="45">
      <c r="A808" s="3" t="s">
        <v>9</v>
      </c>
      <c r="B808" s="3" t="s">
        <v>10</v>
      </c>
      <c r="C808" s="3" t="s">
        <v>11</v>
      </c>
      <c r="D808" s="3" t="s">
        <v>3</v>
      </c>
      <c r="E808" s="4" t="s">
        <v>41</v>
      </c>
      <c r="F808" s="4" t="s">
        <v>12</v>
      </c>
      <c r="G808" s="3" t="s">
        <v>13</v>
      </c>
      <c r="H808" s="3" t="s">
        <v>14</v>
      </c>
      <c r="I808" s="3" t="s">
        <v>1103</v>
      </c>
      <c r="J808" s="3" t="s">
        <v>16</v>
      </c>
      <c r="K808" s="3" t="s">
        <v>17</v>
      </c>
      <c r="L808" s="3" t="s">
        <v>18</v>
      </c>
      <c r="M808" s="3" t="s">
        <v>19</v>
      </c>
    </row>
    <row r="809" spans="1:13">
      <c r="A809" s="18">
        <v>1</v>
      </c>
      <c r="B809" s="111" t="s">
        <v>1163</v>
      </c>
      <c r="C809" s="18"/>
      <c r="D809" s="18">
        <v>1</v>
      </c>
      <c r="E809" s="20">
        <v>11500</v>
      </c>
      <c r="F809" s="20">
        <v>1654</v>
      </c>
      <c r="G809" s="18"/>
      <c r="H809" s="18">
        <v>1</v>
      </c>
      <c r="I809" s="21" t="s">
        <v>1157</v>
      </c>
      <c r="J809" s="18">
        <v>1</v>
      </c>
      <c r="K809" s="18">
        <v>4411</v>
      </c>
      <c r="L809" s="22"/>
      <c r="M809" s="18"/>
    </row>
    <row r="810" spans="1:13">
      <c r="A810" s="18"/>
      <c r="B810" s="113"/>
      <c r="C810" s="18"/>
      <c r="D810" s="18"/>
      <c r="E810" s="20"/>
      <c r="F810" s="20"/>
      <c r="G810" s="18"/>
      <c r="H810" s="18">
        <v>1</v>
      </c>
      <c r="I810" s="21" t="s">
        <v>1159</v>
      </c>
      <c r="J810" s="18">
        <v>1</v>
      </c>
      <c r="K810" s="18">
        <v>4411</v>
      </c>
      <c r="L810" s="22"/>
      <c r="M810" s="18"/>
    </row>
    <row r="811" spans="1:13">
      <c r="A811" s="18"/>
      <c r="B811" s="113"/>
      <c r="C811" s="18"/>
      <c r="D811" s="18"/>
      <c r="E811" s="20"/>
      <c r="F811" s="20"/>
      <c r="G811" s="18"/>
      <c r="H811" s="18">
        <v>1</v>
      </c>
      <c r="I811" s="21" t="s">
        <v>1158</v>
      </c>
      <c r="J811" s="18">
        <v>1</v>
      </c>
      <c r="K811" s="18">
        <v>298</v>
      </c>
      <c r="L811" s="22"/>
      <c r="M811" s="18"/>
    </row>
    <row r="812" spans="1:13">
      <c r="A812" s="18"/>
      <c r="B812" s="113"/>
      <c r="C812" s="18"/>
      <c r="D812" s="18"/>
      <c r="E812" s="20"/>
      <c r="F812" s="20"/>
      <c r="G812" s="18"/>
      <c r="H812" s="18">
        <v>1</v>
      </c>
      <c r="I812" s="21" t="s">
        <v>1160</v>
      </c>
      <c r="J812" s="18">
        <v>1</v>
      </c>
      <c r="K812" s="18">
        <v>298</v>
      </c>
      <c r="L812" s="22"/>
      <c r="M812" s="18"/>
    </row>
    <row r="813" spans="1:13">
      <c r="A813" s="18"/>
      <c r="B813" s="113"/>
      <c r="C813" s="18"/>
      <c r="D813" s="18"/>
      <c r="E813" s="20"/>
      <c r="F813" s="20"/>
      <c r="G813" s="18"/>
      <c r="H813" s="18">
        <v>1</v>
      </c>
      <c r="I813" s="21" t="s">
        <v>1156</v>
      </c>
      <c r="J813" s="18">
        <v>1</v>
      </c>
      <c r="K813" s="18">
        <v>298</v>
      </c>
      <c r="L813" s="22"/>
      <c r="M813" s="18"/>
    </row>
    <row r="814" spans="1:13">
      <c r="A814" s="18">
        <v>2</v>
      </c>
      <c r="B814" s="112"/>
      <c r="C814" s="18"/>
      <c r="D814" s="18">
        <v>1</v>
      </c>
      <c r="E814" s="20">
        <v>11500</v>
      </c>
      <c r="F814" s="20">
        <v>7228</v>
      </c>
      <c r="G814" s="18"/>
      <c r="H814" s="18">
        <v>1</v>
      </c>
      <c r="I814" s="21" t="s">
        <v>1155</v>
      </c>
      <c r="J814" s="18">
        <v>1</v>
      </c>
      <c r="K814" s="18">
        <v>4246</v>
      </c>
      <c r="L814" s="22"/>
      <c r="M814" s="18"/>
    </row>
    <row r="815" spans="1:13">
      <c r="A815" s="18"/>
      <c r="B815" s="19"/>
      <c r="C815" s="18"/>
      <c r="D815" s="18"/>
      <c r="E815" s="20"/>
      <c r="F815" s="20"/>
      <c r="G815" s="18"/>
      <c r="H815" s="18"/>
      <c r="I815" s="21"/>
      <c r="J815" s="18"/>
      <c r="K815" s="18"/>
      <c r="L815" s="22"/>
      <c r="M815" s="18"/>
    </row>
    <row r="816" spans="1:13">
      <c r="A816" s="117" t="s">
        <v>4</v>
      </c>
      <c r="B816" s="117"/>
      <c r="C816" s="117"/>
      <c r="D816" s="117"/>
      <c r="E816" s="117"/>
      <c r="F816" s="117"/>
      <c r="G816" s="117"/>
      <c r="H816" s="117"/>
      <c r="I816" s="118" t="s">
        <v>8</v>
      </c>
      <c r="J816" s="118"/>
      <c r="K816" s="89" t="s">
        <v>70</v>
      </c>
      <c r="L816" s="119"/>
      <c r="M816" s="120"/>
    </row>
    <row r="817" spans="1:13">
      <c r="A817" s="117"/>
      <c r="B817" s="117"/>
      <c r="C817" s="117"/>
      <c r="D817" s="117"/>
      <c r="E817" s="117"/>
      <c r="F817" s="117"/>
      <c r="G817" s="117"/>
      <c r="H817" s="117"/>
      <c r="I817" s="118" t="s">
        <v>25</v>
      </c>
      <c r="J817" s="118"/>
      <c r="K817" s="121" t="s">
        <v>1098</v>
      </c>
      <c r="L817" s="118"/>
      <c r="M817" s="118"/>
    </row>
    <row r="818" spans="1:13">
      <c r="A818" s="117"/>
      <c r="B818" s="117"/>
      <c r="C818" s="117"/>
      <c r="D818" s="117"/>
      <c r="E818" s="117"/>
      <c r="F818" s="117"/>
      <c r="G818" s="117"/>
      <c r="H818" s="117"/>
      <c r="I818" s="87" t="s">
        <v>26</v>
      </c>
      <c r="J818" s="88"/>
      <c r="K818" s="95" t="s">
        <v>1305</v>
      </c>
      <c r="L818" s="104"/>
      <c r="M818" s="88"/>
    </row>
    <row r="819" spans="1:13">
      <c r="A819" s="118" t="s">
        <v>31</v>
      </c>
      <c r="B819" s="118"/>
      <c r="C819" s="118" t="s">
        <v>32</v>
      </c>
      <c r="D819" s="118"/>
      <c r="E819" s="118"/>
      <c r="F819" s="118"/>
      <c r="G819" s="118"/>
      <c r="H819" s="118"/>
      <c r="I819" s="40" t="s">
        <v>29</v>
      </c>
      <c r="J819" s="41"/>
      <c r="K819" s="118" t="s">
        <v>1099</v>
      </c>
      <c r="L819" s="118"/>
      <c r="M819" s="118"/>
    </row>
    <row r="820" spans="1:13">
      <c r="A820" s="118"/>
      <c r="B820" s="118"/>
      <c r="C820" s="118"/>
      <c r="D820" s="118"/>
      <c r="E820" s="118"/>
      <c r="F820" s="118"/>
      <c r="G820" s="118"/>
      <c r="H820" s="118"/>
      <c r="I820" s="118" t="s">
        <v>30</v>
      </c>
      <c r="J820" s="118"/>
      <c r="K820" s="118" t="s">
        <v>1187</v>
      </c>
      <c r="L820" s="118"/>
      <c r="M820" s="118"/>
    </row>
    <row r="821" spans="1:13">
      <c r="A821" s="122" t="s">
        <v>24</v>
      </c>
      <c r="B821" s="122"/>
      <c r="C821" s="122"/>
      <c r="D821" s="42">
        <v>15</v>
      </c>
      <c r="E821" s="117" t="s">
        <v>40</v>
      </c>
      <c r="F821" s="117"/>
      <c r="G821" s="117"/>
      <c r="H821" s="42">
        <v>34</v>
      </c>
      <c r="I821" s="118" t="s">
        <v>27</v>
      </c>
      <c r="J821" s="118"/>
      <c r="K821" s="118" t="s">
        <v>21</v>
      </c>
      <c r="L821" s="118"/>
      <c r="M821" s="118"/>
    </row>
    <row r="822" spans="1:13" ht="45">
      <c r="A822" s="3" t="s">
        <v>9</v>
      </c>
      <c r="B822" s="3" t="s">
        <v>10</v>
      </c>
      <c r="C822" s="3" t="s">
        <v>11</v>
      </c>
      <c r="D822" s="3" t="s">
        <v>3</v>
      </c>
      <c r="E822" s="4" t="s">
        <v>41</v>
      </c>
      <c r="F822" s="4" t="s">
        <v>12</v>
      </c>
      <c r="G822" s="3" t="s">
        <v>13</v>
      </c>
      <c r="H822" s="3" t="s">
        <v>14</v>
      </c>
      <c r="I822" s="3" t="s">
        <v>1103</v>
      </c>
      <c r="J822" s="3" t="s">
        <v>16</v>
      </c>
      <c r="K822" s="3" t="s">
        <v>17</v>
      </c>
      <c r="L822" s="3" t="s">
        <v>18</v>
      </c>
      <c r="M822" s="3" t="s">
        <v>19</v>
      </c>
    </row>
    <row r="823" spans="1:13">
      <c r="A823" s="18">
        <v>1</v>
      </c>
      <c r="B823" s="111" t="s">
        <v>1306</v>
      </c>
      <c r="C823" s="18"/>
      <c r="D823" s="18">
        <v>1</v>
      </c>
      <c r="E823" s="20">
        <v>11500</v>
      </c>
      <c r="F823" s="20">
        <v>91</v>
      </c>
      <c r="G823" s="18"/>
      <c r="H823" s="18">
        <v>1</v>
      </c>
      <c r="I823" s="21" t="s">
        <v>1280</v>
      </c>
      <c r="J823" s="18">
        <v>1</v>
      </c>
      <c r="K823" s="18">
        <v>9488</v>
      </c>
      <c r="L823" s="22"/>
      <c r="M823" s="18"/>
    </row>
    <row r="824" spans="1:13">
      <c r="A824" s="18"/>
      <c r="B824" s="113"/>
      <c r="C824" s="18"/>
      <c r="D824" s="18"/>
      <c r="E824" s="20"/>
      <c r="F824" s="20"/>
      <c r="G824" s="18"/>
      <c r="H824" s="18">
        <v>1</v>
      </c>
      <c r="I824" s="21" t="s">
        <v>1285</v>
      </c>
      <c r="J824" s="18">
        <v>1</v>
      </c>
      <c r="K824" s="18">
        <v>1655</v>
      </c>
      <c r="L824" s="22"/>
      <c r="M824" s="18"/>
    </row>
    <row r="825" spans="1:13">
      <c r="A825" s="18"/>
      <c r="B825" s="113"/>
      <c r="C825" s="18"/>
      <c r="D825" s="18"/>
      <c r="E825" s="20"/>
      <c r="F825" s="20"/>
      <c r="G825" s="18"/>
      <c r="H825" s="18">
        <v>1</v>
      </c>
      <c r="I825" s="21" t="s">
        <v>1297</v>
      </c>
      <c r="J825" s="18">
        <v>1</v>
      </c>
      <c r="K825" s="18">
        <v>188</v>
      </c>
      <c r="L825" s="22"/>
      <c r="M825" s="18"/>
    </row>
    <row r="826" spans="1:13">
      <c r="A826" s="18">
        <v>2</v>
      </c>
      <c r="B826" s="113"/>
      <c r="C826" s="18"/>
      <c r="D826" s="18">
        <v>1</v>
      </c>
      <c r="E826" s="20">
        <v>11500</v>
      </c>
      <c r="F826" s="20">
        <v>2</v>
      </c>
      <c r="G826" s="18"/>
      <c r="H826" s="18">
        <v>1</v>
      </c>
      <c r="I826" s="21" t="s">
        <v>1290</v>
      </c>
      <c r="J826" s="18">
        <v>1</v>
      </c>
      <c r="K826" s="18">
        <v>8958</v>
      </c>
      <c r="L826" s="22"/>
      <c r="M826" s="18"/>
    </row>
    <row r="827" spans="1:13">
      <c r="A827" s="18"/>
      <c r="B827" s="113"/>
      <c r="C827" s="18"/>
      <c r="D827" s="18"/>
      <c r="E827" s="20"/>
      <c r="F827" s="20"/>
      <c r="G827" s="18"/>
      <c r="H827" s="18">
        <v>1</v>
      </c>
      <c r="I827" s="21" t="s">
        <v>1282</v>
      </c>
      <c r="J827" s="18">
        <v>1</v>
      </c>
      <c r="K827" s="18">
        <v>2488</v>
      </c>
      <c r="L827" s="22"/>
      <c r="M827" s="18"/>
    </row>
    <row r="828" spans="1:13">
      <c r="A828" s="18">
        <v>3</v>
      </c>
      <c r="B828" s="113"/>
      <c r="C828" s="18"/>
      <c r="D828" s="18">
        <v>1</v>
      </c>
      <c r="E828" s="20">
        <v>11500</v>
      </c>
      <c r="F828" s="20">
        <v>158</v>
      </c>
      <c r="G828" s="18"/>
      <c r="H828" s="18">
        <v>1</v>
      </c>
      <c r="I828" s="21" t="s">
        <v>1273</v>
      </c>
      <c r="J828" s="18">
        <v>1</v>
      </c>
      <c r="K828" s="18">
        <v>4848</v>
      </c>
      <c r="L828" s="22"/>
      <c r="M828" s="18"/>
    </row>
    <row r="829" spans="1:13">
      <c r="A829" s="18"/>
      <c r="B829" s="113"/>
      <c r="C829" s="18"/>
      <c r="D829" s="18"/>
      <c r="E829" s="20"/>
      <c r="F829" s="20"/>
      <c r="G829" s="18"/>
      <c r="H829" s="18">
        <v>1</v>
      </c>
      <c r="I829" s="21" t="s">
        <v>1277</v>
      </c>
      <c r="J829" s="18">
        <v>1</v>
      </c>
      <c r="K829" s="18">
        <v>4808</v>
      </c>
      <c r="L829" s="22"/>
      <c r="M829" s="18"/>
    </row>
    <row r="830" spans="1:13">
      <c r="A830" s="18"/>
      <c r="B830" s="113"/>
      <c r="C830" s="18"/>
      <c r="D830" s="18"/>
      <c r="E830" s="20"/>
      <c r="F830" s="20"/>
      <c r="G830" s="18"/>
      <c r="H830" s="18">
        <v>1</v>
      </c>
      <c r="I830" s="21" t="s">
        <v>1296</v>
      </c>
      <c r="J830" s="18">
        <v>1</v>
      </c>
      <c r="K830" s="18">
        <v>980</v>
      </c>
      <c r="L830" s="22"/>
      <c r="M830" s="18"/>
    </row>
    <row r="831" spans="1:13">
      <c r="A831" s="18"/>
      <c r="B831" s="113"/>
      <c r="C831" s="18"/>
      <c r="D831" s="18"/>
      <c r="E831" s="20"/>
      <c r="F831" s="20"/>
      <c r="G831" s="18"/>
      <c r="H831" s="18">
        <v>1</v>
      </c>
      <c r="I831" s="21" t="s">
        <v>1279</v>
      </c>
      <c r="J831" s="18">
        <v>1</v>
      </c>
      <c r="K831" s="18">
        <v>388</v>
      </c>
      <c r="L831" s="22"/>
      <c r="M831" s="18"/>
    </row>
    <row r="832" spans="1:13">
      <c r="A832" s="18"/>
      <c r="B832" s="113"/>
      <c r="C832" s="18"/>
      <c r="D832" s="18"/>
      <c r="E832" s="20"/>
      <c r="F832" s="20"/>
      <c r="G832" s="18"/>
      <c r="H832" s="18">
        <v>1</v>
      </c>
      <c r="I832" s="21" t="s">
        <v>1301</v>
      </c>
      <c r="J832" s="18">
        <v>1</v>
      </c>
      <c r="K832" s="18">
        <v>188</v>
      </c>
      <c r="L832" s="22"/>
      <c r="M832" s="18"/>
    </row>
    <row r="833" spans="1:13">
      <c r="A833" s="18">
        <v>4</v>
      </c>
      <c r="B833" s="113"/>
      <c r="C833" s="18"/>
      <c r="D833" s="18">
        <v>1</v>
      </c>
      <c r="E833" s="20">
        <v>11500</v>
      </c>
      <c r="F833" s="20">
        <v>4074</v>
      </c>
      <c r="G833" s="18"/>
      <c r="H833" s="18">
        <v>1</v>
      </c>
      <c r="I833" s="21" t="s">
        <v>1284</v>
      </c>
      <c r="J833" s="18">
        <v>1</v>
      </c>
      <c r="K833" s="18">
        <v>2288</v>
      </c>
      <c r="L833" s="22"/>
      <c r="M833" s="18"/>
    </row>
    <row r="834" spans="1:13">
      <c r="A834" s="18"/>
      <c r="B834" s="113"/>
      <c r="C834" s="18"/>
      <c r="D834" s="18"/>
      <c r="E834" s="20"/>
      <c r="F834" s="20"/>
      <c r="G834" s="18"/>
      <c r="H834" s="18">
        <v>1</v>
      </c>
      <c r="I834" s="21" t="s">
        <v>1292</v>
      </c>
      <c r="J834" s="18">
        <v>1</v>
      </c>
      <c r="K834" s="18">
        <v>2188</v>
      </c>
      <c r="L834" s="22"/>
      <c r="M834" s="18"/>
    </row>
    <row r="835" spans="1:13">
      <c r="A835" s="18"/>
      <c r="B835" s="113"/>
      <c r="C835" s="18"/>
      <c r="D835" s="18"/>
      <c r="E835" s="20"/>
      <c r="F835" s="20"/>
      <c r="G835" s="18"/>
      <c r="H835" s="18">
        <v>1</v>
      </c>
      <c r="I835" s="21" t="s">
        <v>1294</v>
      </c>
      <c r="J835" s="18">
        <v>1</v>
      </c>
      <c r="K835" s="18">
        <v>388</v>
      </c>
      <c r="L835" s="22"/>
      <c r="M835" s="18"/>
    </row>
    <row r="836" spans="1:13">
      <c r="A836" s="18"/>
      <c r="B836" s="113"/>
      <c r="C836" s="18"/>
      <c r="D836" s="18"/>
      <c r="E836" s="20"/>
      <c r="F836" s="20"/>
      <c r="G836" s="18"/>
      <c r="H836" s="18">
        <v>1</v>
      </c>
      <c r="I836" s="21" t="s">
        <v>1281</v>
      </c>
      <c r="J836" s="18">
        <v>1</v>
      </c>
      <c r="K836" s="18">
        <v>388</v>
      </c>
      <c r="L836" s="22"/>
      <c r="M836" s="18"/>
    </row>
    <row r="837" spans="1:13">
      <c r="A837" s="18"/>
      <c r="B837" s="113"/>
      <c r="C837" s="18"/>
      <c r="D837" s="18"/>
      <c r="E837" s="20"/>
      <c r="F837" s="20"/>
      <c r="G837" s="18"/>
      <c r="H837" s="18">
        <v>1</v>
      </c>
      <c r="I837" s="21" t="s">
        <v>1274</v>
      </c>
      <c r="J837" s="18">
        <v>1</v>
      </c>
      <c r="K837" s="18">
        <v>388</v>
      </c>
      <c r="L837" s="22"/>
      <c r="M837" s="18"/>
    </row>
    <row r="838" spans="1:13">
      <c r="A838" s="5"/>
      <c r="B838" s="113"/>
      <c r="C838" s="5"/>
      <c r="D838" s="5"/>
      <c r="E838" s="6"/>
      <c r="F838" s="6"/>
      <c r="G838" s="5"/>
      <c r="H838" s="5">
        <v>1</v>
      </c>
      <c r="I838" s="7" t="s">
        <v>1278</v>
      </c>
      <c r="J838" s="5">
        <v>1</v>
      </c>
      <c r="K838" s="5">
        <v>388</v>
      </c>
      <c r="L838" s="8"/>
      <c r="M838" s="5"/>
    </row>
    <row r="839" spans="1:13">
      <c r="A839" s="5"/>
      <c r="B839" s="113"/>
      <c r="C839" s="5"/>
      <c r="D839" s="5"/>
      <c r="E839" s="6"/>
      <c r="F839" s="6"/>
      <c r="G839" s="5"/>
      <c r="H839" s="5">
        <v>1</v>
      </c>
      <c r="I839" s="7" t="s">
        <v>1300</v>
      </c>
      <c r="J839" s="5">
        <v>1</v>
      </c>
      <c r="K839" s="5">
        <v>388</v>
      </c>
      <c r="L839" s="8"/>
      <c r="M839" s="18"/>
    </row>
    <row r="840" spans="1:13">
      <c r="A840" s="5"/>
      <c r="B840" s="113"/>
      <c r="C840" s="5"/>
      <c r="D840" s="5"/>
      <c r="E840" s="6"/>
      <c r="F840" s="6"/>
      <c r="G840" s="5"/>
      <c r="H840" s="5">
        <v>1</v>
      </c>
      <c r="I840" s="7" t="s">
        <v>1304</v>
      </c>
      <c r="J840" s="5">
        <v>1</v>
      </c>
      <c r="K840" s="5">
        <v>388</v>
      </c>
      <c r="L840" s="8"/>
      <c r="M840" s="5"/>
    </row>
    <row r="841" spans="1:13">
      <c r="A841" s="5"/>
      <c r="B841" s="113"/>
      <c r="C841" s="5"/>
      <c r="D841" s="5"/>
      <c r="E841" s="6"/>
      <c r="F841" s="6"/>
      <c r="G841" s="5"/>
      <c r="H841" s="5">
        <v>1</v>
      </c>
      <c r="I841" s="7" t="s">
        <v>1289</v>
      </c>
      <c r="J841" s="5">
        <v>1</v>
      </c>
      <c r="K841" s="5">
        <v>388</v>
      </c>
      <c r="L841" s="8"/>
      <c r="M841" s="5"/>
    </row>
    <row r="842" spans="1:13">
      <c r="A842" s="5">
        <v>5</v>
      </c>
      <c r="B842" s="113"/>
      <c r="C842" s="5"/>
      <c r="D842" s="5">
        <v>1</v>
      </c>
      <c r="E842" s="6">
        <v>11500</v>
      </c>
      <c r="F842" s="6"/>
      <c r="G842" s="5"/>
      <c r="H842" s="5">
        <v>1</v>
      </c>
      <c r="I842" s="7" t="s">
        <v>1288</v>
      </c>
      <c r="J842" s="5">
        <v>1</v>
      </c>
      <c r="K842" s="5">
        <v>11500</v>
      </c>
      <c r="L842" s="8"/>
      <c r="M842" s="5"/>
    </row>
    <row r="843" spans="1:13">
      <c r="A843" s="5">
        <v>6</v>
      </c>
      <c r="B843" s="113"/>
      <c r="C843" s="5"/>
      <c r="D843" s="5">
        <v>1</v>
      </c>
      <c r="E843" s="6">
        <v>11500</v>
      </c>
      <c r="F843" s="6"/>
      <c r="G843" s="5"/>
      <c r="H843" s="5">
        <v>1</v>
      </c>
      <c r="I843" s="7" t="s">
        <v>1291</v>
      </c>
      <c r="J843" s="5">
        <v>1</v>
      </c>
      <c r="K843" s="5">
        <v>11500</v>
      </c>
      <c r="L843" s="8"/>
      <c r="M843" s="5"/>
    </row>
    <row r="844" spans="1:13">
      <c r="A844" s="5">
        <v>7</v>
      </c>
      <c r="B844" s="113"/>
      <c r="C844" s="5"/>
      <c r="D844" s="5">
        <v>1</v>
      </c>
      <c r="E844" s="6">
        <v>11500</v>
      </c>
      <c r="F844" s="6"/>
      <c r="G844" s="5"/>
      <c r="H844" s="5">
        <v>1</v>
      </c>
      <c r="I844" s="7" t="s">
        <v>1302</v>
      </c>
      <c r="J844" s="5">
        <v>1</v>
      </c>
      <c r="K844" s="5">
        <v>11500</v>
      </c>
      <c r="L844" s="8"/>
      <c r="M844" s="5"/>
    </row>
    <row r="845" spans="1:13">
      <c r="A845" s="5">
        <v>8</v>
      </c>
      <c r="B845" s="113"/>
      <c r="C845" s="5"/>
      <c r="D845" s="5">
        <v>1</v>
      </c>
      <c r="E845" s="6">
        <v>11500</v>
      </c>
      <c r="F845" s="6"/>
      <c r="G845" s="5"/>
      <c r="H845" s="5">
        <v>1</v>
      </c>
      <c r="I845" s="7" t="s">
        <v>1298</v>
      </c>
      <c r="J845" s="5">
        <v>1</v>
      </c>
      <c r="K845" s="5">
        <v>11500</v>
      </c>
      <c r="L845" s="8"/>
      <c r="M845" s="5"/>
    </row>
    <row r="846" spans="1:13">
      <c r="A846" s="5">
        <v>9</v>
      </c>
      <c r="B846" s="113"/>
      <c r="C846" s="5"/>
      <c r="D846" s="5">
        <v>1</v>
      </c>
      <c r="E846" s="6">
        <v>11500</v>
      </c>
      <c r="F846" s="6"/>
      <c r="G846" s="5"/>
      <c r="H846" s="5">
        <v>1</v>
      </c>
      <c r="I846" s="7" t="s">
        <v>1295</v>
      </c>
      <c r="J846" s="5">
        <v>1</v>
      </c>
      <c r="K846" s="5">
        <v>11500</v>
      </c>
      <c r="L846" s="8"/>
      <c r="M846" s="5"/>
    </row>
    <row r="847" spans="1:13">
      <c r="A847" s="5">
        <v>10</v>
      </c>
      <c r="B847" s="113"/>
      <c r="C847" s="5"/>
      <c r="D847" s="5">
        <v>1</v>
      </c>
      <c r="E847" s="6">
        <v>11500</v>
      </c>
      <c r="F847" s="6"/>
      <c r="G847" s="5"/>
      <c r="H847" s="5">
        <v>1</v>
      </c>
      <c r="I847" s="7" t="s">
        <v>1287</v>
      </c>
      <c r="J847" s="5">
        <v>1</v>
      </c>
      <c r="K847" s="5">
        <v>11500</v>
      </c>
      <c r="L847" s="8"/>
      <c r="M847" s="5"/>
    </row>
    <row r="848" spans="1:13">
      <c r="A848" s="5">
        <v>11</v>
      </c>
      <c r="B848" s="113"/>
      <c r="C848" s="5"/>
      <c r="D848" s="5">
        <v>1</v>
      </c>
      <c r="E848" s="6">
        <v>11500</v>
      </c>
      <c r="F848" s="6"/>
      <c r="G848" s="5"/>
      <c r="H848" s="5">
        <v>1</v>
      </c>
      <c r="I848" s="7" t="s">
        <v>1283</v>
      </c>
      <c r="J848" s="5">
        <v>1</v>
      </c>
      <c r="K848" s="5">
        <v>11500</v>
      </c>
      <c r="L848" s="8"/>
      <c r="M848" s="5"/>
    </row>
    <row r="849" spans="1:13">
      <c r="A849" s="5">
        <v>12</v>
      </c>
      <c r="B849" s="113"/>
      <c r="C849" s="5"/>
      <c r="D849" s="5">
        <v>1</v>
      </c>
      <c r="E849" s="6">
        <v>11500</v>
      </c>
      <c r="F849" s="6"/>
      <c r="G849" s="5"/>
      <c r="H849" s="5">
        <v>1</v>
      </c>
      <c r="I849" s="7" t="s">
        <v>1276</v>
      </c>
      <c r="J849" s="5">
        <v>1</v>
      </c>
      <c r="K849" s="5">
        <v>11500</v>
      </c>
      <c r="L849" s="8"/>
      <c r="M849" s="5"/>
    </row>
    <row r="850" spans="1:13">
      <c r="A850" s="5">
        <v>13</v>
      </c>
      <c r="B850" s="113"/>
      <c r="C850" s="5"/>
      <c r="D850" s="5">
        <v>1</v>
      </c>
      <c r="E850" s="6">
        <v>11500</v>
      </c>
      <c r="F850" s="6"/>
      <c r="G850" s="5"/>
      <c r="H850" s="5">
        <v>1</v>
      </c>
      <c r="I850" s="7" t="s">
        <v>1272</v>
      </c>
      <c r="J850" s="5">
        <v>1</v>
      </c>
      <c r="K850" s="5">
        <v>11500</v>
      </c>
      <c r="L850" s="8"/>
      <c r="M850" s="5"/>
    </row>
    <row r="851" spans="1:13">
      <c r="A851" s="5">
        <v>14</v>
      </c>
      <c r="B851" s="113"/>
      <c r="C851" s="5"/>
      <c r="D851" s="5">
        <v>1</v>
      </c>
      <c r="E851" s="6">
        <v>11500</v>
      </c>
      <c r="F851" s="6">
        <v>178</v>
      </c>
      <c r="G851" s="5"/>
      <c r="H851" s="5">
        <v>1</v>
      </c>
      <c r="I851" s="7" t="s">
        <v>1303</v>
      </c>
      <c r="J851" s="5">
        <v>1</v>
      </c>
      <c r="K851" s="5">
        <v>10618</v>
      </c>
      <c r="L851" s="8"/>
      <c r="M851" s="5"/>
    </row>
    <row r="852" spans="1:13">
      <c r="A852" s="5"/>
      <c r="B852" s="113"/>
      <c r="C852" s="5"/>
      <c r="D852" s="5"/>
      <c r="E852" s="6"/>
      <c r="F852" s="6"/>
      <c r="G852" s="5"/>
      <c r="H852" s="5">
        <v>1</v>
      </c>
      <c r="I852" s="7" t="s">
        <v>1293</v>
      </c>
      <c r="J852" s="5">
        <v>1</v>
      </c>
      <c r="K852" s="5">
        <v>438</v>
      </c>
      <c r="L852" s="8"/>
      <c r="M852" s="5"/>
    </row>
    <row r="853" spans="1:13">
      <c r="A853" s="5"/>
      <c r="B853" s="113"/>
      <c r="C853" s="5"/>
      <c r="D853" s="5"/>
      <c r="E853" s="6"/>
      <c r="F853" s="6"/>
      <c r="G853" s="5"/>
      <c r="H853" s="5">
        <v>1</v>
      </c>
      <c r="I853" s="7" t="s">
        <v>1286</v>
      </c>
      <c r="J853" s="5">
        <v>1</v>
      </c>
      <c r="K853" s="5">
        <v>188</v>
      </c>
      <c r="L853" s="8"/>
      <c r="M853" s="5"/>
    </row>
    <row r="854" spans="1:13">
      <c r="A854" s="5">
        <v>15</v>
      </c>
      <c r="B854" s="113"/>
      <c r="C854" s="5"/>
      <c r="D854" s="5">
        <v>1</v>
      </c>
      <c r="E854" s="6">
        <v>11500</v>
      </c>
      <c r="F854" s="6">
        <v>48</v>
      </c>
      <c r="G854" s="5"/>
      <c r="H854" s="5">
        <v>1</v>
      </c>
      <c r="I854" s="7" t="s">
        <v>1299</v>
      </c>
      <c r="J854" s="5">
        <v>1</v>
      </c>
      <c r="K854" s="5">
        <v>10598</v>
      </c>
      <c r="L854" s="8"/>
      <c r="M854" s="5"/>
    </row>
    <row r="855" spans="1:13">
      <c r="A855" s="5"/>
      <c r="B855" s="113"/>
      <c r="C855" s="5"/>
      <c r="D855" s="5"/>
      <c r="E855" s="6"/>
      <c r="F855" s="6"/>
      <c r="G855" s="5"/>
      <c r="H855" s="5">
        <v>1</v>
      </c>
      <c r="I855" s="7" t="s">
        <v>1270</v>
      </c>
      <c r="J855" s="5">
        <v>1</v>
      </c>
      <c r="K855" s="5">
        <v>388</v>
      </c>
      <c r="L855" s="8"/>
      <c r="M855" s="5"/>
    </row>
    <row r="856" spans="1:13">
      <c r="A856" s="5"/>
      <c r="B856" s="112"/>
      <c r="C856" s="5"/>
      <c r="D856" s="5"/>
      <c r="E856" s="6"/>
      <c r="F856" s="6"/>
      <c r="G856" s="5"/>
      <c r="H856" s="5">
        <v>1</v>
      </c>
      <c r="I856" s="7" t="s">
        <v>1275</v>
      </c>
      <c r="J856" s="5">
        <v>1</v>
      </c>
      <c r="K856" s="5">
        <v>388</v>
      </c>
      <c r="L856" s="8"/>
      <c r="M856" s="5"/>
    </row>
    <row r="857" spans="1:13">
      <c r="A857" s="5"/>
      <c r="B857" s="5"/>
      <c r="C857" s="5"/>
      <c r="D857" s="5"/>
      <c r="E857" s="6"/>
      <c r="F857" s="6"/>
      <c r="G857" s="5"/>
      <c r="H857" s="5"/>
      <c r="I857" s="7"/>
      <c r="J857" s="5"/>
      <c r="K857" s="5"/>
      <c r="L857" s="8"/>
      <c r="M857" s="5"/>
    </row>
    <row r="858" spans="1:13">
      <c r="A858" s="117" t="s">
        <v>4</v>
      </c>
      <c r="B858" s="117"/>
      <c r="C858" s="117"/>
      <c r="D858" s="117"/>
      <c r="E858" s="117"/>
      <c r="F858" s="117"/>
      <c r="G858" s="117"/>
      <c r="H858" s="117"/>
      <c r="I858" s="118" t="s">
        <v>8</v>
      </c>
      <c r="J858" s="118"/>
      <c r="K858" s="89" t="s">
        <v>70</v>
      </c>
      <c r="L858" s="119"/>
      <c r="M858" s="120"/>
    </row>
    <row r="859" spans="1:13">
      <c r="A859" s="117"/>
      <c r="B859" s="117"/>
      <c r="C859" s="117"/>
      <c r="D859" s="117"/>
      <c r="E859" s="117"/>
      <c r="F859" s="117"/>
      <c r="G859" s="117"/>
      <c r="H859" s="117"/>
      <c r="I859" s="118" t="s">
        <v>25</v>
      </c>
      <c r="J859" s="118"/>
      <c r="K859" s="121" t="s">
        <v>1098</v>
      </c>
      <c r="L859" s="118"/>
      <c r="M859" s="118"/>
    </row>
    <row r="860" spans="1:13">
      <c r="A860" s="117"/>
      <c r="B860" s="117"/>
      <c r="C860" s="117"/>
      <c r="D860" s="117"/>
      <c r="E860" s="117"/>
      <c r="F860" s="117"/>
      <c r="G860" s="117"/>
      <c r="H860" s="117"/>
      <c r="I860" s="87" t="s">
        <v>26</v>
      </c>
      <c r="J860" s="88"/>
      <c r="K860" s="95" t="s">
        <v>1268</v>
      </c>
      <c r="L860" s="104"/>
      <c r="M860" s="88"/>
    </row>
    <row r="861" spans="1:13">
      <c r="A861" s="118" t="s">
        <v>31</v>
      </c>
      <c r="B861" s="118"/>
      <c r="C861" s="118" t="s">
        <v>32</v>
      </c>
      <c r="D861" s="118"/>
      <c r="E861" s="118"/>
      <c r="F861" s="118"/>
      <c r="G861" s="118"/>
      <c r="H861" s="118"/>
      <c r="I861" s="40" t="s">
        <v>29</v>
      </c>
      <c r="J861" s="41"/>
      <c r="K861" s="118" t="s">
        <v>1099</v>
      </c>
      <c r="L861" s="118"/>
      <c r="M861" s="118"/>
    </row>
    <row r="862" spans="1:13">
      <c r="A862" s="118"/>
      <c r="B862" s="118"/>
      <c r="C862" s="118"/>
      <c r="D862" s="118"/>
      <c r="E862" s="118"/>
      <c r="F862" s="118"/>
      <c r="G862" s="118"/>
      <c r="H862" s="118"/>
      <c r="I862" s="118" t="s">
        <v>30</v>
      </c>
      <c r="J862" s="118"/>
      <c r="K862" s="118" t="s">
        <v>1181</v>
      </c>
      <c r="L862" s="118"/>
      <c r="M862" s="118"/>
    </row>
    <row r="863" spans="1:13">
      <c r="A863" s="122" t="s">
        <v>24</v>
      </c>
      <c r="B863" s="122"/>
      <c r="C863" s="122"/>
      <c r="D863" s="42">
        <v>2</v>
      </c>
      <c r="E863" s="117" t="s">
        <v>40</v>
      </c>
      <c r="F863" s="117"/>
      <c r="G863" s="117"/>
      <c r="H863" s="42">
        <v>3</v>
      </c>
      <c r="I863" s="118" t="s">
        <v>27</v>
      </c>
      <c r="J863" s="118"/>
      <c r="K863" s="118" t="s">
        <v>21</v>
      </c>
      <c r="L863" s="118"/>
      <c r="M863" s="118"/>
    </row>
    <row r="864" spans="1:13" ht="45">
      <c r="A864" s="3" t="s">
        <v>9</v>
      </c>
      <c r="B864" s="3" t="s">
        <v>10</v>
      </c>
      <c r="C864" s="3" t="s">
        <v>11</v>
      </c>
      <c r="D864" s="3" t="s">
        <v>3</v>
      </c>
      <c r="E864" s="4" t="s">
        <v>41</v>
      </c>
      <c r="F864" s="4" t="s">
        <v>12</v>
      </c>
      <c r="G864" s="3" t="s">
        <v>13</v>
      </c>
      <c r="H864" s="3" t="s">
        <v>14</v>
      </c>
      <c r="I864" s="3" t="s">
        <v>1103</v>
      </c>
      <c r="J864" s="3" t="s">
        <v>16</v>
      </c>
      <c r="K864" s="3" t="s">
        <v>17</v>
      </c>
      <c r="L864" s="3" t="s">
        <v>18</v>
      </c>
      <c r="M864" s="3" t="s">
        <v>19</v>
      </c>
    </row>
    <row r="865" spans="1:13">
      <c r="A865" s="18">
        <v>1</v>
      </c>
      <c r="B865" s="111" t="s">
        <v>1269</v>
      </c>
      <c r="C865" s="18"/>
      <c r="D865" s="18">
        <v>1</v>
      </c>
      <c r="E865" s="20">
        <v>11500</v>
      </c>
      <c r="F865" s="20">
        <v>5576</v>
      </c>
      <c r="G865" s="18"/>
      <c r="H865" s="18">
        <v>1</v>
      </c>
      <c r="I865" s="21" t="s">
        <v>1267</v>
      </c>
      <c r="J865" s="18">
        <v>1</v>
      </c>
      <c r="K865" s="18">
        <v>5331</v>
      </c>
      <c r="L865" s="22"/>
      <c r="M865" s="18"/>
    </row>
    <row r="866" spans="1:13">
      <c r="A866" s="18"/>
      <c r="B866" s="113"/>
      <c r="C866" s="18"/>
      <c r="D866" s="18"/>
      <c r="E866" s="20"/>
      <c r="F866" s="20"/>
      <c r="G866" s="18"/>
      <c r="H866" s="18">
        <v>1</v>
      </c>
      <c r="I866" s="21" t="s">
        <v>1264</v>
      </c>
      <c r="J866" s="18">
        <v>1</v>
      </c>
      <c r="K866" s="18">
        <v>541</v>
      </c>
      <c r="L866" s="22"/>
      <c r="M866" s="18"/>
    </row>
    <row r="867" spans="1:13">
      <c r="A867" s="18">
        <v>2</v>
      </c>
      <c r="B867" s="112"/>
      <c r="C867" s="18"/>
      <c r="D867" s="18">
        <v>1</v>
      </c>
      <c r="E867" s="20">
        <v>11500</v>
      </c>
      <c r="F867" s="20"/>
      <c r="G867" s="18"/>
      <c r="H867" s="18">
        <v>1</v>
      </c>
      <c r="I867" s="21" t="s">
        <v>1266</v>
      </c>
      <c r="J867" s="18">
        <v>1</v>
      </c>
      <c r="K867" s="18">
        <v>11500</v>
      </c>
      <c r="L867" s="22"/>
      <c r="M867" s="18"/>
    </row>
    <row r="868" spans="1:13">
      <c r="A868" s="18"/>
      <c r="B868" s="24"/>
      <c r="C868" s="18"/>
      <c r="D868" s="18"/>
      <c r="E868" s="20"/>
      <c r="F868" s="20"/>
      <c r="G868" s="18"/>
      <c r="H868" s="18"/>
      <c r="I868" s="21"/>
      <c r="J868" s="18"/>
      <c r="K868" s="18"/>
      <c r="L868" s="22"/>
      <c r="M868" s="18"/>
    </row>
    <row r="869" spans="1:13">
      <c r="A869" s="117" t="s">
        <v>4</v>
      </c>
      <c r="B869" s="117"/>
      <c r="C869" s="117"/>
      <c r="D869" s="117"/>
      <c r="E869" s="117"/>
      <c r="F869" s="117"/>
      <c r="G869" s="117"/>
      <c r="H869" s="117"/>
      <c r="I869" s="118" t="s">
        <v>8</v>
      </c>
      <c r="J869" s="118"/>
      <c r="K869" s="89" t="s">
        <v>70</v>
      </c>
      <c r="L869" s="119"/>
      <c r="M869" s="120"/>
    </row>
    <row r="870" spans="1:13">
      <c r="A870" s="117"/>
      <c r="B870" s="117"/>
      <c r="C870" s="117"/>
      <c r="D870" s="117"/>
      <c r="E870" s="117"/>
      <c r="F870" s="117"/>
      <c r="G870" s="117"/>
      <c r="H870" s="117"/>
      <c r="I870" s="118" t="s">
        <v>25</v>
      </c>
      <c r="J870" s="118"/>
      <c r="K870" s="121" t="s">
        <v>1098</v>
      </c>
      <c r="L870" s="118"/>
      <c r="M870" s="118"/>
    </row>
    <row r="871" spans="1:13">
      <c r="A871" s="117"/>
      <c r="B871" s="117"/>
      <c r="C871" s="117"/>
      <c r="D871" s="117"/>
      <c r="E871" s="117"/>
      <c r="F871" s="117"/>
      <c r="G871" s="117"/>
      <c r="H871" s="117"/>
      <c r="I871" s="87" t="s">
        <v>26</v>
      </c>
      <c r="J871" s="88"/>
      <c r="K871" s="95" t="s">
        <v>43</v>
      </c>
      <c r="L871" s="104"/>
      <c r="M871" s="88"/>
    </row>
    <row r="872" spans="1:13">
      <c r="A872" s="118" t="s">
        <v>31</v>
      </c>
      <c r="B872" s="118"/>
      <c r="C872" s="118" t="s">
        <v>32</v>
      </c>
      <c r="D872" s="118"/>
      <c r="E872" s="118"/>
      <c r="F872" s="118"/>
      <c r="G872" s="118"/>
      <c r="H872" s="118"/>
      <c r="I872" s="40" t="s">
        <v>29</v>
      </c>
      <c r="J872" s="41"/>
      <c r="K872" s="118" t="s">
        <v>1099</v>
      </c>
      <c r="L872" s="118"/>
      <c r="M872" s="118"/>
    </row>
    <row r="873" spans="1:13">
      <c r="A873" s="118"/>
      <c r="B873" s="118"/>
      <c r="C873" s="118"/>
      <c r="D873" s="118"/>
      <c r="E873" s="118"/>
      <c r="F873" s="118"/>
      <c r="G873" s="118"/>
      <c r="H873" s="118"/>
      <c r="I873" s="118" t="s">
        <v>30</v>
      </c>
      <c r="J873" s="118"/>
      <c r="K873" s="118" t="s">
        <v>1171</v>
      </c>
      <c r="L873" s="118"/>
      <c r="M873" s="118"/>
    </row>
    <row r="874" spans="1:13">
      <c r="A874" s="122" t="s">
        <v>24</v>
      </c>
      <c r="B874" s="122"/>
      <c r="C874" s="122"/>
      <c r="D874" s="42">
        <v>11</v>
      </c>
      <c r="E874" s="117" t="s">
        <v>40</v>
      </c>
      <c r="F874" s="117"/>
      <c r="G874" s="117"/>
      <c r="H874" s="42">
        <v>29</v>
      </c>
      <c r="I874" s="118" t="s">
        <v>27</v>
      </c>
      <c r="J874" s="118"/>
      <c r="K874" s="118" t="s">
        <v>21</v>
      </c>
      <c r="L874" s="118"/>
      <c r="M874" s="118"/>
    </row>
    <row r="875" spans="1:13" ht="45">
      <c r="A875" s="3" t="s">
        <v>9</v>
      </c>
      <c r="B875" s="3" t="s">
        <v>10</v>
      </c>
      <c r="C875" s="3" t="s">
        <v>11</v>
      </c>
      <c r="D875" s="3" t="s">
        <v>3</v>
      </c>
      <c r="E875" s="4" t="s">
        <v>41</v>
      </c>
      <c r="F875" s="4" t="s">
        <v>12</v>
      </c>
      <c r="G875" s="3" t="s">
        <v>13</v>
      </c>
      <c r="H875" s="3" t="s">
        <v>14</v>
      </c>
      <c r="I875" s="3" t="s">
        <v>1103</v>
      </c>
      <c r="J875" s="3" t="s">
        <v>16</v>
      </c>
      <c r="K875" s="3" t="s">
        <v>17</v>
      </c>
      <c r="L875" s="3" t="s">
        <v>18</v>
      </c>
      <c r="M875" s="3" t="s">
        <v>19</v>
      </c>
    </row>
    <row r="876" spans="1:13">
      <c r="A876" s="18">
        <v>1</v>
      </c>
      <c r="B876" s="111" t="s">
        <v>1154</v>
      </c>
      <c r="C876" s="18"/>
      <c r="D876" s="18">
        <v>1</v>
      </c>
      <c r="E876" s="20">
        <v>11500</v>
      </c>
      <c r="F876" s="20">
        <v>35</v>
      </c>
      <c r="G876" s="18"/>
      <c r="H876" s="18">
        <v>1</v>
      </c>
      <c r="I876" s="21" t="s">
        <v>1255</v>
      </c>
      <c r="J876" s="18">
        <v>1</v>
      </c>
      <c r="K876" s="18">
        <v>9219</v>
      </c>
      <c r="L876" s="22"/>
      <c r="M876" s="18"/>
    </row>
    <row r="877" spans="1:13">
      <c r="A877" s="18"/>
      <c r="B877" s="113"/>
      <c r="C877" s="18"/>
      <c r="D877" s="18"/>
      <c r="E877" s="20"/>
      <c r="F877" s="20"/>
      <c r="G877" s="18"/>
      <c r="H877" s="18">
        <v>1</v>
      </c>
      <c r="I877" s="21" t="s">
        <v>1132</v>
      </c>
      <c r="J877" s="18">
        <v>1</v>
      </c>
      <c r="K877" s="18">
        <v>1627</v>
      </c>
      <c r="L877" s="22"/>
      <c r="M877" s="18"/>
    </row>
    <row r="878" spans="1:13">
      <c r="A878" s="18"/>
      <c r="B878" s="113"/>
      <c r="C878" s="18"/>
      <c r="D878" s="18"/>
      <c r="E878" s="20"/>
      <c r="F878" s="20"/>
      <c r="G878" s="18"/>
      <c r="H878" s="18">
        <v>1</v>
      </c>
      <c r="I878" s="21" t="s">
        <v>1259</v>
      </c>
      <c r="J878" s="18">
        <v>1</v>
      </c>
      <c r="K878" s="18">
        <v>541</v>
      </c>
      <c r="L878" s="22"/>
      <c r="M878" s="18"/>
    </row>
    <row r="879" spans="1:13">
      <c r="A879" s="18">
        <v>2</v>
      </c>
      <c r="B879" s="113"/>
      <c r="C879" s="18"/>
      <c r="D879" s="18">
        <v>1</v>
      </c>
      <c r="E879" s="20">
        <v>11500</v>
      </c>
      <c r="F879" s="20">
        <v>66</v>
      </c>
      <c r="G879" s="18"/>
      <c r="H879" s="18">
        <v>1</v>
      </c>
      <c r="I879" s="21" t="s">
        <v>1142</v>
      </c>
      <c r="J879" s="18">
        <v>1</v>
      </c>
      <c r="K879" s="18">
        <v>8691</v>
      </c>
      <c r="L879" s="22"/>
      <c r="M879" s="18"/>
    </row>
    <row r="880" spans="1:13">
      <c r="A880" s="18"/>
      <c r="B880" s="113"/>
      <c r="C880" s="18"/>
      <c r="D880" s="18"/>
      <c r="E880" s="20"/>
      <c r="F880" s="20"/>
      <c r="G880" s="18"/>
      <c r="H880" s="18">
        <v>1</v>
      </c>
      <c r="I880" s="21" t="s">
        <v>1150</v>
      </c>
      <c r="J880" s="18">
        <v>1</v>
      </c>
      <c r="K880" s="18">
        <v>2691</v>
      </c>
      <c r="L880" s="22"/>
      <c r="M880" s="18"/>
    </row>
    <row r="881" spans="1:13">
      <c r="A881" s="18">
        <v>3</v>
      </c>
      <c r="B881" s="113"/>
      <c r="C881" s="18"/>
      <c r="D881" s="18">
        <v>1</v>
      </c>
      <c r="E881" s="20">
        <v>11500</v>
      </c>
      <c r="F881" s="20">
        <v>5</v>
      </c>
      <c r="G881" s="18"/>
      <c r="H881" s="18">
        <v>1</v>
      </c>
      <c r="I881" s="21" t="s">
        <v>1131</v>
      </c>
      <c r="J881" s="18">
        <v>1</v>
      </c>
      <c r="K881" s="18">
        <v>6619</v>
      </c>
      <c r="L881" s="22"/>
      <c r="M881" s="18"/>
    </row>
    <row r="882" spans="1:13">
      <c r="A882" s="18"/>
      <c r="B882" s="113"/>
      <c r="C882" s="18"/>
      <c r="D882" s="18"/>
      <c r="E882" s="20"/>
      <c r="F882" s="20"/>
      <c r="G882" s="18"/>
      <c r="H882" s="18">
        <v>1</v>
      </c>
      <c r="I882" s="21" t="s">
        <v>1141</v>
      </c>
      <c r="J882" s="18">
        <v>1</v>
      </c>
      <c r="K882" s="18">
        <v>3748</v>
      </c>
      <c r="L882" s="22"/>
      <c r="M882" s="18"/>
    </row>
    <row r="883" spans="1:13">
      <c r="A883" s="18"/>
      <c r="B883" s="113"/>
      <c r="C883" s="18"/>
      <c r="D883" s="18"/>
      <c r="E883" s="20"/>
      <c r="F883" s="20"/>
      <c r="G883" s="18"/>
      <c r="H883" s="18">
        <v>1</v>
      </c>
      <c r="I883" s="21" t="s">
        <v>1262</v>
      </c>
      <c r="J883" s="18">
        <v>1</v>
      </c>
      <c r="K883" s="18">
        <v>541</v>
      </c>
      <c r="L883" s="22"/>
      <c r="M883" s="18"/>
    </row>
    <row r="884" spans="1:13">
      <c r="A884" s="18"/>
      <c r="B884" s="113"/>
      <c r="C884" s="18"/>
      <c r="D884" s="18"/>
      <c r="E884" s="20"/>
      <c r="F884" s="20"/>
      <c r="G884" s="18"/>
      <c r="H884" s="18">
        <v>1</v>
      </c>
      <c r="I884" s="21" t="s">
        <v>1145</v>
      </c>
      <c r="J884" s="18">
        <v>1</v>
      </c>
      <c r="K884" s="18">
        <v>483</v>
      </c>
      <c r="L884" s="22"/>
      <c r="M884" s="18"/>
    </row>
    <row r="885" spans="1:13">
      <c r="A885" s="18">
        <v>4</v>
      </c>
      <c r="B885" s="113"/>
      <c r="C885" s="18"/>
      <c r="D885" s="18">
        <v>1</v>
      </c>
      <c r="E885" s="20">
        <v>11500</v>
      </c>
      <c r="F885" s="20">
        <v>1269</v>
      </c>
      <c r="G885" s="18"/>
      <c r="H885" s="18">
        <v>1</v>
      </c>
      <c r="I885" s="21" t="s">
        <v>1135</v>
      </c>
      <c r="J885" s="18">
        <v>1</v>
      </c>
      <c r="K885" s="18">
        <v>3077</v>
      </c>
      <c r="L885" s="22"/>
      <c r="M885" s="18"/>
    </row>
    <row r="886" spans="1:13">
      <c r="A886" s="18"/>
      <c r="B886" s="113"/>
      <c r="C886" s="18"/>
      <c r="D886" s="18"/>
      <c r="E886" s="20"/>
      <c r="F886" s="20"/>
      <c r="G886" s="18"/>
      <c r="H886" s="18">
        <v>1</v>
      </c>
      <c r="I886" s="21" t="s">
        <v>1143</v>
      </c>
      <c r="J886" s="18">
        <v>1</v>
      </c>
      <c r="K886" s="18">
        <v>2591</v>
      </c>
      <c r="L886" s="22"/>
      <c r="M886" s="18"/>
    </row>
    <row r="887" spans="1:13">
      <c r="A887" s="18"/>
      <c r="B887" s="113"/>
      <c r="C887" s="18"/>
      <c r="D887" s="18"/>
      <c r="E887" s="20"/>
      <c r="F887" s="20"/>
      <c r="G887" s="18"/>
      <c r="H887" s="18">
        <v>1</v>
      </c>
      <c r="I887" s="21" t="s">
        <v>1138</v>
      </c>
      <c r="J887" s="18">
        <v>1</v>
      </c>
      <c r="K887" s="18">
        <v>1541</v>
      </c>
      <c r="L887" s="22"/>
      <c r="M887" s="18"/>
    </row>
    <row r="888" spans="1:13">
      <c r="A888" s="18"/>
      <c r="B888" s="113"/>
      <c r="C888" s="18"/>
      <c r="D888" s="18"/>
      <c r="E888" s="20"/>
      <c r="F888" s="20"/>
      <c r="G888" s="18"/>
      <c r="H888" s="18">
        <v>1</v>
      </c>
      <c r="I888" s="21" t="s">
        <v>1147</v>
      </c>
      <c r="J888" s="18">
        <v>1</v>
      </c>
      <c r="K888" s="18">
        <v>533</v>
      </c>
      <c r="L888" s="22"/>
      <c r="M888" s="18"/>
    </row>
    <row r="889" spans="1:13">
      <c r="A889" s="18"/>
      <c r="B889" s="113"/>
      <c r="C889" s="18"/>
      <c r="D889" s="18"/>
      <c r="E889" s="20"/>
      <c r="F889" s="20"/>
      <c r="G889" s="18"/>
      <c r="H889" s="18">
        <v>1</v>
      </c>
      <c r="I889" s="21" t="s">
        <v>1152</v>
      </c>
      <c r="J889" s="18">
        <v>1</v>
      </c>
      <c r="K889" s="18">
        <v>533</v>
      </c>
      <c r="L889" s="22"/>
      <c r="M889" s="18"/>
    </row>
    <row r="890" spans="1:13">
      <c r="A890" s="18"/>
      <c r="B890" s="113"/>
      <c r="C890" s="18"/>
      <c r="D890" s="18"/>
      <c r="E890" s="20"/>
      <c r="F890" s="20"/>
      <c r="G890" s="18"/>
      <c r="H890" s="18">
        <v>1</v>
      </c>
      <c r="I890" s="21" t="s">
        <v>1146</v>
      </c>
      <c r="J890" s="18">
        <v>1</v>
      </c>
      <c r="K890" s="18">
        <v>483</v>
      </c>
      <c r="L890" s="22"/>
      <c r="M890" s="18"/>
    </row>
    <row r="891" spans="1:13">
      <c r="A891" s="5"/>
      <c r="B891" s="113"/>
      <c r="C891" s="5"/>
      <c r="D891" s="5"/>
      <c r="E891" s="6"/>
      <c r="F891" s="6"/>
      <c r="G891" s="5"/>
      <c r="H891" s="5">
        <v>1</v>
      </c>
      <c r="I891" s="7" t="s">
        <v>1144</v>
      </c>
      <c r="J891" s="5">
        <v>1</v>
      </c>
      <c r="K891" s="5">
        <v>477</v>
      </c>
      <c r="L891" s="8"/>
      <c r="M891" s="5"/>
    </row>
    <row r="892" spans="1:13">
      <c r="A892" s="5"/>
      <c r="B892" s="113"/>
      <c r="C892" s="5"/>
      <c r="D892" s="5"/>
      <c r="E892" s="6"/>
      <c r="F892" s="6"/>
      <c r="G892" s="5"/>
      <c r="H892" s="5">
        <v>1</v>
      </c>
      <c r="I892" s="7" t="s">
        <v>1252</v>
      </c>
      <c r="J892" s="5">
        <v>1</v>
      </c>
      <c r="K892" s="5">
        <v>391</v>
      </c>
      <c r="L892" s="8"/>
      <c r="M892" s="18"/>
    </row>
    <row r="893" spans="1:13">
      <c r="A893" s="5"/>
      <c r="B893" s="113"/>
      <c r="C893" s="5"/>
      <c r="D893" s="5"/>
      <c r="E893" s="6"/>
      <c r="F893" s="6"/>
      <c r="G893" s="5"/>
      <c r="H893" s="5">
        <v>1</v>
      </c>
      <c r="I893" s="7" t="s">
        <v>1151</v>
      </c>
      <c r="J893" s="5">
        <v>1</v>
      </c>
      <c r="K893" s="5">
        <v>371</v>
      </c>
      <c r="L893" s="8"/>
      <c r="M893" s="5"/>
    </row>
    <row r="894" spans="1:13">
      <c r="A894" s="5">
        <v>5</v>
      </c>
      <c r="B894" s="113"/>
      <c r="C894" s="5"/>
      <c r="D894" s="5">
        <v>1</v>
      </c>
      <c r="E894" s="6">
        <v>11500</v>
      </c>
      <c r="F894" s="6"/>
      <c r="G894" s="5"/>
      <c r="H894" s="5">
        <v>1</v>
      </c>
      <c r="I894" s="7" t="s">
        <v>1256</v>
      </c>
      <c r="J894" s="5">
        <v>1</v>
      </c>
      <c r="K894" s="5">
        <v>11500</v>
      </c>
      <c r="L894" s="8"/>
      <c r="M894" s="5"/>
    </row>
    <row r="895" spans="1:13">
      <c r="A895" s="5">
        <v>6</v>
      </c>
      <c r="B895" s="113"/>
      <c r="C895" s="5"/>
      <c r="D895" s="5">
        <v>1</v>
      </c>
      <c r="E895" s="6">
        <v>11500</v>
      </c>
      <c r="F895" s="6"/>
      <c r="G895" s="5"/>
      <c r="H895" s="5">
        <v>1</v>
      </c>
      <c r="I895" s="7" t="s">
        <v>1263</v>
      </c>
      <c r="J895" s="5">
        <v>1</v>
      </c>
      <c r="K895" s="5">
        <v>11500</v>
      </c>
      <c r="L895" s="8"/>
      <c r="M895" s="5"/>
    </row>
    <row r="896" spans="1:13">
      <c r="A896" s="5">
        <v>7</v>
      </c>
      <c r="B896" s="113"/>
      <c r="C896" s="5"/>
      <c r="D896" s="5">
        <v>1</v>
      </c>
      <c r="E896" s="6">
        <v>11500</v>
      </c>
      <c r="F896" s="6"/>
      <c r="G896" s="5"/>
      <c r="H896" s="5">
        <v>1</v>
      </c>
      <c r="I896" s="7" t="s">
        <v>1134</v>
      </c>
      <c r="J896" s="5">
        <v>1</v>
      </c>
      <c r="K896" s="5">
        <v>11500</v>
      </c>
      <c r="L896" s="8"/>
      <c r="M896" s="5"/>
    </row>
    <row r="897" spans="1:13">
      <c r="A897" s="5">
        <v>8</v>
      </c>
      <c r="B897" s="113"/>
      <c r="C897" s="5"/>
      <c r="D897" s="5">
        <v>1</v>
      </c>
      <c r="E897" s="6">
        <v>11500</v>
      </c>
      <c r="F897" s="6"/>
      <c r="G897" s="5"/>
      <c r="H897" s="5">
        <v>1</v>
      </c>
      <c r="I897" s="7" t="s">
        <v>1260</v>
      </c>
      <c r="J897" s="5">
        <v>1</v>
      </c>
      <c r="K897" s="5">
        <v>11500</v>
      </c>
      <c r="L897" s="8"/>
      <c r="M897" s="5"/>
    </row>
    <row r="898" spans="1:13">
      <c r="A898" s="5">
        <v>9</v>
      </c>
      <c r="B898" s="113"/>
      <c r="C898" s="5"/>
      <c r="D898" s="5">
        <v>1</v>
      </c>
      <c r="E898" s="6">
        <v>11500</v>
      </c>
      <c r="F898" s="6"/>
      <c r="G898" s="5"/>
      <c r="H898" s="5">
        <v>1</v>
      </c>
      <c r="I898" s="7" t="s">
        <v>1257</v>
      </c>
      <c r="J898" s="5">
        <v>1</v>
      </c>
      <c r="K898" s="5">
        <v>11500</v>
      </c>
      <c r="L898" s="8"/>
      <c r="M898" s="5"/>
    </row>
    <row r="899" spans="1:13">
      <c r="A899" s="5">
        <v>10</v>
      </c>
      <c r="B899" s="113"/>
      <c r="C899" s="5"/>
      <c r="D899" s="5">
        <v>1</v>
      </c>
      <c r="E899" s="6">
        <v>11500</v>
      </c>
      <c r="F899" s="6">
        <v>25</v>
      </c>
      <c r="G899" s="5"/>
      <c r="H899" s="5">
        <v>1</v>
      </c>
      <c r="I899" s="7" t="s">
        <v>1261</v>
      </c>
      <c r="J899" s="5">
        <v>1</v>
      </c>
      <c r="K899" s="5">
        <v>10364</v>
      </c>
      <c r="L899" s="8"/>
      <c r="M899" s="5"/>
    </row>
    <row r="900" spans="1:13">
      <c r="A900" s="5"/>
      <c r="B900" s="113"/>
      <c r="C900" s="5"/>
      <c r="D900" s="5"/>
      <c r="E900" s="6"/>
      <c r="F900" s="6"/>
      <c r="G900" s="5"/>
      <c r="H900" s="5">
        <v>1</v>
      </c>
      <c r="I900" s="7" t="s">
        <v>1137</v>
      </c>
      <c r="J900" s="5">
        <v>1</v>
      </c>
      <c r="K900" s="5">
        <v>721</v>
      </c>
      <c r="L900" s="8"/>
      <c r="M900" s="5"/>
    </row>
    <row r="901" spans="1:13">
      <c r="A901" s="5"/>
      <c r="B901" s="113"/>
      <c r="C901" s="5"/>
      <c r="D901" s="5"/>
      <c r="E901" s="6"/>
      <c r="F901" s="6"/>
      <c r="G901" s="5"/>
      <c r="H901" s="5">
        <v>1</v>
      </c>
      <c r="I901" s="7" t="s">
        <v>1139</v>
      </c>
      <c r="J901" s="5">
        <v>1</v>
      </c>
      <c r="K901" s="5">
        <v>312</v>
      </c>
      <c r="L901" s="8"/>
      <c r="M901" s="5"/>
    </row>
    <row r="902" spans="1:13">
      <c r="A902" s="5">
        <v>11</v>
      </c>
      <c r="B902" s="113"/>
      <c r="C902" s="5"/>
      <c r="D902" s="5">
        <v>1</v>
      </c>
      <c r="E902" s="6">
        <v>11500</v>
      </c>
      <c r="F902" s="6">
        <v>3</v>
      </c>
      <c r="G902" s="5"/>
      <c r="H902" s="5">
        <v>1</v>
      </c>
      <c r="I902" s="7" t="s">
        <v>1258</v>
      </c>
      <c r="J902" s="5">
        <v>1</v>
      </c>
      <c r="K902" s="5">
        <v>10179</v>
      </c>
      <c r="L902" s="8"/>
      <c r="M902" s="5"/>
    </row>
    <row r="903" spans="1:13">
      <c r="A903" s="5"/>
      <c r="B903" s="113"/>
      <c r="C903" s="5"/>
      <c r="D903" s="5"/>
      <c r="E903" s="6"/>
      <c r="F903" s="6"/>
      <c r="G903" s="5"/>
      <c r="H903" s="5">
        <v>1</v>
      </c>
      <c r="I903" s="7" t="s">
        <v>1149</v>
      </c>
      <c r="J903" s="5">
        <v>1</v>
      </c>
      <c r="K903" s="5">
        <v>699</v>
      </c>
      <c r="L903" s="8"/>
      <c r="M903" s="5"/>
    </row>
    <row r="904" spans="1:13">
      <c r="A904" s="5"/>
      <c r="B904" s="112"/>
      <c r="C904" s="5"/>
      <c r="D904" s="5"/>
      <c r="E904" s="6"/>
      <c r="F904" s="6"/>
      <c r="G904" s="5"/>
      <c r="H904" s="5">
        <v>1</v>
      </c>
      <c r="I904" s="7" t="s">
        <v>1133</v>
      </c>
      <c r="J904" s="5">
        <v>1</v>
      </c>
      <c r="K904" s="5">
        <v>541</v>
      </c>
      <c r="L904" s="8"/>
      <c r="M904" s="5"/>
    </row>
    <row r="905" spans="1:13">
      <c r="A905" s="18">
        <v>12</v>
      </c>
      <c r="B905" s="111" t="s">
        <v>1154</v>
      </c>
      <c r="C905" s="18"/>
      <c r="D905" s="18">
        <v>1</v>
      </c>
      <c r="E905" s="20">
        <v>7030</v>
      </c>
      <c r="F905" s="20">
        <v>48</v>
      </c>
      <c r="G905" s="18"/>
      <c r="H905" s="18">
        <v>1</v>
      </c>
      <c r="I905" s="21" t="s">
        <v>1253</v>
      </c>
      <c r="J905" s="18">
        <v>1</v>
      </c>
      <c r="K905" s="18">
        <v>3719</v>
      </c>
      <c r="L905" s="123" t="s">
        <v>873</v>
      </c>
      <c r="M905" s="124"/>
    </row>
    <row r="906" spans="1:13">
      <c r="A906" s="18"/>
      <c r="B906" s="113"/>
      <c r="C906" s="18"/>
      <c r="D906" s="18"/>
      <c r="E906" s="20"/>
      <c r="F906" s="20"/>
      <c r="G906" s="18"/>
      <c r="H906" s="18">
        <v>1</v>
      </c>
      <c r="I906" s="21" t="s">
        <v>1250</v>
      </c>
      <c r="J906" s="18">
        <v>1</v>
      </c>
      <c r="K906" s="18">
        <v>2277</v>
      </c>
      <c r="L906" s="125"/>
      <c r="M906" s="126"/>
    </row>
    <row r="907" spans="1:13">
      <c r="A907" s="18"/>
      <c r="B907" s="113"/>
      <c r="C907" s="18"/>
      <c r="D907" s="18"/>
      <c r="E907" s="20"/>
      <c r="F907" s="20"/>
      <c r="G907" s="18"/>
      <c r="H907" s="18">
        <v>1</v>
      </c>
      <c r="I907" s="21" t="s">
        <v>1251</v>
      </c>
      <c r="J907" s="18">
        <v>1</v>
      </c>
      <c r="K907" s="18">
        <v>541</v>
      </c>
      <c r="L907" s="125"/>
      <c r="M907" s="126"/>
    </row>
    <row r="908" spans="1:13">
      <c r="A908" s="18"/>
      <c r="B908" s="113"/>
      <c r="C908" s="18"/>
      <c r="D908" s="18"/>
      <c r="E908" s="20"/>
      <c r="F908" s="20"/>
      <c r="G908" s="18"/>
      <c r="H908" s="18">
        <v>1</v>
      </c>
      <c r="I908" s="21" t="s">
        <v>1254</v>
      </c>
      <c r="J908" s="18">
        <v>1</v>
      </c>
      <c r="K908" s="18">
        <v>341</v>
      </c>
      <c r="L908" s="125"/>
      <c r="M908" s="126"/>
    </row>
    <row r="909" spans="1:13">
      <c r="A909" s="18">
        <v>13</v>
      </c>
      <c r="B909" s="113"/>
      <c r="C909" s="18"/>
      <c r="D909" s="18">
        <v>1</v>
      </c>
      <c r="E909" s="20">
        <v>1370</v>
      </c>
      <c r="F909" s="20">
        <v>7</v>
      </c>
      <c r="G909" s="18"/>
      <c r="H909" s="18">
        <v>1</v>
      </c>
      <c r="I909" s="21" t="s">
        <v>1136</v>
      </c>
      <c r="J909" s="18">
        <v>1</v>
      </c>
      <c r="K909" s="18">
        <v>770</v>
      </c>
      <c r="L909" s="125"/>
      <c r="M909" s="126"/>
    </row>
    <row r="910" spans="1:13">
      <c r="A910" s="18"/>
      <c r="B910" s="113"/>
      <c r="C910" s="18"/>
      <c r="D910" s="18"/>
      <c r="E910" s="20"/>
      <c r="F910" s="20"/>
      <c r="G910" s="18"/>
      <c r="H910" s="18">
        <v>1</v>
      </c>
      <c r="I910" s="21" t="s">
        <v>1249</v>
      </c>
      <c r="J910" s="18">
        <v>1</v>
      </c>
      <c r="K910" s="18">
        <v>541</v>
      </c>
      <c r="L910" s="125"/>
      <c r="M910" s="126"/>
    </row>
    <row r="911" spans="1:13">
      <c r="A911" s="18">
        <v>14</v>
      </c>
      <c r="B911" s="113"/>
      <c r="C911" s="18"/>
      <c r="D911" s="18">
        <v>1</v>
      </c>
      <c r="E911" s="20">
        <v>275</v>
      </c>
      <c r="F911" s="20">
        <v>22</v>
      </c>
      <c r="G911" s="18"/>
      <c r="H911" s="18">
        <v>1</v>
      </c>
      <c r="I911" s="21" t="s">
        <v>1148</v>
      </c>
      <c r="J911" s="18">
        <v>1</v>
      </c>
      <c r="K911" s="18">
        <v>227</v>
      </c>
      <c r="L911" s="125"/>
      <c r="M911" s="126"/>
    </row>
    <row r="912" spans="1:13">
      <c r="A912" s="18">
        <v>15</v>
      </c>
      <c r="B912" s="112"/>
      <c r="C912" s="18"/>
      <c r="D912" s="18">
        <v>1</v>
      </c>
      <c r="E912" s="20">
        <v>175</v>
      </c>
      <c r="F912" s="20">
        <v>72</v>
      </c>
      <c r="G912" s="18"/>
      <c r="H912" s="18">
        <v>1</v>
      </c>
      <c r="I912" s="21" t="s">
        <v>1140</v>
      </c>
      <c r="J912" s="18">
        <v>1</v>
      </c>
      <c r="K912" s="18">
        <v>77</v>
      </c>
      <c r="L912" s="127"/>
      <c r="M912" s="128"/>
    </row>
    <row r="913" spans="1:13">
      <c r="A913" s="18"/>
      <c r="B913" s="18"/>
      <c r="C913" s="18"/>
      <c r="D913" s="18"/>
      <c r="E913" s="20"/>
      <c r="F913" s="20"/>
      <c r="G913" s="18"/>
      <c r="H913" s="18"/>
      <c r="I913" s="21"/>
      <c r="J913" s="18"/>
      <c r="K913" s="18"/>
      <c r="L913" s="22"/>
      <c r="M913" s="18"/>
    </row>
    <row r="914" spans="1:13">
      <c r="A914" s="117" t="s">
        <v>4</v>
      </c>
      <c r="B914" s="117"/>
      <c r="C914" s="117"/>
      <c r="D914" s="117"/>
      <c r="E914" s="117"/>
      <c r="F914" s="117"/>
      <c r="G914" s="117"/>
      <c r="H914" s="117"/>
      <c r="I914" s="118" t="s">
        <v>8</v>
      </c>
      <c r="J914" s="118"/>
      <c r="K914" s="89" t="s">
        <v>70</v>
      </c>
      <c r="L914" s="119"/>
      <c r="M914" s="120"/>
    </row>
    <row r="915" spans="1:13">
      <c r="A915" s="117"/>
      <c r="B915" s="117"/>
      <c r="C915" s="117"/>
      <c r="D915" s="117"/>
      <c r="E915" s="117"/>
      <c r="F915" s="117"/>
      <c r="G915" s="117"/>
      <c r="H915" s="117"/>
      <c r="I915" s="118" t="s">
        <v>25</v>
      </c>
      <c r="J915" s="118"/>
      <c r="K915" s="121" t="s">
        <v>1098</v>
      </c>
      <c r="L915" s="118"/>
      <c r="M915" s="118"/>
    </row>
    <row r="916" spans="1:13">
      <c r="A916" s="117"/>
      <c r="B916" s="117"/>
      <c r="C916" s="117"/>
      <c r="D916" s="117"/>
      <c r="E916" s="117"/>
      <c r="F916" s="117"/>
      <c r="G916" s="117"/>
      <c r="H916" s="117"/>
      <c r="I916" s="87" t="s">
        <v>26</v>
      </c>
      <c r="J916" s="88"/>
      <c r="K916" s="95" t="s">
        <v>423</v>
      </c>
      <c r="L916" s="104"/>
      <c r="M916" s="88"/>
    </row>
    <row r="917" spans="1:13">
      <c r="A917" s="118" t="s">
        <v>31</v>
      </c>
      <c r="B917" s="118"/>
      <c r="C917" s="118" t="s">
        <v>32</v>
      </c>
      <c r="D917" s="118"/>
      <c r="E917" s="118"/>
      <c r="F917" s="118"/>
      <c r="G917" s="118"/>
      <c r="H917" s="118"/>
      <c r="I917" s="40" t="s">
        <v>29</v>
      </c>
      <c r="J917" s="41"/>
      <c r="K917" s="118" t="s">
        <v>1099</v>
      </c>
      <c r="L917" s="118"/>
      <c r="M917" s="118"/>
    </row>
    <row r="918" spans="1:13">
      <c r="A918" s="118"/>
      <c r="B918" s="118"/>
      <c r="C918" s="118"/>
      <c r="D918" s="118"/>
      <c r="E918" s="118"/>
      <c r="F918" s="118"/>
      <c r="G918" s="118"/>
      <c r="H918" s="118"/>
      <c r="I918" s="118" t="s">
        <v>30</v>
      </c>
      <c r="J918" s="118"/>
      <c r="K918" s="118" t="s">
        <v>1162</v>
      </c>
      <c r="L918" s="118"/>
      <c r="M918" s="118"/>
    </row>
    <row r="919" spans="1:13">
      <c r="A919" s="122" t="s">
        <v>24</v>
      </c>
      <c r="B919" s="122"/>
      <c r="C919" s="122"/>
      <c r="D919" s="42">
        <v>20</v>
      </c>
      <c r="E919" s="117" t="s">
        <v>40</v>
      </c>
      <c r="F919" s="117"/>
      <c r="G919" s="117"/>
      <c r="H919" s="42">
        <v>47</v>
      </c>
      <c r="I919" s="118" t="s">
        <v>27</v>
      </c>
      <c r="J919" s="118"/>
      <c r="K919" s="118" t="s">
        <v>21</v>
      </c>
      <c r="L919" s="118"/>
      <c r="M919" s="118"/>
    </row>
    <row r="920" spans="1:13" ht="45">
      <c r="A920" s="3" t="s">
        <v>9</v>
      </c>
      <c r="B920" s="3" t="s">
        <v>10</v>
      </c>
      <c r="C920" s="3" t="s">
        <v>11</v>
      </c>
      <c r="D920" s="3" t="s">
        <v>3</v>
      </c>
      <c r="E920" s="4" t="s">
        <v>41</v>
      </c>
      <c r="F920" s="4" t="s">
        <v>12</v>
      </c>
      <c r="G920" s="3" t="s">
        <v>13</v>
      </c>
      <c r="H920" s="3" t="s">
        <v>14</v>
      </c>
      <c r="I920" s="3" t="s">
        <v>1103</v>
      </c>
      <c r="J920" s="3" t="s">
        <v>16</v>
      </c>
      <c r="K920" s="3" t="s">
        <v>17</v>
      </c>
      <c r="L920" s="3" t="s">
        <v>18</v>
      </c>
      <c r="M920" s="3" t="s">
        <v>19</v>
      </c>
    </row>
    <row r="921" spans="1:13">
      <c r="A921" s="18">
        <v>1</v>
      </c>
      <c r="B921" s="111" t="s">
        <v>1130</v>
      </c>
      <c r="C921" s="18"/>
      <c r="D921" s="18">
        <v>1</v>
      </c>
      <c r="E921" s="20">
        <v>11500</v>
      </c>
      <c r="F921" s="20">
        <v>80</v>
      </c>
      <c r="G921" s="18"/>
      <c r="H921" s="18">
        <v>1</v>
      </c>
      <c r="I921" s="21" t="s">
        <v>1128</v>
      </c>
      <c r="J921" s="18">
        <v>1</v>
      </c>
      <c r="K921" s="18">
        <v>9829</v>
      </c>
      <c r="L921" s="22"/>
      <c r="M921" s="18"/>
    </row>
    <row r="922" spans="1:13">
      <c r="A922" s="18"/>
      <c r="B922" s="113"/>
      <c r="C922" s="18"/>
      <c r="D922" s="18"/>
      <c r="E922" s="20"/>
      <c r="F922" s="20"/>
      <c r="G922" s="18"/>
      <c r="H922" s="18">
        <v>1</v>
      </c>
      <c r="I922" s="21" t="s">
        <v>1111</v>
      </c>
      <c r="J922" s="18">
        <v>1</v>
      </c>
      <c r="K922" s="18">
        <v>1335</v>
      </c>
      <c r="L922" s="22"/>
      <c r="M922" s="18"/>
    </row>
    <row r="923" spans="1:13">
      <c r="A923" s="18"/>
      <c r="B923" s="113"/>
      <c r="C923" s="18"/>
      <c r="D923" s="18"/>
      <c r="E923" s="20"/>
      <c r="F923" s="20"/>
      <c r="G923" s="18"/>
      <c r="H923" s="18">
        <v>1</v>
      </c>
      <c r="I923" s="21" t="s">
        <v>1238</v>
      </c>
      <c r="J923" s="18">
        <v>1</v>
      </c>
      <c r="K923" s="18">
        <v>178</v>
      </c>
      <c r="L923" s="22"/>
      <c r="M923" s="18"/>
    </row>
    <row r="924" spans="1:13">
      <c r="A924" s="18">
        <v>2</v>
      </c>
      <c r="B924" s="113"/>
      <c r="C924" s="18"/>
      <c r="D924" s="18">
        <v>1</v>
      </c>
      <c r="E924" s="20">
        <v>11500</v>
      </c>
      <c r="F924" s="20">
        <v>24</v>
      </c>
      <c r="G924" s="18"/>
      <c r="H924" s="18">
        <v>1</v>
      </c>
      <c r="I924" s="21" t="s">
        <v>1233</v>
      </c>
      <c r="J924" s="18">
        <v>1</v>
      </c>
      <c r="K924" s="18">
        <v>7821</v>
      </c>
      <c r="L924" s="22"/>
      <c r="M924" s="18"/>
    </row>
    <row r="925" spans="1:13">
      <c r="A925" s="18"/>
      <c r="B925" s="113"/>
      <c r="C925" s="18"/>
      <c r="D925" s="18"/>
      <c r="E925" s="20"/>
      <c r="F925" s="20"/>
      <c r="G925" s="18"/>
      <c r="H925" s="18">
        <v>1</v>
      </c>
      <c r="I925" s="21" t="s">
        <v>1119</v>
      </c>
      <c r="J925" s="18">
        <v>1</v>
      </c>
      <c r="K925" s="18">
        <v>3093</v>
      </c>
      <c r="L925" s="22"/>
      <c r="M925" s="18"/>
    </row>
    <row r="926" spans="1:13">
      <c r="A926" s="18"/>
      <c r="B926" s="113"/>
      <c r="C926" s="18"/>
      <c r="D926" s="18"/>
      <c r="E926" s="20"/>
      <c r="F926" s="20"/>
      <c r="G926" s="18"/>
      <c r="H926" s="18">
        <v>1</v>
      </c>
      <c r="I926" s="21" t="s">
        <v>1231</v>
      </c>
      <c r="J926" s="18">
        <v>1</v>
      </c>
      <c r="K926" s="18">
        <v>484</v>
      </c>
      <c r="L926" s="22"/>
      <c r="M926" s="18"/>
    </row>
    <row r="927" spans="1:13">
      <c r="A927" s="18">
        <v>3</v>
      </c>
      <c r="B927" s="113"/>
      <c r="C927" s="18"/>
      <c r="D927" s="18">
        <v>1</v>
      </c>
      <c r="E927" s="20">
        <v>11500</v>
      </c>
      <c r="F927" s="20">
        <v>45</v>
      </c>
      <c r="G927" s="18"/>
      <c r="H927" s="18">
        <v>1</v>
      </c>
      <c r="I927" s="21" t="s">
        <v>1242</v>
      </c>
      <c r="J927" s="18">
        <v>1</v>
      </c>
      <c r="K927" s="18">
        <v>7043</v>
      </c>
      <c r="L927" s="22"/>
      <c r="M927" s="18"/>
    </row>
    <row r="928" spans="1:13">
      <c r="A928" s="18"/>
      <c r="B928" s="113"/>
      <c r="C928" s="18"/>
      <c r="D928" s="18"/>
      <c r="E928" s="20"/>
      <c r="F928" s="20"/>
      <c r="G928" s="18"/>
      <c r="H928" s="18">
        <v>1</v>
      </c>
      <c r="I928" s="21" t="s">
        <v>1118</v>
      </c>
      <c r="J928" s="18">
        <v>1</v>
      </c>
      <c r="K928" s="18">
        <v>3991</v>
      </c>
      <c r="L928" s="22"/>
      <c r="M928" s="18"/>
    </row>
    <row r="929" spans="1:13">
      <c r="A929" s="18"/>
      <c r="B929" s="113"/>
      <c r="C929" s="18"/>
      <c r="D929" s="18"/>
      <c r="E929" s="20"/>
      <c r="F929" s="20"/>
      <c r="G929" s="18"/>
      <c r="H929" s="18">
        <v>1</v>
      </c>
      <c r="I929" s="21" t="s">
        <v>1240</v>
      </c>
      <c r="J929" s="18">
        <v>1</v>
      </c>
      <c r="K929" s="18">
        <v>343</v>
      </c>
      <c r="L929" s="22"/>
      <c r="M929" s="18"/>
    </row>
    <row r="930" spans="1:13">
      <c r="A930" s="18">
        <v>4</v>
      </c>
      <c r="B930" s="113"/>
      <c r="C930" s="18"/>
      <c r="D930" s="18">
        <v>1</v>
      </c>
      <c r="E930" s="20">
        <v>11500</v>
      </c>
      <c r="F930" s="20">
        <v>36</v>
      </c>
      <c r="G930" s="18"/>
      <c r="H930" s="18">
        <v>1</v>
      </c>
      <c r="I930" s="21" t="s">
        <v>1116</v>
      </c>
      <c r="J930" s="18">
        <v>1</v>
      </c>
      <c r="K930" s="18">
        <v>6979</v>
      </c>
      <c r="L930" s="22"/>
      <c r="M930" s="18"/>
    </row>
    <row r="931" spans="1:13">
      <c r="A931" s="18"/>
      <c r="B931" s="113"/>
      <c r="C931" s="18"/>
      <c r="D931" s="18"/>
      <c r="E931" s="20"/>
      <c r="F931" s="20"/>
      <c r="G931" s="18"/>
      <c r="H931" s="18">
        <v>1</v>
      </c>
      <c r="I931" s="21" t="s">
        <v>1228</v>
      </c>
      <c r="J931" s="18">
        <v>1</v>
      </c>
      <c r="K931" s="18">
        <v>1043</v>
      </c>
      <c r="L931" s="22"/>
      <c r="M931" s="18"/>
    </row>
    <row r="932" spans="1:13">
      <c r="A932" s="18"/>
      <c r="B932" s="113"/>
      <c r="C932" s="18"/>
      <c r="D932" s="18"/>
      <c r="E932" s="20"/>
      <c r="F932" s="20"/>
      <c r="G932" s="18"/>
      <c r="H932" s="18">
        <v>1</v>
      </c>
      <c r="I932" s="21" t="s">
        <v>1110</v>
      </c>
      <c r="J932" s="18">
        <v>1</v>
      </c>
      <c r="K932" s="18">
        <v>842</v>
      </c>
      <c r="L932" s="22"/>
      <c r="M932" s="18"/>
    </row>
    <row r="933" spans="1:13">
      <c r="A933" s="18"/>
      <c r="B933" s="113"/>
      <c r="C933" s="18"/>
      <c r="D933" s="18"/>
      <c r="E933" s="20"/>
      <c r="F933" s="20"/>
      <c r="G933" s="18"/>
      <c r="H933" s="18">
        <v>1</v>
      </c>
      <c r="I933" s="21" t="s">
        <v>1243</v>
      </c>
      <c r="J933" s="18">
        <v>1</v>
      </c>
      <c r="K933" s="18">
        <v>741</v>
      </c>
      <c r="L933" s="22"/>
      <c r="M933" s="18"/>
    </row>
    <row r="934" spans="1:13">
      <c r="A934" s="18"/>
      <c r="B934" s="113"/>
      <c r="C934" s="18"/>
      <c r="D934" s="18"/>
      <c r="E934" s="20"/>
      <c r="F934" s="20"/>
      <c r="G934" s="18"/>
      <c r="H934" s="18">
        <v>1</v>
      </c>
      <c r="I934" s="21" t="s">
        <v>1225</v>
      </c>
      <c r="J934" s="18">
        <v>1</v>
      </c>
      <c r="K934" s="18">
        <v>693</v>
      </c>
      <c r="L934" s="22"/>
      <c r="M934" s="18"/>
    </row>
    <row r="935" spans="1:13">
      <c r="A935" s="18"/>
      <c r="B935" s="113"/>
      <c r="C935" s="18"/>
      <c r="D935" s="18"/>
      <c r="E935" s="20"/>
      <c r="F935" s="20"/>
      <c r="G935" s="18"/>
      <c r="H935" s="18">
        <v>1</v>
      </c>
      <c r="I935" s="21" t="s">
        <v>1104</v>
      </c>
      <c r="J935" s="18">
        <v>1</v>
      </c>
      <c r="K935" s="18">
        <v>693</v>
      </c>
      <c r="L935" s="22"/>
      <c r="M935" s="18"/>
    </row>
    <row r="936" spans="1:13">
      <c r="A936" s="5"/>
      <c r="B936" s="113"/>
      <c r="C936" s="5"/>
      <c r="D936" s="5"/>
      <c r="E936" s="6"/>
      <c r="F936" s="6"/>
      <c r="G936" s="5"/>
      <c r="H936" s="5">
        <v>1</v>
      </c>
      <c r="I936" s="7" t="s">
        <v>1121</v>
      </c>
      <c r="J936" s="5">
        <v>1</v>
      </c>
      <c r="K936" s="5">
        <v>291</v>
      </c>
      <c r="L936" s="8"/>
      <c r="M936" s="5"/>
    </row>
    <row r="937" spans="1:13">
      <c r="A937" s="5">
        <v>5</v>
      </c>
      <c r="B937" s="113"/>
      <c r="C937" s="5"/>
      <c r="D937" s="5">
        <v>1</v>
      </c>
      <c r="E937" s="6">
        <v>11500</v>
      </c>
      <c r="F937" s="6">
        <v>1</v>
      </c>
      <c r="G937" s="5"/>
      <c r="H937" s="5">
        <v>1</v>
      </c>
      <c r="I937" s="7" t="s">
        <v>1109</v>
      </c>
      <c r="J937" s="5">
        <v>1</v>
      </c>
      <c r="K937" s="5">
        <v>5393</v>
      </c>
      <c r="L937" s="8"/>
      <c r="M937" s="18"/>
    </row>
    <row r="938" spans="1:13">
      <c r="A938" s="5"/>
      <c r="B938" s="113"/>
      <c r="C938" s="5"/>
      <c r="D938" s="5"/>
      <c r="E938" s="6"/>
      <c r="F938" s="6"/>
      <c r="G938" s="5"/>
      <c r="H938" s="5">
        <v>1</v>
      </c>
      <c r="I938" s="7" t="s">
        <v>1237</v>
      </c>
      <c r="J938" s="5">
        <v>1</v>
      </c>
      <c r="K938" s="5">
        <v>4846</v>
      </c>
      <c r="L938" s="8"/>
      <c r="M938" s="5"/>
    </row>
    <row r="939" spans="1:13">
      <c r="A939" s="5"/>
      <c r="B939" s="113"/>
      <c r="C939" s="5"/>
      <c r="D939" s="5"/>
      <c r="E939" s="6"/>
      <c r="F939" s="6"/>
      <c r="G939" s="5"/>
      <c r="H939" s="5">
        <v>1</v>
      </c>
      <c r="I939" s="7" t="s">
        <v>1107</v>
      </c>
      <c r="J939" s="5">
        <v>1</v>
      </c>
      <c r="K939" s="5">
        <v>693</v>
      </c>
      <c r="L939" s="8"/>
      <c r="M939" s="5"/>
    </row>
    <row r="940" spans="1:13">
      <c r="A940" s="5"/>
      <c r="B940" s="113"/>
      <c r="C940" s="5"/>
      <c r="D940" s="5"/>
      <c r="E940" s="6"/>
      <c r="F940" s="6"/>
      <c r="G940" s="5"/>
      <c r="H940" s="5">
        <v>1</v>
      </c>
      <c r="I940" s="7" t="s">
        <v>1125</v>
      </c>
      <c r="J940" s="5">
        <v>1</v>
      </c>
      <c r="K940" s="5">
        <v>463</v>
      </c>
      <c r="L940" s="8"/>
      <c r="M940" s="5"/>
    </row>
    <row r="941" spans="1:13">
      <c r="A941" s="5">
        <v>6</v>
      </c>
      <c r="B941" s="113"/>
      <c r="C941" s="5"/>
      <c r="D941" s="5">
        <v>1</v>
      </c>
      <c r="E941" s="6">
        <v>11500</v>
      </c>
      <c r="F941" s="6">
        <v>35</v>
      </c>
      <c r="G941" s="5"/>
      <c r="H941" s="5">
        <v>1</v>
      </c>
      <c r="I941" s="7" t="s">
        <v>1244</v>
      </c>
      <c r="J941" s="5">
        <v>1</v>
      </c>
      <c r="K941" s="5">
        <v>4784</v>
      </c>
      <c r="L941" s="8"/>
      <c r="M941" s="5"/>
    </row>
    <row r="942" spans="1:13">
      <c r="A942" s="5"/>
      <c r="B942" s="113"/>
      <c r="C942" s="5"/>
      <c r="D942" s="5"/>
      <c r="E942" s="6"/>
      <c r="F942" s="6"/>
      <c r="G942" s="5"/>
      <c r="H942" s="5">
        <v>1</v>
      </c>
      <c r="I942" s="7" t="s">
        <v>1108</v>
      </c>
      <c r="J942" s="5">
        <v>1</v>
      </c>
      <c r="K942" s="5">
        <v>2773</v>
      </c>
      <c r="L942" s="8"/>
      <c r="M942" s="5"/>
    </row>
    <row r="943" spans="1:13">
      <c r="A943" s="5"/>
      <c r="B943" s="113"/>
      <c r="C943" s="5"/>
      <c r="D943" s="5"/>
      <c r="E943" s="6"/>
      <c r="F943" s="6"/>
      <c r="G943" s="5"/>
      <c r="H943" s="5">
        <v>1</v>
      </c>
      <c r="I943" s="7" t="s">
        <v>1239</v>
      </c>
      <c r="J943" s="5">
        <v>1</v>
      </c>
      <c r="K943" s="5">
        <v>2363</v>
      </c>
      <c r="L943" s="8"/>
      <c r="M943" s="5"/>
    </row>
    <row r="944" spans="1:13">
      <c r="A944" s="5"/>
      <c r="B944" s="113"/>
      <c r="C944" s="5"/>
      <c r="D944" s="5"/>
      <c r="E944" s="6"/>
      <c r="F944" s="6"/>
      <c r="G944" s="5"/>
      <c r="H944" s="5">
        <v>1</v>
      </c>
      <c r="I944" s="7" t="s">
        <v>1236</v>
      </c>
      <c r="J944" s="5">
        <v>1</v>
      </c>
      <c r="K944" s="5">
        <v>1441</v>
      </c>
      <c r="L944" s="8"/>
      <c r="M944" s="5"/>
    </row>
    <row r="945" spans="1:13">
      <c r="A945" s="5">
        <v>7</v>
      </c>
      <c r="B945" s="113"/>
      <c r="C945" s="5"/>
      <c r="D945" s="5">
        <v>1</v>
      </c>
      <c r="E945" s="6">
        <v>11500</v>
      </c>
      <c r="F945" s="6">
        <v>46</v>
      </c>
      <c r="G945" s="5"/>
      <c r="H945" s="5">
        <v>1</v>
      </c>
      <c r="I945" s="7" t="s">
        <v>1235</v>
      </c>
      <c r="J945" s="5">
        <v>1</v>
      </c>
      <c r="K945" s="5">
        <v>1843</v>
      </c>
      <c r="L945" s="8"/>
      <c r="M945" s="5"/>
    </row>
    <row r="946" spans="1:13">
      <c r="A946" s="5"/>
      <c r="B946" s="113"/>
      <c r="C946" s="5"/>
      <c r="D946" s="5"/>
      <c r="E946" s="6"/>
      <c r="F946" s="6"/>
      <c r="G946" s="5"/>
      <c r="H946" s="5">
        <v>1</v>
      </c>
      <c r="I946" s="7" t="s">
        <v>1124</v>
      </c>
      <c r="J946" s="5">
        <v>1</v>
      </c>
      <c r="K946" s="5">
        <v>1793</v>
      </c>
      <c r="L946" s="8"/>
      <c r="M946" s="5"/>
    </row>
    <row r="947" spans="1:13">
      <c r="A947" s="5"/>
      <c r="B947" s="113"/>
      <c r="C947" s="5"/>
      <c r="D947" s="5"/>
      <c r="E947" s="6"/>
      <c r="F947" s="6"/>
      <c r="G947" s="5"/>
      <c r="H947" s="5">
        <v>1</v>
      </c>
      <c r="I947" s="7" t="s">
        <v>1113</v>
      </c>
      <c r="J947" s="5">
        <v>1</v>
      </c>
      <c r="K947" s="5">
        <v>1779</v>
      </c>
      <c r="L947" s="8"/>
      <c r="M947" s="5"/>
    </row>
    <row r="948" spans="1:13">
      <c r="A948" s="5"/>
      <c r="B948" s="113"/>
      <c r="C948" s="5"/>
      <c r="D948" s="5"/>
      <c r="E948" s="6"/>
      <c r="F948" s="6"/>
      <c r="G948" s="5"/>
      <c r="H948" s="5">
        <v>1</v>
      </c>
      <c r="I948" s="7" t="s">
        <v>1232</v>
      </c>
      <c r="J948" s="5">
        <v>1</v>
      </c>
      <c r="K948" s="5">
        <v>1778</v>
      </c>
      <c r="L948" s="8"/>
      <c r="M948" s="5"/>
    </row>
    <row r="949" spans="1:13">
      <c r="A949" s="5"/>
      <c r="B949" s="113"/>
      <c r="C949" s="5"/>
      <c r="D949" s="5"/>
      <c r="E949" s="6"/>
      <c r="F949" s="6"/>
      <c r="G949" s="5"/>
      <c r="H949" s="5">
        <v>1</v>
      </c>
      <c r="I949" s="7" t="s">
        <v>1245</v>
      </c>
      <c r="J949" s="5">
        <v>1</v>
      </c>
      <c r="K949" s="5">
        <v>1693</v>
      </c>
      <c r="L949" s="8"/>
      <c r="M949" s="5"/>
    </row>
    <row r="950" spans="1:13">
      <c r="A950" s="5"/>
      <c r="B950" s="113"/>
      <c r="C950" s="5"/>
      <c r="D950" s="5"/>
      <c r="E950" s="6"/>
      <c r="F950" s="6"/>
      <c r="G950" s="5"/>
      <c r="H950" s="5">
        <v>1</v>
      </c>
      <c r="I950" s="7" t="s">
        <v>1229</v>
      </c>
      <c r="J950" s="5">
        <v>1</v>
      </c>
      <c r="K950" s="5">
        <v>1693</v>
      </c>
      <c r="L950" s="8"/>
      <c r="M950" s="5"/>
    </row>
    <row r="951" spans="1:13">
      <c r="A951" s="5"/>
      <c r="B951" s="113"/>
      <c r="C951" s="5"/>
      <c r="D951" s="5"/>
      <c r="E951" s="6"/>
      <c r="F951" s="6"/>
      <c r="G951" s="5"/>
      <c r="H951" s="5">
        <v>1</v>
      </c>
      <c r="I951" s="7" t="s">
        <v>1127</v>
      </c>
      <c r="J951" s="5">
        <v>1</v>
      </c>
      <c r="K951" s="5">
        <v>693</v>
      </c>
      <c r="L951" s="8"/>
      <c r="M951" s="5"/>
    </row>
    <row r="952" spans="1:13">
      <c r="A952" s="5">
        <v>8</v>
      </c>
      <c r="B952" s="113"/>
      <c r="C952" s="5"/>
      <c r="D952" s="5">
        <v>1</v>
      </c>
      <c r="E952" s="6">
        <v>11500</v>
      </c>
      <c r="F952" s="6">
        <v>8577</v>
      </c>
      <c r="G952" s="5"/>
      <c r="H952" s="5">
        <v>1</v>
      </c>
      <c r="I952" s="7" t="s">
        <v>1117</v>
      </c>
      <c r="J952" s="5">
        <v>1</v>
      </c>
      <c r="K952" s="5">
        <v>1689</v>
      </c>
      <c r="L952" s="8"/>
      <c r="M952" s="5"/>
    </row>
    <row r="953" spans="1:13">
      <c r="A953" s="5"/>
      <c r="B953" s="113"/>
      <c r="C953" s="5"/>
      <c r="D953" s="5"/>
      <c r="E953" s="6"/>
      <c r="F953" s="6"/>
      <c r="G953" s="5"/>
      <c r="H953" s="5">
        <v>1</v>
      </c>
      <c r="I953" s="7" t="s">
        <v>1247</v>
      </c>
      <c r="J953" s="5">
        <v>1</v>
      </c>
      <c r="K953" s="5">
        <v>693</v>
      </c>
      <c r="L953" s="8"/>
      <c r="M953" s="5"/>
    </row>
    <row r="954" spans="1:13">
      <c r="A954" s="5"/>
      <c r="B954" s="113"/>
      <c r="C954" s="5"/>
      <c r="D954" s="5"/>
      <c r="E954" s="6"/>
      <c r="F954" s="6"/>
      <c r="G954" s="5"/>
      <c r="H954" s="5">
        <v>1</v>
      </c>
      <c r="I954" s="7" t="s">
        <v>1126</v>
      </c>
      <c r="J954" s="5">
        <v>1</v>
      </c>
      <c r="K954" s="5">
        <v>463</v>
      </c>
      <c r="L954" s="8"/>
      <c r="M954" s="5"/>
    </row>
    <row r="955" spans="1:13">
      <c r="A955" s="5">
        <v>9</v>
      </c>
      <c r="B955" s="113"/>
      <c r="C955" s="5"/>
      <c r="D955" s="5">
        <v>1</v>
      </c>
      <c r="E955" s="6">
        <v>11500</v>
      </c>
      <c r="F955" s="6"/>
      <c r="G955" s="5"/>
      <c r="H955" s="5">
        <v>1</v>
      </c>
      <c r="I955" s="7" t="s">
        <v>1123</v>
      </c>
      <c r="J955" s="5">
        <v>1</v>
      </c>
      <c r="K955" s="5">
        <v>11500</v>
      </c>
      <c r="L955" s="8"/>
      <c r="M955" s="5"/>
    </row>
    <row r="956" spans="1:13">
      <c r="A956" s="5">
        <v>10</v>
      </c>
      <c r="B956" s="113"/>
      <c r="C956" s="5"/>
      <c r="D956" s="5">
        <v>1</v>
      </c>
      <c r="E956" s="6">
        <v>11500</v>
      </c>
      <c r="F956" s="6"/>
      <c r="G956" s="5"/>
      <c r="H956" s="5">
        <v>1</v>
      </c>
      <c r="I956" s="7" t="s">
        <v>1122</v>
      </c>
      <c r="J956" s="5">
        <v>1</v>
      </c>
      <c r="K956" s="5">
        <v>11500</v>
      </c>
      <c r="L956" s="8"/>
      <c r="M956" s="5"/>
    </row>
    <row r="957" spans="1:13">
      <c r="A957" s="5">
        <v>11</v>
      </c>
      <c r="B957" s="113"/>
      <c r="C957" s="5"/>
      <c r="D957" s="5">
        <v>1</v>
      </c>
      <c r="E957" s="6">
        <v>11500</v>
      </c>
      <c r="F957" s="6"/>
      <c r="G957" s="5"/>
      <c r="H957" s="5">
        <v>1</v>
      </c>
      <c r="I957" s="7" t="s">
        <v>1106</v>
      </c>
      <c r="J957" s="5">
        <v>1</v>
      </c>
      <c r="K957" s="5">
        <v>11500</v>
      </c>
      <c r="L957" s="8"/>
      <c r="M957" s="5"/>
    </row>
    <row r="958" spans="1:13">
      <c r="A958" s="5">
        <v>12</v>
      </c>
      <c r="B958" s="113"/>
      <c r="C958" s="5"/>
      <c r="D958" s="5">
        <v>1</v>
      </c>
      <c r="E958" s="6">
        <v>11500</v>
      </c>
      <c r="F958" s="6"/>
      <c r="G958" s="5"/>
      <c r="H958" s="5">
        <v>1</v>
      </c>
      <c r="I958" s="7" t="s">
        <v>1241</v>
      </c>
      <c r="J958" s="5">
        <v>1</v>
      </c>
      <c r="K958" s="5">
        <v>11500</v>
      </c>
      <c r="L958" s="8"/>
      <c r="M958" s="5"/>
    </row>
    <row r="959" spans="1:13">
      <c r="A959" s="5">
        <v>13</v>
      </c>
      <c r="B959" s="113"/>
      <c r="C959" s="5"/>
      <c r="D959" s="5">
        <v>1</v>
      </c>
      <c r="E959" s="6">
        <v>11500</v>
      </c>
      <c r="F959" s="6"/>
      <c r="G959" s="5"/>
      <c r="H959" s="5">
        <v>1</v>
      </c>
      <c r="I959" s="7" t="s">
        <v>1120</v>
      </c>
      <c r="J959" s="5">
        <v>1</v>
      </c>
      <c r="K959" s="5">
        <v>11500</v>
      </c>
      <c r="L959" s="8"/>
      <c r="M959" s="5"/>
    </row>
    <row r="960" spans="1:13">
      <c r="A960" s="5">
        <v>14</v>
      </c>
      <c r="B960" s="113"/>
      <c r="C960" s="5"/>
      <c r="D960" s="5">
        <v>1</v>
      </c>
      <c r="E960" s="6">
        <v>11500</v>
      </c>
      <c r="F960" s="6"/>
      <c r="G960" s="5"/>
      <c r="H960" s="5">
        <v>1</v>
      </c>
      <c r="I960" s="7" t="s">
        <v>1234</v>
      </c>
      <c r="J960" s="5">
        <v>1</v>
      </c>
      <c r="K960" s="5">
        <v>11500</v>
      </c>
      <c r="L960" s="8"/>
      <c r="M960" s="5"/>
    </row>
    <row r="961" spans="1:13">
      <c r="A961" s="5">
        <v>15</v>
      </c>
      <c r="B961" s="113"/>
      <c r="C961" s="5"/>
      <c r="D961" s="5">
        <v>1</v>
      </c>
      <c r="E961" s="6">
        <v>11500</v>
      </c>
      <c r="F961" s="6"/>
      <c r="G961" s="5"/>
      <c r="H961" s="5">
        <v>1</v>
      </c>
      <c r="I961" s="7" t="s">
        <v>1115</v>
      </c>
      <c r="J961" s="5">
        <v>1</v>
      </c>
      <c r="K961" s="5">
        <v>11500</v>
      </c>
      <c r="L961" s="8"/>
      <c r="M961" s="5"/>
    </row>
    <row r="962" spans="1:13">
      <c r="A962" s="5">
        <v>16</v>
      </c>
      <c r="B962" s="113"/>
      <c r="C962" s="5"/>
      <c r="D962" s="5">
        <v>1</v>
      </c>
      <c r="E962" s="6">
        <v>11500</v>
      </c>
      <c r="F962" s="6"/>
      <c r="G962" s="5"/>
      <c r="H962" s="5">
        <v>1</v>
      </c>
      <c r="I962" s="7" t="s">
        <v>1114</v>
      </c>
      <c r="J962" s="5">
        <v>1</v>
      </c>
      <c r="K962" s="5">
        <v>11500</v>
      </c>
      <c r="L962" s="8"/>
      <c r="M962" s="5"/>
    </row>
    <row r="963" spans="1:13">
      <c r="A963" s="5">
        <v>17</v>
      </c>
      <c r="B963" s="113"/>
      <c r="C963" s="5"/>
      <c r="D963" s="5">
        <v>1</v>
      </c>
      <c r="E963" s="6">
        <v>11500</v>
      </c>
      <c r="F963" s="6"/>
      <c r="G963" s="5"/>
      <c r="H963" s="5">
        <v>1</v>
      </c>
      <c r="I963" s="7" t="s">
        <v>1112</v>
      </c>
      <c r="J963" s="5">
        <v>1</v>
      </c>
      <c r="K963" s="5">
        <v>11500</v>
      </c>
      <c r="L963" s="8"/>
      <c r="M963" s="5"/>
    </row>
    <row r="964" spans="1:13">
      <c r="A964" s="5">
        <v>18</v>
      </c>
      <c r="B964" s="113"/>
      <c r="C964" s="5"/>
      <c r="D964" s="5">
        <v>1</v>
      </c>
      <c r="E964" s="6">
        <v>11500</v>
      </c>
      <c r="F964" s="6"/>
      <c r="G964" s="5"/>
      <c r="H964" s="5">
        <v>1</v>
      </c>
      <c r="I964" s="7" t="s">
        <v>1105</v>
      </c>
      <c r="J964" s="5">
        <v>1</v>
      </c>
      <c r="K964" s="5">
        <v>11500</v>
      </c>
      <c r="L964" s="8"/>
      <c r="M964" s="5"/>
    </row>
    <row r="965" spans="1:13">
      <c r="A965" s="5">
        <v>19</v>
      </c>
      <c r="B965" s="113"/>
      <c r="C965" s="5"/>
      <c r="D965" s="5">
        <v>1</v>
      </c>
      <c r="E965" s="6">
        <v>11500</v>
      </c>
      <c r="F965" s="6"/>
      <c r="G965" s="5"/>
      <c r="H965" s="5">
        <v>1</v>
      </c>
      <c r="I965" s="7" t="s">
        <v>1227</v>
      </c>
      <c r="J965" s="5">
        <v>1</v>
      </c>
      <c r="K965" s="5">
        <v>11500</v>
      </c>
      <c r="L965" s="8"/>
      <c r="M965" s="5"/>
    </row>
    <row r="966" spans="1:13">
      <c r="A966" s="5">
        <v>20</v>
      </c>
      <c r="B966" s="113"/>
      <c r="C966" s="5"/>
      <c r="D966" s="5">
        <v>1</v>
      </c>
      <c r="E966" s="6">
        <v>11500</v>
      </c>
      <c r="F966" s="6">
        <v>20</v>
      </c>
      <c r="G966" s="5"/>
      <c r="H966" s="5">
        <v>1</v>
      </c>
      <c r="I966" s="7" t="s">
        <v>1246</v>
      </c>
      <c r="J966" s="5">
        <v>1</v>
      </c>
      <c r="K966" s="5">
        <v>10803</v>
      </c>
      <c r="L966" s="8"/>
      <c r="M966" s="5"/>
    </row>
    <row r="967" spans="1:13">
      <c r="A967" s="5"/>
      <c r="B967" s="112"/>
      <c r="C967" s="5"/>
      <c r="D967" s="5"/>
      <c r="E967" s="6"/>
      <c r="F967" s="6"/>
      <c r="G967" s="5"/>
      <c r="H967" s="5">
        <v>1</v>
      </c>
      <c r="I967" s="7" t="s">
        <v>1230</v>
      </c>
      <c r="J967" s="5">
        <v>1</v>
      </c>
      <c r="K967" s="5">
        <v>625</v>
      </c>
      <c r="L967" s="8"/>
      <c r="M967" s="5"/>
    </row>
    <row r="968" spans="1:13">
      <c r="A968" s="5"/>
      <c r="B968" s="5"/>
      <c r="C968" s="5"/>
      <c r="D968" s="5"/>
      <c r="E968" s="6"/>
      <c r="F968" s="6"/>
      <c r="G968" s="5"/>
      <c r="H968" s="5"/>
      <c r="I968" s="7"/>
      <c r="J968" s="5"/>
      <c r="K968" s="5"/>
      <c r="L968" s="8"/>
      <c r="M968" s="5"/>
    </row>
    <row r="969" spans="1:13">
      <c r="A969" s="117" t="s">
        <v>4</v>
      </c>
      <c r="B969" s="117"/>
      <c r="C969" s="117"/>
      <c r="D969" s="117"/>
      <c r="E969" s="117"/>
      <c r="F969" s="117"/>
      <c r="G969" s="117"/>
      <c r="H969" s="117"/>
      <c r="I969" s="118" t="s">
        <v>8</v>
      </c>
      <c r="J969" s="118"/>
      <c r="K969" s="89" t="s">
        <v>70</v>
      </c>
      <c r="L969" s="119"/>
      <c r="M969" s="120"/>
    </row>
    <row r="970" spans="1:13">
      <c r="A970" s="117"/>
      <c r="B970" s="117"/>
      <c r="C970" s="117"/>
      <c r="D970" s="117"/>
      <c r="E970" s="117"/>
      <c r="F970" s="117"/>
      <c r="G970" s="117"/>
      <c r="H970" s="117"/>
      <c r="I970" s="118" t="s">
        <v>25</v>
      </c>
      <c r="J970" s="118"/>
      <c r="K970" s="121" t="s">
        <v>1098</v>
      </c>
      <c r="L970" s="118"/>
      <c r="M970" s="118"/>
    </row>
    <row r="971" spans="1:13">
      <c r="A971" s="117"/>
      <c r="B971" s="117"/>
      <c r="C971" s="117"/>
      <c r="D971" s="117"/>
      <c r="E971" s="117"/>
      <c r="F971" s="117"/>
      <c r="G971" s="117"/>
      <c r="H971" s="117"/>
      <c r="I971" s="87" t="s">
        <v>26</v>
      </c>
      <c r="J971" s="88"/>
      <c r="K971" s="95" t="s">
        <v>355</v>
      </c>
      <c r="L971" s="104"/>
      <c r="M971" s="88"/>
    </row>
    <row r="972" spans="1:13">
      <c r="A972" s="118" t="s">
        <v>31</v>
      </c>
      <c r="B972" s="118"/>
      <c r="C972" s="118" t="s">
        <v>32</v>
      </c>
      <c r="D972" s="118"/>
      <c r="E972" s="118"/>
      <c r="F972" s="118"/>
      <c r="G972" s="118"/>
      <c r="H972" s="118"/>
      <c r="I972" s="40" t="s">
        <v>29</v>
      </c>
      <c r="J972" s="41"/>
      <c r="K972" s="118" t="s">
        <v>1099</v>
      </c>
      <c r="L972" s="118"/>
      <c r="M972" s="118"/>
    </row>
    <row r="973" spans="1:13">
      <c r="A973" s="118"/>
      <c r="B973" s="118"/>
      <c r="C973" s="118"/>
      <c r="D973" s="118"/>
      <c r="E973" s="118"/>
      <c r="F973" s="118"/>
      <c r="G973" s="118"/>
      <c r="H973" s="118"/>
      <c r="I973" s="118" t="s">
        <v>30</v>
      </c>
      <c r="J973" s="118"/>
      <c r="K973" s="118" t="s">
        <v>1153</v>
      </c>
      <c r="L973" s="118"/>
      <c r="M973" s="118"/>
    </row>
    <row r="974" spans="1:13">
      <c r="A974" s="122" t="s">
        <v>24</v>
      </c>
      <c r="B974" s="122"/>
      <c r="C974" s="122"/>
      <c r="D974" s="42">
        <v>1</v>
      </c>
      <c r="E974" s="117" t="s">
        <v>40</v>
      </c>
      <c r="F974" s="117"/>
      <c r="G974" s="117"/>
      <c r="H974" s="42">
        <v>4</v>
      </c>
      <c r="I974" s="118" t="s">
        <v>27</v>
      </c>
      <c r="J974" s="118"/>
      <c r="K974" s="118" t="s">
        <v>21</v>
      </c>
      <c r="L974" s="118"/>
      <c r="M974" s="118"/>
    </row>
    <row r="975" spans="1:13" ht="45">
      <c r="A975" s="3" t="s">
        <v>9</v>
      </c>
      <c r="B975" s="3" t="s">
        <v>10</v>
      </c>
      <c r="C975" s="3" t="s">
        <v>11</v>
      </c>
      <c r="D975" s="3" t="s">
        <v>3</v>
      </c>
      <c r="E975" s="4" t="s">
        <v>41</v>
      </c>
      <c r="F975" s="4" t="s">
        <v>12</v>
      </c>
      <c r="G975" s="3" t="s">
        <v>13</v>
      </c>
      <c r="H975" s="3" t="s">
        <v>14</v>
      </c>
      <c r="I975" s="3" t="s">
        <v>1103</v>
      </c>
      <c r="J975" s="3" t="s">
        <v>16</v>
      </c>
      <c r="K975" s="3" t="s">
        <v>17</v>
      </c>
      <c r="L975" s="3" t="s">
        <v>18</v>
      </c>
      <c r="M975" s="3" t="s">
        <v>19</v>
      </c>
    </row>
    <row r="976" spans="1:13">
      <c r="A976" s="18">
        <v>1</v>
      </c>
      <c r="B976" s="111" t="s">
        <v>1224</v>
      </c>
      <c r="C976" s="18"/>
      <c r="D976" s="18">
        <v>1</v>
      </c>
      <c r="E976" s="20">
        <v>11500</v>
      </c>
      <c r="F976" s="20">
        <v>6940</v>
      </c>
      <c r="G976" s="18"/>
      <c r="H976" s="18">
        <v>1</v>
      </c>
      <c r="I976" s="21" t="s">
        <v>1223</v>
      </c>
      <c r="J976" s="18">
        <v>1</v>
      </c>
      <c r="K976" s="18">
        <v>2089</v>
      </c>
      <c r="L976" s="22"/>
      <c r="M976" s="18"/>
    </row>
    <row r="977" spans="1:13">
      <c r="A977" s="18"/>
      <c r="B977" s="113"/>
      <c r="C977" s="18"/>
      <c r="D977" s="18"/>
      <c r="E977" s="20"/>
      <c r="F977" s="20"/>
      <c r="G977" s="18"/>
      <c r="H977" s="18">
        <v>1</v>
      </c>
      <c r="I977" s="21" t="s">
        <v>1222</v>
      </c>
      <c r="J977" s="18">
        <v>1</v>
      </c>
      <c r="K977" s="18">
        <v>1585</v>
      </c>
      <c r="L977" s="22"/>
      <c r="M977" s="18"/>
    </row>
    <row r="978" spans="1:13">
      <c r="A978" s="18"/>
      <c r="B978" s="113"/>
      <c r="C978" s="18"/>
      <c r="D978" s="18"/>
      <c r="E978" s="20"/>
      <c r="F978" s="20"/>
      <c r="G978" s="18"/>
      <c r="H978" s="18">
        <v>1</v>
      </c>
      <c r="I978" s="21" t="s">
        <v>1219</v>
      </c>
      <c r="J978" s="18">
        <v>1</v>
      </c>
      <c r="K978" s="18">
        <v>391</v>
      </c>
      <c r="L978" s="22"/>
      <c r="M978" s="18"/>
    </row>
    <row r="979" spans="1:13">
      <c r="A979" s="18"/>
      <c r="B979" s="112"/>
      <c r="C979" s="18"/>
      <c r="D979" s="18"/>
      <c r="E979" s="20"/>
      <c r="F979" s="20"/>
      <c r="G979" s="18"/>
      <c r="H979" s="18">
        <v>1</v>
      </c>
      <c r="I979" s="21" t="s">
        <v>1221</v>
      </c>
      <c r="J979" s="18">
        <v>1</v>
      </c>
      <c r="K979" s="18">
        <v>391</v>
      </c>
      <c r="L979" s="22"/>
      <c r="M979" s="18"/>
    </row>
    <row r="980" spans="1:13">
      <c r="A980" s="18"/>
      <c r="B980" s="18"/>
      <c r="C980" s="18"/>
      <c r="D980" s="18"/>
      <c r="E980" s="20"/>
      <c r="F980" s="20"/>
      <c r="G980" s="18"/>
      <c r="H980" s="18"/>
      <c r="I980" s="21"/>
      <c r="J980" s="18"/>
      <c r="K980" s="18"/>
      <c r="L980" s="22"/>
      <c r="M980" s="18"/>
    </row>
    <row r="981" spans="1:13">
      <c r="A981" s="117" t="s">
        <v>4</v>
      </c>
      <c r="B981" s="117"/>
      <c r="C981" s="117"/>
      <c r="D981" s="117"/>
      <c r="E981" s="117"/>
      <c r="F981" s="117"/>
      <c r="G981" s="117"/>
      <c r="H981" s="117"/>
      <c r="I981" s="118" t="s">
        <v>8</v>
      </c>
      <c r="J981" s="118"/>
      <c r="K981" s="89" t="s">
        <v>70</v>
      </c>
      <c r="L981" s="119"/>
      <c r="M981" s="120"/>
    </row>
    <row r="982" spans="1:13">
      <c r="A982" s="117"/>
      <c r="B982" s="117"/>
      <c r="C982" s="117"/>
      <c r="D982" s="117"/>
      <c r="E982" s="117"/>
      <c r="F982" s="117"/>
      <c r="G982" s="117"/>
      <c r="H982" s="117"/>
      <c r="I982" s="118" t="s">
        <v>25</v>
      </c>
      <c r="J982" s="118"/>
      <c r="K982" s="121" t="s">
        <v>1098</v>
      </c>
      <c r="L982" s="118"/>
      <c r="M982" s="118"/>
    </row>
    <row r="983" spans="1:13">
      <c r="A983" s="117"/>
      <c r="B983" s="117"/>
      <c r="C983" s="117"/>
      <c r="D983" s="117"/>
      <c r="E983" s="117"/>
      <c r="F983" s="117"/>
      <c r="G983" s="117"/>
      <c r="H983" s="117"/>
      <c r="I983" s="87" t="s">
        <v>26</v>
      </c>
      <c r="J983" s="88"/>
      <c r="K983" s="95" t="s">
        <v>338</v>
      </c>
      <c r="L983" s="104"/>
      <c r="M983" s="88"/>
    </row>
    <row r="984" spans="1:13">
      <c r="A984" s="118" t="s">
        <v>31</v>
      </c>
      <c r="B984" s="118"/>
      <c r="C984" s="118" t="s">
        <v>32</v>
      </c>
      <c r="D984" s="118"/>
      <c r="E984" s="118"/>
      <c r="F984" s="118"/>
      <c r="G984" s="118"/>
      <c r="H984" s="118"/>
      <c r="I984" s="40" t="s">
        <v>29</v>
      </c>
      <c r="J984" s="41"/>
      <c r="K984" s="118" t="s">
        <v>1099</v>
      </c>
      <c r="L984" s="118"/>
      <c r="M984" s="118"/>
    </row>
    <row r="985" spans="1:13">
      <c r="A985" s="118"/>
      <c r="B985" s="118"/>
      <c r="C985" s="118"/>
      <c r="D985" s="118"/>
      <c r="E985" s="118"/>
      <c r="F985" s="118"/>
      <c r="G985" s="118"/>
      <c r="H985" s="118"/>
      <c r="I985" s="118" t="s">
        <v>30</v>
      </c>
      <c r="J985" s="118"/>
      <c r="K985" s="118" t="s">
        <v>1129</v>
      </c>
      <c r="L985" s="118"/>
      <c r="M985" s="118"/>
    </row>
    <row r="986" spans="1:13">
      <c r="A986" s="122" t="s">
        <v>24</v>
      </c>
      <c r="B986" s="122"/>
      <c r="C986" s="122"/>
      <c r="D986" s="42">
        <v>2</v>
      </c>
      <c r="E986" s="117" t="s">
        <v>40</v>
      </c>
      <c r="F986" s="117"/>
      <c r="G986" s="117"/>
      <c r="H986" s="42">
        <v>2</v>
      </c>
      <c r="I986" s="118" t="s">
        <v>27</v>
      </c>
      <c r="J986" s="118"/>
      <c r="K986" s="118" t="s">
        <v>21</v>
      </c>
      <c r="L986" s="118"/>
      <c r="M986" s="118"/>
    </row>
    <row r="987" spans="1:13" ht="45">
      <c r="A987" s="3" t="s">
        <v>9</v>
      </c>
      <c r="B987" s="3" t="s">
        <v>10</v>
      </c>
      <c r="C987" s="3" t="s">
        <v>11</v>
      </c>
      <c r="D987" s="3" t="s">
        <v>3</v>
      </c>
      <c r="E987" s="4" t="s">
        <v>41</v>
      </c>
      <c r="F987" s="4" t="s">
        <v>12</v>
      </c>
      <c r="G987" s="3" t="s">
        <v>13</v>
      </c>
      <c r="H987" s="3" t="s">
        <v>14</v>
      </c>
      <c r="I987" s="3" t="s">
        <v>1103</v>
      </c>
      <c r="J987" s="3" t="s">
        <v>16</v>
      </c>
      <c r="K987" s="3" t="s">
        <v>17</v>
      </c>
      <c r="L987" s="3" t="s">
        <v>18</v>
      </c>
      <c r="M987" s="3" t="s">
        <v>19</v>
      </c>
    </row>
    <row r="988" spans="1:13">
      <c r="A988" s="18">
        <v>1</v>
      </c>
      <c r="B988" s="111" t="s">
        <v>1218</v>
      </c>
      <c r="C988" s="18"/>
      <c r="D988" s="18">
        <v>1</v>
      </c>
      <c r="E988" s="20">
        <v>11500</v>
      </c>
      <c r="F988" s="20"/>
      <c r="G988" s="18"/>
      <c r="H988" s="18">
        <v>1</v>
      </c>
      <c r="I988" s="21" t="s">
        <v>1215</v>
      </c>
      <c r="J988" s="18">
        <v>1</v>
      </c>
      <c r="K988" s="18">
        <v>11500</v>
      </c>
      <c r="L988" s="22"/>
      <c r="M988" s="18"/>
    </row>
    <row r="989" spans="1:13">
      <c r="A989" s="18">
        <v>2</v>
      </c>
      <c r="B989" s="112"/>
      <c r="C989" s="18"/>
      <c r="D989" s="18">
        <v>1</v>
      </c>
      <c r="E989" s="20">
        <v>11500</v>
      </c>
      <c r="F989" s="20"/>
      <c r="G989" s="18"/>
      <c r="H989" s="18">
        <v>1</v>
      </c>
      <c r="I989" s="21" t="s">
        <v>1217</v>
      </c>
      <c r="J989" s="18">
        <v>1</v>
      </c>
      <c r="K989" s="18">
        <v>11500</v>
      </c>
      <c r="L989" s="22"/>
      <c r="M989" s="18"/>
    </row>
    <row r="990" spans="1:13">
      <c r="A990" s="18"/>
      <c r="B990" s="18"/>
      <c r="C990" s="18"/>
      <c r="D990" s="18"/>
      <c r="E990" s="20"/>
      <c r="F990" s="20"/>
      <c r="G990" s="18"/>
      <c r="H990" s="18"/>
      <c r="I990" s="21"/>
      <c r="J990" s="18"/>
      <c r="K990" s="18"/>
      <c r="L990" s="22"/>
      <c r="M990" s="18"/>
    </row>
    <row r="991" spans="1:13">
      <c r="A991" s="117" t="s">
        <v>4</v>
      </c>
      <c r="B991" s="117"/>
      <c r="C991" s="117"/>
      <c r="D991" s="117"/>
      <c r="E991" s="117"/>
      <c r="F991" s="117"/>
      <c r="G991" s="117"/>
      <c r="H991" s="117"/>
      <c r="I991" s="118" t="s">
        <v>8</v>
      </c>
      <c r="J991" s="118"/>
      <c r="K991" s="89" t="s">
        <v>70</v>
      </c>
      <c r="L991" s="119"/>
      <c r="M991" s="120"/>
    </row>
    <row r="992" spans="1:13">
      <c r="A992" s="117"/>
      <c r="B992" s="117"/>
      <c r="C992" s="117"/>
      <c r="D992" s="117"/>
      <c r="E992" s="117"/>
      <c r="F992" s="117"/>
      <c r="G992" s="117"/>
      <c r="H992" s="117"/>
      <c r="I992" s="118" t="s">
        <v>25</v>
      </c>
      <c r="J992" s="118"/>
      <c r="K992" s="121" t="s">
        <v>1098</v>
      </c>
      <c r="L992" s="118"/>
      <c r="M992" s="118"/>
    </row>
    <row r="993" spans="1:13">
      <c r="A993" s="117"/>
      <c r="B993" s="117"/>
      <c r="C993" s="117"/>
      <c r="D993" s="117"/>
      <c r="E993" s="117"/>
      <c r="F993" s="117"/>
      <c r="G993" s="117"/>
      <c r="H993" s="117"/>
      <c r="I993" s="87" t="s">
        <v>26</v>
      </c>
      <c r="J993" s="88"/>
      <c r="K993" s="95" t="s">
        <v>290</v>
      </c>
      <c r="L993" s="104"/>
      <c r="M993" s="88"/>
    </row>
    <row r="994" spans="1:13">
      <c r="A994" s="118" t="s">
        <v>31</v>
      </c>
      <c r="B994" s="118"/>
      <c r="C994" s="118" t="s">
        <v>32</v>
      </c>
      <c r="D994" s="118"/>
      <c r="E994" s="118"/>
      <c r="F994" s="118"/>
      <c r="G994" s="118"/>
      <c r="H994" s="118"/>
      <c r="I994" s="40" t="s">
        <v>29</v>
      </c>
      <c r="J994" s="41"/>
      <c r="K994" s="118" t="s">
        <v>1099</v>
      </c>
      <c r="L994" s="118"/>
      <c r="M994" s="118"/>
    </row>
    <row r="995" spans="1:13">
      <c r="A995" s="118"/>
      <c r="B995" s="118"/>
      <c r="C995" s="118"/>
      <c r="D995" s="118"/>
      <c r="E995" s="118"/>
      <c r="F995" s="118"/>
      <c r="G995" s="118"/>
      <c r="H995" s="118"/>
      <c r="I995" s="118" t="s">
        <v>30</v>
      </c>
      <c r="J995" s="118"/>
      <c r="K995" s="118" t="s">
        <v>1100</v>
      </c>
      <c r="L995" s="118"/>
      <c r="M995" s="118"/>
    </row>
    <row r="996" spans="1:13">
      <c r="A996" s="122" t="s">
        <v>24</v>
      </c>
      <c r="B996" s="122"/>
      <c r="C996" s="122"/>
      <c r="D996" s="42">
        <v>5</v>
      </c>
      <c r="E996" s="117" t="s">
        <v>40</v>
      </c>
      <c r="F996" s="117"/>
      <c r="G996" s="117"/>
      <c r="H996" s="42">
        <v>11</v>
      </c>
      <c r="I996" s="118" t="s">
        <v>27</v>
      </c>
      <c r="J996" s="118"/>
      <c r="K996" s="118" t="s">
        <v>21</v>
      </c>
      <c r="L996" s="118"/>
      <c r="M996" s="118"/>
    </row>
    <row r="997" spans="1:13" ht="45">
      <c r="A997" s="3" t="s">
        <v>9</v>
      </c>
      <c r="B997" s="3" t="s">
        <v>10</v>
      </c>
      <c r="C997" s="3" t="s">
        <v>11</v>
      </c>
      <c r="D997" s="3" t="s">
        <v>3</v>
      </c>
      <c r="E997" s="4" t="s">
        <v>41</v>
      </c>
      <c r="F997" s="4" t="s">
        <v>12</v>
      </c>
      <c r="G997" s="3" t="s">
        <v>13</v>
      </c>
      <c r="H997" s="3" t="s">
        <v>14</v>
      </c>
      <c r="I997" s="3" t="s">
        <v>1103</v>
      </c>
      <c r="J997" s="3" t="s">
        <v>16</v>
      </c>
      <c r="K997" s="3" t="s">
        <v>17</v>
      </c>
      <c r="L997" s="3" t="s">
        <v>18</v>
      </c>
      <c r="M997" s="3" t="s">
        <v>19</v>
      </c>
    </row>
    <row r="998" spans="1:13">
      <c r="A998" s="18">
        <v>1</v>
      </c>
      <c r="B998" s="111" t="s">
        <v>1102</v>
      </c>
      <c r="C998" s="18"/>
      <c r="D998" s="18">
        <v>1</v>
      </c>
      <c r="E998" s="20">
        <v>5368</v>
      </c>
      <c r="F998" s="20">
        <v>120</v>
      </c>
      <c r="G998" s="18"/>
      <c r="H998" s="18">
        <v>1</v>
      </c>
      <c r="I998" s="21" t="s">
        <v>1207</v>
      </c>
      <c r="J998" s="18">
        <v>1</v>
      </c>
      <c r="K998" s="18">
        <v>986</v>
      </c>
      <c r="L998" s="136" t="s">
        <v>873</v>
      </c>
      <c r="M998" s="137"/>
    </row>
    <row r="999" spans="1:13">
      <c r="A999" s="18"/>
      <c r="B999" s="113"/>
      <c r="C999" s="18"/>
      <c r="D999" s="18"/>
      <c r="E999" s="20"/>
      <c r="F999" s="20"/>
      <c r="G999" s="18"/>
      <c r="H999" s="18">
        <v>1</v>
      </c>
      <c r="I999" s="21" t="s">
        <v>1189</v>
      </c>
      <c r="J999" s="18">
        <v>1</v>
      </c>
      <c r="K999" s="18">
        <v>736</v>
      </c>
      <c r="L999" s="173"/>
      <c r="M999" s="174"/>
    </row>
    <row r="1000" spans="1:13">
      <c r="A1000" s="18"/>
      <c r="B1000" s="113"/>
      <c r="C1000" s="18"/>
      <c r="D1000" s="18"/>
      <c r="E1000" s="20"/>
      <c r="F1000" s="20"/>
      <c r="G1000" s="18"/>
      <c r="H1000" s="18">
        <v>1</v>
      </c>
      <c r="I1000" s="21" t="s">
        <v>1210</v>
      </c>
      <c r="J1000" s="18">
        <v>1</v>
      </c>
      <c r="K1000" s="18">
        <v>536</v>
      </c>
      <c r="L1000" s="173"/>
      <c r="M1000" s="174"/>
    </row>
    <row r="1001" spans="1:13">
      <c r="A1001" s="18"/>
      <c r="B1001" s="113"/>
      <c r="C1001" s="18"/>
      <c r="D1001" s="18"/>
      <c r="E1001" s="20"/>
      <c r="F1001" s="20"/>
      <c r="G1001" s="18"/>
      <c r="H1001" s="18">
        <v>1</v>
      </c>
      <c r="I1001" s="21" t="s">
        <v>1192</v>
      </c>
      <c r="J1001" s="18">
        <v>1</v>
      </c>
      <c r="K1001" s="18">
        <v>198</v>
      </c>
      <c r="L1001" s="173"/>
      <c r="M1001" s="174"/>
    </row>
    <row r="1002" spans="1:13">
      <c r="A1002" s="18"/>
      <c r="B1002" s="113"/>
      <c r="C1002" s="18"/>
      <c r="D1002" s="18"/>
      <c r="E1002" s="20"/>
      <c r="F1002" s="20"/>
      <c r="G1002" s="18"/>
      <c r="H1002" s="18">
        <v>1</v>
      </c>
      <c r="I1002" s="21" t="s">
        <v>1193</v>
      </c>
      <c r="J1002" s="18">
        <v>1</v>
      </c>
      <c r="K1002" s="18">
        <v>198</v>
      </c>
      <c r="L1002" s="173"/>
      <c r="M1002" s="174"/>
    </row>
    <row r="1003" spans="1:13">
      <c r="A1003" s="18"/>
      <c r="B1003" s="113"/>
      <c r="C1003" s="18"/>
      <c r="D1003" s="18"/>
      <c r="E1003" s="20"/>
      <c r="F1003" s="20"/>
      <c r="G1003" s="18"/>
      <c r="H1003" s="18">
        <v>1</v>
      </c>
      <c r="I1003" s="21" t="s">
        <v>1194</v>
      </c>
      <c r="J1003" s="18">
        <v>1</v>
      </c>
      <c r="K1003" s="18">
        <v>198</v>
      </c>
      <c r="L1003" s="173"/>
      <c r="M1003" s="174"/>
    </row>
    <row r="1004" spans="1:13">
      <c r="A1004" s="18"/>
      <c r="B1004" s="113"/>
      <c r="C1004" s="18"/>
      <c r="D1004" s="18"/>
      <c r="E1004" s="20"/>
      <c r="F1004" s="20"/>
      <c r="G1004" s="18"/>
      <c r="H1004" s="18">
        <v>1</v>
      </c>
      <c r="I1004" s="21" t="s">
        <v>1195</v>
      </c>
      <c r="J1004" s="18">
        <v>1</v>
      </c>
      <c r="K1004" s="18">
        <v>198</v>
      </c>
      <c r="L1004" s="173"/>
      <c r="M1004" s="174"/>
    </row>
    <row r="1005" spans="1:13">
      <c r="A1005" s="18"/>
      <c r="B1005" s="113"/>
      <c r="C1005" s="18"/>
      <c r="D1005" s="18"/>
      <c r="E1005" s="20"/>
      <c r="F1005" s="20"/>
      <c r="G1005" s="18"/>
      <c r="H1005" s="18">
        <v>1</v>
      </c>
      <c r="I1005" s="21" t="s">
        <v>1196</v>
      </c>
      <c r="J1005" s="18">
        <v>1</v>
      </c>
      <c r="K1005" s="18">
        <v>198</v>
      </c>
      <c r="L1005" s="173"/>
      <c r="M1005" s="174"/>
    </row>
    <row r="1006" spans="1:13">
      <c r="A1006" s="18"/>
      <c r="B1006" s="113"/>
      <c r="C1006" s="18"/>
      <c r="D1006" s="18"/>
      <c r="E1006" s="20"/>
      <c r="F1006" s="20"/>
      <c r="G1006" s="18"/>
      <c r="H1006" s="18">
        <v>1</v>
      </c>
      <c r="I1006" s="21" t="s">
        <v>1197</v>
      </c>
      <c r="J1006" s="18">
        <v>1</v>
      </c>
      <c r="K1006" s="18">
        <v>198</v>
      </c>
      <c r="L1006" s="173"/>
      <c r="M1006" s="174"/>
    </row>
    <row r="1007" spans="1:13">
      <c r="A1007" s="18"/>
      <c r="B1007" s="113"/>
      <c r="C1007" s="18"/>
      <c r="D1007" s="18"/>
      <c r="E1007" s="20"/>
      <c r="F1007" s="20"/>
      <c r="G1007" s="18"/>
      <c r="H1007" s="18">
        <v>1</v>
      </c>
      <c r="I1007" s="21" t="s">
        <v>1198</v>
      </c>
      <c r="J1007" s="18">
        <v>1</v>
      </c>
      <c r="K1007" s="18">
        <v>198</v>
      </c>
      <c r="L1007" s="173"/>
      <c r="M1007" s="174"/>
    </row>
    <row r="1008" spans="1:13">
      <c r="A1008" s="18"/>
      <c r="B1008" s="113"/>
      <c r="C1008" s="18"/>
      <c r="D1008" s="18"/>
      <c r="E1008" s="20"/>
      <c r="F1008" s="20"/>
      <c r="G1008" s="18"/>
      <c r="H1008" s="18">
        <v>1</v>
      </c>
      <c r="I1008" s="21" t="s">
        <v>1199</v>
      </c>
      <c r="J1008" s="18">
        <v>1</v>
      </c>
      <c r="K1008" s="18">
        <v>198</v>
      </c>
      <c r="L1008" s="173"/>
      <c r="M1008" s="174"/>
    </row>
    <row r="1009" spans="1:13">
      <c r="A1009" s="18"/>
      <c r="B1009" s="113"/>
      <c r="C1009" s="18"/>
      <c r="D1009" s="18"/>
      <c r="E1009" s="20"/>
      <c r="F1009" s="20"/>
      <c r="G1009" s="18"/>
      <c r="H1009" s="18">
        <v>1</v>
      </c>
      <c r="I1009" s="21" t="s">
        <v>1200</v>
      </c>
      <c r="J1009" s="18">
        <v>1</v>
      </c>
      <c r="K1009" s="18">
        <v>198</v>
      </c>
      <c r="L1009" s="173"/>
      <c r="M1009" s="174"/>
    </row>
    <row r="1010" spans="1:13">
      <c r="A1010" s="18"/>
      <c r="B1010" s="113"/>
      <c r="C1010" s="18"/>
      <c r="D1010" s="18"/>
      <c r="E1010" s="20"/>
      <c r="F1010" s="20"/>
      <c r="G1010" s="18"/>
      <c r="H1010" s="18">
        <v>1</v>
      </c>
      <c r="I1010" s="21" t="s">
        <v>1201</v>
      </c>
      <c r="J1010" s="18">
        <v>1</v>
      </c>
      <c r="K1010" s="18">
        <v>198</v>
      </c>
      <c r="L1010" s="173"/>
      <c r="M1010" s="174"/>
    </row>
    <row r="1011" spans="1:13">
      <c r="A1011" s="18"/>
      <c r="B1011" s="113"/>
      <c r="C1011" s="18"/>
      <c r="D1011" s="18"/>
      <c r="E1011" s="20"/>
      <c r="F1011" s="20"/>
      <c r="G1011" s="18"/>
      <c r="H1011" s="18">
        <v>1</v>
      </c>
      <c r="I1011" s="21" t="s">
        <v>1202</v>
      </c>
      <c r="J1011" s="18">
        <v>1</v>
      </c>
      <c r="K1011" s="18">
        <v>198</v>
      </c>
      <c r="L1011" s="173"/>
      <c r="M1011" s="174"/>
    </row>
    <row r="1012" spans="1:13">
      <c r="A1012" s="18"/>
      <c r="B1012" s="113"/>
      <c r="C1012" s="18"/>
      <c r="D1012" s="18"/>
      <c r="E1012" s="20"/>
      <c r="F1012" s="20"/>
      <c r="G1012" s="18"/>
      <c r="H1012" s="18">
        <v>1</v>
      </c>
      <c r="I1012" s="21" t="s">
        <v>1203</v>
      </c>
      <c r="J1012" s="18">
        <v>1</v>
      </c>
      <c r="K1012" s="18">
        <v>198</v>
      </c>
      <c r="L1012" s="173"/>
      <c r="M1012" s="174"/>
    </row>
    <row r="1013" spans="1:13">
      <c r="A1013" s="5"/>
      <c r="B1013" s="113"/>
      <c r="C1013" s="5"/>
      <c r="D1013" s="5"/>
      <c r="E1013" s="6"/>
      <c r="F1013" s="6"/>
      <c r="G1013" s="5"/>
      <c r="H1013" s="5">
        <v>1</v>
      </c>
      <c r="I1013" s="7" t="s">
        <v>1204</v>
      </c>
      <c r="J1013" s="5">
        <v>1</v>
      </c>
      <c r="K1013" s="5">
        <v>198</v>
      </c>
      <c r="L1013" s="173"/>
      <c r="M1013" s="174"/>
    </row>
    <row r="1014" spans="1:13">
      <c r="A1014" s="18">
        <v>2</v>
      </c>
      <c r="B1014" s="113"/>
      <c r="C1014" s="18"/>
      <c r="D1014" s="18">
        <v>1</v>
      </c>
      <c r="E1014" s="20">
        <v>500</v>
      </c>
      <c r="F1014" s="20">
        <v>73</v>
      </c>
      <c r="G1014" s="18"/>
      <c r="H1014" s="18">
        <v>1</v>
      </c>
      <c r="I1014" s="21" t="s">
        <v>1209</v>
      </c>
      <c r="J1014" s="18">
        <v>1</v>
      </c>
      <c r="K1014" s="18">
        <v>401</v>
      </c>
      <c r="L1014" s="173"/>
      <c r="M1014" s="174"/>
    </row>
    <row r="1015" spans="1:13">
      <c r="A1015" s="18">
        <v>3</v>
      </c>
      <c r="B1015" s="112"/>
      <c r="C1015" s="18"/>
      <c r="D1015" s="18">
        <v>1</v>
      </c>
      <c r="E1015" s="20">
        <v>240</v>
      </c>
      <c r="F1015" s="20">
        <v>16</v>
      </c>
      <c r="G1015" s="18"/>
      <c r="H1015" s="18">
        <v>1</v>
      </c>
      <c r="I1015" s="21" t="s">
        <v>1190</v>
      </c>
      <c r="J1015" s="18">
        <v>1</v>
      </c>
      <c r="K1015" s="18">
        <v>198</v>
      </c>
      <c r="L1015" s="138"/>
      <c r="M1015" s="139"/>
    </row>
    <row r="1016" spans="1:13">
      <c r="A1016" s="18">
        <v>4</v>
      </c>
      <c r="B1016" s="111" t="s">
        <v>1102</v>
      </c>
      <c r="C1016" s="18"/>
      <c r="D1016" s="18">
        <v>1</v>
      </c>
      <c r="E1016" s="20">
        <v>11500</v>
      </c>
      <c r="F1016" s="20">
        <v>152</v>
      </c>
      <c r="G1016" s="18"/>
      <c r="H1016" s="18">
        <v>1</v>
      </c>
      <c r="I1016" s="21" t="s">
        <v>1095</v>
      </c>
      <c r="J1016" s="18">
        <v>1</v>
      </c>
      <c r="K1016" s="18">
        <v>8936</v>
      </c>
      <c r="L1016" s="22"/>
      <c r="M1016" s="18"/>
    </row>
    <row r="1017" spans="1:13">
      <c r="A1017" s="18"/>
      <c r="B1017" s="113"/>
      <c r="C1017" s="18"/>
      <c r="D1017" s="18"/>
      <c r="E1017" s="20"/>
      <c r="F1017" s="20"/>
      <c r="G1017" s="18"/>
      <c r="H1017" s="18">
        <v>1</v>
      </c>
      <c r="I1017" s="21" t="s">
        <v>1097</v>
      </c>
      <c r="J1017" s="18">
        <v>1</v>
      </c>
      <c r="K1017" s="18">
        <v>2136</v>
      </c>
      <c r="L1017" s="22"/>
      <c r="M1017" s="18"/>
    </row>
    <row r="1018" spans="1:13">
      <c r="A1018" s="18"/>
      <c r="B1018" s="113"/>
      <c r="C1018" s="18"/>
      <c r="D1018" s="18"/>
      <c r="E1018" s="20"/>
      <c r="F1018" s="20"/>
      <c r="G1018" s="18"/>
      <c r="H1018" s="18">
        <v>1</v>
      </c>
      <c r="I1018" s="21" t="s">
        <v>1191</v>
      </c>
      <c r="J1018" s="18">
        <v>1</v>
      </c>
      <c r="K1018" s="18">
        <v>198</v>
      </c>
      <c r="L1018" s="22"/>
      <c r="M1018" s="18"/>
    </row>
    <row r="1019" spans="1:13">
      <c r="A1019" s="18">
        <v>5</v>
      </c>
      <c r="B1019" s="113"/>
      <c r="C1019" s="18"/>
      <c r="D1019" s="18">
        <v>1</v>
      </c>
      <c r="E1019" s="20">
        <v>11500</v>
      </c>
      <c r="F1019" s="20">
        <v>93</v>
      </c>
      <c r="G1019" s="18"/>
      <c r="H1019" s="18">
        <v>1</v>
      </c>
      <c r="I1019" s="21" t="s">
        <v>1212</v>
      </c>
      <c r="J1019" s="18">
        <v>1</v>
      </c>
      <c r="K1019" s="18">
        <v>7796</v>
      </c>
      <c r="L1019" s="22"/>
      <c r="M1019" s="18"/>
    </row>
    <row r="1020" spans="1:13">
      <c r="A1020" s="18"/>
      <c r="B1020" s="113"/>
      <c r="C1020" s="18"/>
      <c r="D1020" s="18"/>
      <c r="E1020" s="20"/>
      <c r="F1020" s="20"/>
      <c r="G1020" s="18"/>
      <c r="H1020" s="18">
        <v>1</v>
      </c>
      <c r="I1020" s="21" t="s">
        <v>1213</v>
      </c>
      <c r="J1020" s="18">
        <v>1</v>
      </c>
      <c r="K1020" s="18">
        <v>3559</v>
      </c>
      <c r="L1020" s="22"/>
      <c r="M1020" s="18"/>
    </row>
    <row r="1021" spans="1:13">
      <c r="A1021" s="18">
        <v>6</v>
      </c>
      <c r="B1021" s="113"/>
      <c r="C1021" s="18"/>
      <c r="D1021" s="18">
        <v>1</v>
      </c>
      <c r="E1021" s="20">
        <v>11500</v>
      </c>
      <c r="F1021" s="20">
        <v>3248</v>
      </c>
      <c r="G1021" s="18"/>
      <c r="H1021" s="18">
        <v>1</v>
      </c>
      <c r="I1021" s="21" t="s">
        <v>1214</v>
      </c>
      <c r="J1021" s="18">
        <v>1</v>
      </c>
      <c r="K1021" s="18">
        <v>4306</v>
      </c>
      <c r="L1021" s="22"/>
      <c r="M1021" s="18"/>
    </row>
    <row r="1022" spans="1:13">
      <c r="A1022" s="18"/>
      <c r="B1022" s="113"/>
      <c r="C1022" s="18"/>
      <c r="D1022" s="18"/>
      <c r="E1022" s="20"/>
      <c r="F1022" s="20"/>
      <c r="G1022" s="18"/>
      <c r="H1022" s="18">
        <v>1</v>
      </c>
      <c r="I1022" s="21" t="s">
        <v>1096</v>
      </c>
      <c r="J1022" s="18">
        <v>1</v>
      </c>
      <c r="K1022" s="18">
        <v>3446</v>
      </c>
      <c r="L1022" s="22"/>
      <c r="M1022" s="18"/>
    </row>
    <row r="1023" spans="1:13">
      <c r="A1023" s="18"/>
      <c r="B1023" s="113"/>
      <c r="C1023" s="18"/>
      <c r="D1023" s="18"/>
      <c r="E1023" s="20"/>
      <c r="F1023" s="20"/>
      <c r="G1023" s="18"/>
      <c r="H1023" s="18">
        <v>1</v>
      </c>
      <c r="I1023" s="21" t="s">
        <v>1205</v>
      </c>
      <c r="J1023" s="18">
        <v>1</v>
      </c>
      <c r="K1023" s="18">
        <v>198</v>
      </c>
      <c r="L1023" s="22"/>
      <c r="M1023" s="18"/>
    </row>
    <row r="1024" spans="1:13">
      <c r="A1024" s="18"/>
      <c r="B1024" s="113"/>
      <c r="C1024" s="18"/>
      <c r="D1024" s="18"/>
      <c r="E1024" s="20"/>
      <c r="F1024" s="20"/>
      <c r="G1024" s="18"/>
      <c r="H1024" s="18">
        <v>1</v>
      </c>
      <c r="I1024" s="21" t="s">
        <v>1206</v>
      </c>
      <c r="J1024" s="18">
        <v>1</v>
      </c>
      <c r="K1024" s="18">
        <v>198</v>
      </c>
      <c r="L1024" s="22"/>
      <c r="M1024" s="18"/>
    </row>
    <row r="1025" spans="1:13">
      <c r="A1025" s="18">
        <v>7</v>
      </c>
      <c r="B1025" s="113"/>
      <c r="C1025" s="18"/>
      <c r="D1025" s="18">
        <v>1</v>
      </c>
      <c r="E1025" s="20">
        <v>11500</v>
      </c>
      <c r="F1025" s="20"/>
      <c r="G1025" s="18"/>
      <c r="H1025" s="18">
        <v>1</v>
      </c>
      <c r="I1025" s="21" t="s">
        <v>1094</v>
      </c>
      <c r="J1025" s="18">
        <v>1</v>
      </c>
      <c r="K1025" s="18">
        <v>11500</v>
      </c>
      <c r="L1025" s="22"/>
      <c r="M1025" s="18"/>
    </row>
    <row r="1026" spans="1:13">
      <c r="A1026" s="18">
        <v>8</v>
      </c>
      <c r="B1026" s="112"/>
      <c r="C1026" s="18"/>
      <c r="D1026" s="18">
        <v>1</v>
      </c>
      <c r="E1026" s="20">
        <v>11500</v>
      </c>
      <c r="F1026" s="20"/>
      <c r="G1026" s="18"/>
      <c r="H1026" s="18">
        <v>1</v>
      </c>
      <c r="I1026" s="21" t="s">
        <v>1211</v>
      </c>
      <c r="J1026" s="18">
        <v>1</v>
      </c>
      <c r="K1026" s="18">
        <v>11500</v>
      </c>
      <c r="L1026" s="22"/>
      <c r="M1026" s="18"/>
    </row>
    <row r="1027" spans="1:13">
      <c r="A1027" s="18"/>
      <c r="B1027" s="68"/>
      <c r="C1027" s="18"/>
      <c r="D1027" s="18"/>
      <c r="E1027" s="20"/>
      <c r="F1027" s="20"/>
      <c r="G1027" s="18"/>
      <c r="H1027" s="18"/>
      <c r="I1027" s="21"/>
      <c r="J1027" s="18"/>
      <c r="K1027" s="18"/>
      <c r="L1027" s="22"/>
      <c r="M1027" s="18"/>
    </row>
    <row r="1028" spans="1:13">
      <c r="A1028" s="131" t="s">
        <v>1101</v>
      </c>
      <c r="B1028" s="132"/>
      <c r="C1028" s="132"/>
      <c r="D1028" s="132"/>
      <c r="E1028" s="132"/>
      <c r="F1028" s="132"/>
      <c r="G1028" s="132"/>
      <c r="H1028" s="132"/>
      <c r="I1028" s="132"/>
      <c r="J1028" s="132"/>
      <c r="K1028" s="132"/>
      <c r="L1028" s="132"/>
      <c r="M1028" s="133"/>
    </row>
    <row r="1029" spans="1:13">
      <c r="A1029" s="117" t="s">
        <v>4</v>
      </c>
      <c r="B1029" s="117"/>
      <c r="C1029" s="117"/>
      <c r="D1029" s="117"/>
      <c r="E1029" s="117"/>
      <c r="F1029" s="117"/>
      <c r="G1029" s="117"/>
      <c r="H1029" s="117"/>
      <c r="I1029" s="118" t="s">
        <v>8</v>
      </c>
      <c r="J1029" s="118"/>
      <c r="K1029" s="89" t="s">
        <v>70</v>
      </c>
      <c r="L1029" s="119"/>
      <c r="M1029" s="120"/>
    </row>
    <row r="1030" spans="1:13">
      <c r="A1030" s="117"/>
      <c r="B1030" s="117"/>
      <c r="C1030" s="117"/>
      <c r="D1030" s="117"/>
      <c r="E1030" s="117"/>
      <c r="F1030" s="117"/>
      <c r="G1030" s="117"/>
      <c r="H1030" s="117"/>
      <c r="I1030" s="118" t="s">
        <v>25</v>
      </c>
      <c r="J1030" s="118"/>
      <c r="K1030" s="121" t="s">
        <v>770</v>
      </c>
      <c r="L1030" s="118"/>
      <c r="M1030" s="118"/>
    </row>
    <row r="1031" spans="1:13">
      <c r="A1031" s="117"/>
      <c r="B1031" s="117"/>
      <c r="C1031" s="117"/>
      <c r="D1031" s="117"/>
      <c r="E1031" s="117"/>
      <c r="F1031" s="117"/>
      <c r="G1031" s="117"/>
      <c r="H1031" s="117"/>
      <c r="I1031" s="87" t="s">
        <v>26</v>
      </c>
      <c r="J1031" s="88"/>
      <c r="K1031" s="95" t="s">
        <v>1089</v>
      </c>
      <c r="L1031" s="104"/>
      <c r="M1031" s="88"/>
    </row>
    <row r="1032" spans="1:13">
      <c r="A1032" s="118" t="s">
        <v>31</v>
      </c>
      <c r="B1032" s="118"/>
      <c r="C1032" s="118" t="s">
        <v>32</v>
      </c>
      <c r="D1032" s="118"/>
      <c r="E1032" s="118"/>
      <c r="F1032" s="118"/>
      <c r="G1032" s="118"/>
      <c r="H1032" s="118"/>
      <c r="I1032" s="40" t="s">
        <v>29</v>
      </c>
      <c r="J1032" s="41"/>
      <c r="K1032" s="118" t="s">
        <v>774</v>
      </c>
      <c r="L1032" s="118"/>
      <c r="M1032" s="118"/>
    </row>
    <row r="1033" spans="1:13">
      <c r="A1033" s="118"/>
      <c r="B1033" s="118"/>
      <c r="C1033" s="118"/>
      <c r="D1033" s="118"/>
      <c r="E1033" s="118"/>
      <c r="F1033" s="118"/>
      <c r="G1033" s="118"/>
      <c r="H1033" s="118"/>
      <c r="I1033" s="118" t="s">
        <v>30</v>
      </c>
      <c r="J1033" s="118"/>
      <c r="K1033" s="118" t="s">
        <v>1090</v>
      </c>
      <c r="L1033" s="118"/>
      <c r="M1033" s="118"/>
    </row>
    <row r="1034" spans="1:13">
      <c r="A1034" s="122" t="s">
        <v>24</v>
      </c>
      <c r="B1034" s="122"/>
      <c r="C1034" s="122"/>
      <c r="D1034" s="42">
        <v>1</v>
      </c>
      <c r="E1034" s="117" t="s">
        <v>40</v>
      </c>
      <c r="F1034" s="117"/>
      <c r="G1034" s="117"/>
      <c r="H1034" s="42">
        <v>1</v>
      </c>
      <c r="I1034" s="118" t="s">
        <v>27</v>
      </c>
      <c r="J1034" s="118"/>
      <c r="K1034" s="118" t="s">
        <v>1091</v>
      </c>
      <c r="L1034" s="118"/>
      <c r="M1034" s="118"/>
    </row>
    <row r="1035" spans="1:13" ht="45">
      <c r="A1035" s="3" t="s">
        <v>9</v>
      </c>
      <c r="B1035" s="3" t="s">
        <v>10</v>
      </c>
      <c r="C1035" s="3" t="s">
        <v>11</v>
      </c>
      <c r="D1035" s="3" t="s">
        <v>3</v>
      </c>
      <c r="E1035" s="4" t="s">
        <v>41</v>
      </c>
      <c r="F1035" s="4" t="s">
        <v>12</v>
      </c>
      <c r="G1035" s="3" t="s">
        <v>13</v>
      </c>
      <c r="H1035" s="3" t="s">
        <v>14</v>
      </c>
      <c r="I1035" s="3" t="s">
        <v>15</v>
      </c>
      <c r="J1035" s="3" t="s">
        <v>16</v>
      </c>
      <c r="K1035" s="3" t="s">
        <v>17</v>
      </c>
      <c r="L1035" s="3" t="s">
        <v>18</v>
      </c>
      <c r="M1035" s="3" t="s">
        <v>19</v>
      </c>
    </row>
    <row r="1036" spans="1:13">
      <c r="A1036" s="18">
        <v>1</v>
      </c>
      <c r="B1036" s="111" t="s">
        <v>1092</v>
      </c>
      <c r="C1036" s="18"/>
      <c r="D1036" s="18">
        <v>1</v>
      </c>
      <c r="E1036" s="20">
        <v>11500</v>
      </c>
      <c r="F1036" s="20"/>
      <c r="G1036" s="18"/>
      <c r="H1036" s="18">
        <v>1</v>
      </c>
      <c r="I1036" s="21" t="s">
        <v>1088</v>
      </c>
      <c r="J1036" s="18">
        <v>1</v>
      </c>
      <c r="K1036" s="18">
        <v>11500</v>
      </c>
      <c r="L1036" s="22"/>
      <c r="M1036" s="18"/>
    </row>
    <row r="1037" spans="1:13">
      <c r="A1037" s="18"/>
      <c r="B1037" s="112"/>
      <c r="C1037" s="18"/>
      <c r="D1037" s="18"/>
      <c r="E1037" s="20"/>
      <c r="F1037" s="20"/>
      <c r="G1037" s="18"/>
      <c r="H1037" s="18"/>
      <c r="I1037" s="21"/>
      <c r="J1037" s="18"/>
      <c r="K1037" s="18"/>
      <c r="L1037" s="22"/>
      <c r="M1037" s="18"/>
    </row>
    <row r="1038" spans="1:13">
      <c r="A1038" s="117" t="s">
        <v>4</v>
      </c>
      <c r="B1038" s="117"/>
      <c r="C1038" s="117"/>
      <c r="D1038" s="117"/>
      <c r="E1038" s="117"/>
      <c r="F1038" s="117"/>
      <c r="G1038" s="117"/>
      <c r="H1038" s="117"/>
      <c r="I1038" s="118" t="s">
        <v>8</v>
      </c>
      <c r="J1038" s="118"/>
      <c r="K1038" s="89" t="s">
        <v>70</v>
      </c>
      <c r="L1038" s="119"/>
      <c r="M1038" s="120"/>
    </row>
    <row r="1039" spans="1:13">
      <c r="A1039" s="117"/>
      <c r="B1039" s="117"/>
      <c r="C1039" s="117"/>
      <c r="D1039" s="117"/>
      <c r="E1039" s="117"/>
      <c r="F1039" s="117"/>
      <c r="G1039" s="117"/>
      <c r="H1039" s="117"/>
      <c r="I1039" s="118" t="s">
        <v>25</v>
      </c>
      <c r="J1039" s="118"/>
      <c r="K1039" s="121" t="s">
        <v>770</v>
      </c>
      <c r="L1039" s="118"/>
      <c r="M1039" s="118"/>
    </row>
    <row r="1040" spans="1:13">
      <c r="A1040" s="117"/>
      <c r="B1040" s="117"/>
      <c r="C1040" s="117"/>
      <c r="D1040" s="117"/>
      <c r="E1040" s="117"/>
      <c r="F1040" s="117"/>
      <c r="G1040" s="117"/>
      <c r="H1040" s="117"/>
      <c r="I1040" s="87" t="s">
        <v>26</v>
      </c>
      <c r="J1040" s="88"/>
      <c r="K1040" s="95" t="s">
        <v>672</v>
      </c>
      <c r="L1040" s="104"/>
      <c r="M1040" s="88"/>
    </row>
    <row r="1041" spans="1:13">
      <c r="A1041" s="118" t="s">
        <v>31</v>
      </c>
      <c r="B1041" s="118"/>
      <c r="C1041" s="118" t="s">
        <v>32</v>
      </c>
      <c r="D1041" s="118"/>
      <c r="E1041" s="118"/>
      <c r="F1041" s="118"/>
      <c r="G1041" s="118"/>
      <c r="H1041" s="118"/>
      <c r="I1041" s="40" t="s">
        <v>29</v>
      </c>
      <c r="J1041" s="41"/>
      <c r="K1041" s="118" t="s">
        <v>774</v>
      </c>
      <c r="L1041" s="118"/>
      <c r="M1041" s="118"/>
    </row>
    <row r="1042" spans="1:13">
      <c r="A1042" s="118"/>
      <c r="B1042" s="118"/>
      <c r="C1042" s="118"/>
      <c r="D1042" s="118"/>
      <c r="E1042" s="118"/>
      <c r="F1042" s="118"/>
      <c r="G1042" s="118"/>
      <c r="H1042" s="118"/>
      <c r="I1042" s="118" t="s">
        <v>30</v>
      </c>
      <c r="J1042" s="118"/>
      <c r="K1042" s="118" t="s">
        <v>1086</v>
      </c>
      <c r="L1042" s="118"/>
      <c r="M1042" s="118"/>
    </row>
    <row r="1043" spans="1:13">
      <c r="A1043" s="122" t="s">
        <v>24</v>
      </c>
      <c r="B1043" s="122"/>
      <c r="C1043" s="122"/>
      <c r="D1043" s="42">
        <v>1</v>
      </c>
      <c r="E1043" s="117" t="s">
        <v>40</v>
      </c>
      <c r="F1043" s="117"/>
      <c r="G1043" s="117"/>
      <c r="H1043" s="42">
        <v>2</v>
      </c>
      <c r="I1043" s="118" t="s">
        <v>27</v>
      </c>
      <c r="J1043" s="118"/>
      <c r="K1043" s="118" t="s">
        <v>21</v>
      </c>
      <c r="L1043" s="118"/>
      <c r="M1043" s="118"/>
    </row>
    <row r="1044" spans="1:13" ht="45">
      <c r="A1044" s="3" t="s">
        <v>9</v>
      </c>
      <c r="B1044" s="3" t="s">
        <v>10</v>
      </c>
      <c r="C1044" s="3" t="s">
        <v>11</v>
      </c>
      <c r="D1044" s="3" t="s">
        <v>3</v>
      </c>
      <c r="E1044" s="4" t="s">
        <v>41</v>
      </c>
      <c r="F1044" s="4" t="s">
        <v>12</v>
      </c>
      <c r="G1044" s="3" t="s">
        <v>13</v>
      </c>
      <c r="H1044" s="3" t="s">
        <v>14</v>
      </c>
      <c r="I1044" s="3" t="s">
        <v>15</v>
      </c>
      <c r="J1044" s="3" t="s">
        <v>16</v>
      </c>
      <c r="K1044" s="3" t="s">
        <v>17</v>
      </c>
      <c r="L1044" s="3" t="s">
        <v>18</v>
      </c>
      <c r="M1044" s="3" t="s">
        <v>19</v>
      </c>
    </row>
    <row r="1045" spans="1:13">
      <c r="A1045" s="18">
        <v>1</v>
      </c>
      <c r="B1045" s="111" t="s">
        <v>1087</v>
      </c>
      <c r="C1045" s="18">
        <v>0</v>
      </c>
      <c r="D1045" s="18">
        <v>1</v>
      </c>
      <c r="E1045" s="20">
        <v>11500</v>
      </c>
      <c r="F1045" s="20">
        <v>10684</v>
      </c>
      <c r="G1045" s="18"/>
      <c r="H1045" s="18">
        <v>1</v>
      </c>
      <c r="I1045" s="21" t="s">
        <v>1085</v>
      </c>
      <c r="J1045" s="18">
        <v>1</v>
      </c>
      <c r="K1045" s="18">
        <v>668</v>
      </c>
      <c r="L1045" s="22"/>
      <c r="M1045" s="18"/>
    </row>
    <row r="1046" spans="1:13">
      <c r="A1046" s="18"/>
      <c r="B1046" s="112"/>
      <c r="C1046" s="18"/>
      <c r="D1046" s="18"/>
      <c r="E1046" s="20"/>
      <c r="F1046" s="20"/>
      <c r="G1046" s="18"/>
      <c r="H1046" s="18">
        <v>1</v>
      </c>
      <c r="I1046" s="21" t="s">
        <v>1084</v>
      </c>
      <c r="J1046" s="18">
        <v>1</v>
      </c>
      <c r="K1046" s="18">
        <v>96</v>
      </c>
      <c r="L1046" s="22"/>
      <c r="M1046" s="18"/>
    </row>
    <row r="1047" spans="1:13">
      <c r="A1047" s="18"/>
      <c r="B1047" s="18"/>
      <c r="C1047" s="18"/>
      <c r="D1047" s="18"/>
      <c r="E1047" s="20"/>
      <c r="F1047" s="20"/>
      <c r="G1047" s="18"/>
      <c r="H1047" s="18"/>
      <c r="I1047" s="21"/>
      <c r="J1047" s="18"/>
      <c r="K1047" s="18"/>
      <c r="L1047" s="22"/>
      <c r="M1047" s="18"/>
    </row>
    <row r="1048" spans="1:13">
      <c r="A1048" s="117" t="s">
        <v>4</v>
      </c>
      <c r="B1048" s="117"/>
      <c r="C1048" s="117"/>
      <c r="D1048" s="117"/>
      <c r="E1048" s="117"/>
      <c r="F1048" s="117"/>
      <c r="G1048" s="117"/>
      <c r="H1048" s="117"/>
      <c r="I1048" s="118" t="s">
        <v>8</v>
      </c>
      <c r="J1048" s="118"/>
      <c r="K1048" s="89" t="s">
        <v>70</v>
      </c>
      <c r="L1048" s="119"/>
      <c r="M1048" s="120"/>
    </row>
    <row r="1049" spans="1:13">
      <c r="A1049" s="117"/>
      <c r="B1049" s="117"/>
      <c r="C1049" s="117"/>
      <c r="D1049" s="117"/>
      <c r="E1049" s="117"/>
      <c r="F1049" s="117"/>
      <c r="G1049" s="117"/>
      <c r="H1049" s="117"/>
      <c r="I1049" s="118" t="s">
        <v>25</v>
      </c>
      <c r="J1049" s="118"/>
      <c r="K1049" s="121" t="s">
        <v>770</v>
      </c>
      <c r="L1049" s="118"/>
      <c r="M1049" s="118"/>
    </row>
    <row r="1050" spans="1:13">
      <c r="A1050" s="117"/>
      <c r="B1050" s="117"/>
      <c r="C1050" s="117"/>
      <c r="D1050" s="117"/>
      <c r="E1050" s="117"/>
      <c r="F1050" s="117"/>
      <c r="G1050" s="117"/>
      <c r="H1050" s="117"/>
      <c r="I1050" s="87" t="s">
        <v>26</v>
      </c>
      <c r="J1050" s="88"/>
      <c r="K1050" s="95" t="s">
        <v>1081</v>
      </c>
      <c r="L1050" s="104"/>
      <c r="M1050" s="88"/>
    </row>
    <row r="1051" spans="1:13">
      <c r="A1051" s="118" t="s">
        <v>31</v>
      </c>
      <c r="B1051" s="118"/>
      <c r="C1051" s="118" t="s">
        <v>32</v>
      </c>
      <c r="D1051" s="118"/>
      <c r="E1051" s="118"/>
      <c r="F1051" s="118"/>
      <c r="G1051" s="118"/>
      <c r="H1051" s="118"/>
      <c r="I1051" s="40" t="s">
        <v>29</v>
      </c>
      <c r="J1051" s="41"/>
      <c r="K1051" s="118" t="s">
        <v>774</v>
      </c>
      <c r="L1051" s="118"/>
      <c r="M1051" s="118"/>
    </row>
    <row r="1052" spans="1:13">
      <c r="A1052" s="118"/>
      <c r="B1052" s="118"/>
      <c r="C1052" s="118"/>
      <c r="D1052" s="118"/>
      <c r="E1052" s="118"/>
      <c r="F1052" s="118"/>
      <c r="G1052" s="118"/>
      <c r="H1052" s="118"/>
      <c r="I1052" s="118" t="s">
        <v>30</v>
      </c>
      <c r="J1052" s="118"/>
      <c r="K1052" s="118" t="s">
        <v>1082</v>
      </c>
      <c r="L1052" s="118"/>
      <c r="M1052" s="118"/>
    </row>
    <row r="1053" spans="1:13">
      <c r="A1053" s="122" t="s">
        <v>24</v>
      </c>
      <c r="B1053" s="122"/>
      <c r="C1053" s="122"/>
      <c r="D1053" s="42">
        <v>1</v>
      </c>
      <c r="E1053" s="117" t="s">
        <v>40</v>
      </c>
      <c r="F1053" s="117"/>
      <c r="G1053" s="117"/>
      <c r="H1053" s="42">
        <v>3</v>
      </c>
      <c r="I1053" s="118" t="s">
        <v>27</v>
      </c>
      <c r="J1053" s="118"/>
      <c r="K1053" s="118" t="s">
        <v>21</v>
      </c>
      <c r="L1053" s="118"/>
      <c r="M1053" s="118"/>
    </row>
    <row r="1054" spans="1:13" ht="45">
      <c r="A1054" s="3" t="s">
        <v>9</v>
      </c>
      <c r="B1054" s="3" t="s">
        <v>10</v>
      </c>
      <c r="C1054" s="3" t="s">
        <v>11</v>
      </c>
      <c r="D1054" s="3" t="s">
        <v>3</v>
      </c>
      <c r="E1054" s="4" t="s">
        <v>41</v>
      </c>
      <c r="F1054" s="4" t="s">
        <v>12</v>
      </c>
      <c r="G1054" s="3" t="s">
        <v>13</v>
      </c>
      <c r="H1054" s="3" t="s">
        <v>14</v>
      </c>
      <c r="I1054" s="3" t="s">
        <v>15</v>
      </c>
      <c r="J1054" s="3" t="s">
        <v>16</v>
      </c>
      <c r="K1054" s="3" t="s">
        <v>17</v>
      </c>
      <c r="L1054" s="3" t="s">
        <v>18</v>
      </c>
      <c r="M1054" s="3" t="s">
        <v>19</v>
      </c>
    </row>
    <row r="1055" spans="1:13">
      <c r="A1055" s="18">
        <v>1</v>
      </c>
      <c r="B1055" s="111" t="s">
        <v>1083</v>
      </c>
      <c r="C1055" s="18"/>
      <c r="D1055" s="18">
        <v>1</v>
      </c>
      <c r="E1055" s="20">
        <v>11500</v>
      </c>
      <c r="F1055" s="20">
        <v>9918</v>
      </c>
      <c r="G1055" s="18"/>
      <c r="H1055" s="18">
        <v>1</v>
      </c>
      <c r="I1055" s="21" t="s">
        <v>1079</v>
      </c>
      <c r="J1055" s="18">
        <v>1</v>
      </c>
      <c r="K1055" s="18">
        <v>696</v>
      </c>
      <c r="L1055" s="22"/>
      <c r="M1055" s="18"/>
    </row>
    <row r="1056" spans="1:13">
      <c r="A1056" s="18"/>
      <c r="B1056" s="113"/>
      <c r="C1056" s="18"/>
      <c r="D1056" s="18"/>
      <c r="E1056" s="20"/>
      <c r="F1056" s="20"/>
      <c r="G1056" s="18"/>
      <c r="H1056" s="18">
        <v>1</v>
      </c>
      <c r="I1056" s="21" t="s">
        <v>1080</v>
      </c>
      <c r="J1056" s="18">
        <v>1</v>
      </c>
      <c r="K1056" s="18">
        <v>609</v>
      </c>
      <c r="L1056" s="22"/>
      <c r="M1056" s="18"/>
    </row>
    <row r="1057" spans="1:13">
      <c r="A1057" s="18"/>
      <c r="B1057" s="112"/>
      <c r="C1057" s="18"/>
      <c r="D1057" s="18"/>
      <c r="E1057" s="20"/>
      <c r="F1057" s="20"/>
      <c r="G1057" s="18"/>
      <c r="H1057" s="18">
        <v>1</v>
      </c>
      <c r="I1057" s="21" t="s">
        <v>1078</v>
      </c>
      <c r="J1057" s="18">
        <v>1</v>
      </c>
      <c r="K1057" s="18">
        <v>199</v>
      </c>
      <c r="L1057" s="22"/>
      <c r="M1057" s="18"/>
    </row>
    <row r="1058" spans="1:13">
      <c r="A1058" s="18"/>
      <c r="B1058" s="24"/>
      <c r="C1058" s="18"/>
      <c r="D1058" s="18"/>
      <c r="E1058" s="20"/>
      <c r="F1058" s="20"/>
      <c r="G1058" s="18"/>
      <c r="H1058" s="18"/>
      <c r="I1058" s="21"/>
      <c r="J1058" s="18"/>
      <c r="K1058" s="18"/>
      <c r="L1058" s="22"/>
      <c r="M1058" s="18"/>
    </row>
    <row r="1059" spans="1:13">
      <c r="A1059" s="117" t="s">
        <v>4</v>
      </c>
      <c r="B1059" s="117"/>
      <c r="C1059" s="117"/>
      <c r="D1059" s="117"/>
      <c r="E1059" s="117"/>
      <c r="F1059" s="117"/>
      <c r="G1059" s="117"/>
      <c r="H1059" s="117"/>
      <c r="I1059" s="118" t="s">
        <v>8</v>
      </c>
      <c r="J1059" s="118"/>
      <c r="K1059" s="89" t="s">
        <v>70</v>
      </c>
      <c r="L1059" s="119"/>
      <c r="M1059" s="120"/>
    </row>
    <row r="1060" spans="1:13">
      <c r="A1060" s="117"/>
      <c r="B1060" s="117"/>
      <c r="C1060" s="117"/>
      <c r="D1060" s="117"/>
      <c r="E1060" s="117"/>
      <c r="F1060" s="117"/>
      <c r="G1060" s="117"/>
      <c r="H1060" s="117"/>
      <c r="I1060" s="118" t="s">
        <v>25</v>
      </c>
      <c r="J1060" s="118"/>
      <c r="K1060" s="121" t="s">
        <v>770</v>
      </c>
      <c r="L1060" s="118"/>
      <c r="M1060" s="118"/>
    </row>
    <row r="1061" spans="1:13">
      <c r="A1061" s="117"/>
      <c r="B1061" s="117"/>
      <c r="C1061" s="117"/>
      <c r="D1061" s="117"/>
      <c r="E1061" s="117"/>
      <c r="F1061" s="117"/>
      <c r="G1061" s="117"/>
      <c r="H1061" s="117"/>
      <c r="I1061" s="87" t="s">
        <v>26</v>
      </c>
      <c r="J1061" s="88"/>
      <c r="K1061" s="95" t="s">
        <v>1065</v>
      </c>
      <c r="L1061" s="104"/>
      <c r="M1061" s="88"/>
    </row>
    <row r="1062" spans="1:13">
      <c r="A1062" s="118" t="s">
        <v>31</v>
      </c>
      <c r="B1062" s="118"/>
      <c r="C1062" s="118" t="s">
        <v>32</v>
      </c>
      <c r="D1062" s="118"/>
      <c r="E1062" s="118"/>
      <c r="F1062" s="118"/>
      <c r="G1062" s="118"/>
      <c r="H1062" s="118"/>
      <c r="I1062" s="40" t="s">
        <v>29</v>
      </c>
      <c r="J1062" s="41"/>
      <c r="K1062" s="118" t="s">
        <v>774</v>
      </c>
      <c r="L1062" s="118"/>
      <c r="M1062" s="118"/>
    </row>
    <row r="1063" spans="1:13">
      <c r="A1063" s="118"/>
      <c r="B1063" s="118"/>
      <c r="C1063" s="118"/>
      <c r="D1063" s="118"/>
      <c r="E1063" s="118"/>
      <c r="F1063" s="118"/>
      <c r="G1063" s="118"/>
      <c r="H1063" s="118"/>
      <c r="I1063" s="118" t="s">
        <v>30</v>
      </c>
      <c r="J1063" s="118"/>
      <c r="K1063" s="118" t="s">
        <v>1066</v>
      </c>
      <c r="L1063" s="118"/>
      <c r="M1063" s="118"/>
    </row>
    <row r="1064" spans="1:13">
      <c r="A1064" s="122" t="s">
        <v>24</v>
      </c>
      <c r="B1064" s="122"/>
      <c r="C1064" s="122"/>
      <c r="D1064" s="42">
        <v>3</v>
      </c>
      <c r="E1064" s="117" t="s">
        <v>40</v>
      </c>
      <c r="F1064" s="117"/>
      <c r="G1064" s="117"/>
      <c r="H1064" s="42">
        <v>4</v>
      </c>
      <c r="I1064" s="118" t="s">
        <v>27</v>
      </c>
      <c r="J1064" s="118"/>
      <c r="K1064" s="118" t="s">
        <v>21</v>
      </c>
      <c r="L1064" s="118"/>
      <c r="M1064" s="118"/>
    </row>
    <row r="1065" spans="1:13" ht="45">
      <c r="A1065" s="3" t="s">
        <v>9</v>
      </c>
      <c r="B1065" s="3" t="s">
        <v>10</v>
      </c>
      <c r="C1065" s="3" t="s">
        <v>11</v>
      </c>
      <c r="D1065" s="3" t="s">
        <v>3</v>
      </c>
      <c r="E1065" s="4" t="s">
        <v>41</v>
      </c>
      <c r="F1065" s="4" t="s">
        <v>12</v>
      </c>
      <c r="G1065" s="3" t="s">
        <v>13</v>
      </c>
      <c r="H1065" s="3" t="s">
        <v>14</v>
      </c>
      <c r="I1065" s="3" t="s">
        <v>15</v>
      </c>
      <c r="J1065" s="3" t="s">
        <v>16</v>
      </c>
      <c r="K1065" s="3" t="s">
        <v>17</v>
      </c>
      <c r="L1065" s="3" t="s">
        <v>18</v>
      </c>
      <c r="M1065" s="3" t="s">
        <v>19</v>
      </c>
    </row>
    <row r="1066" spans="1:13">
      <c r="A1066" s="18">
        <v>1</v>
      </c>
      <c r="B1066" s="111" t="s">
        <v>1067</v>
      </c>
      <c r="C1066" s="18"/>
      <c r="D1066" s="18">
        <v>1</v>
      </c>
      <c r="E1066" s="20">
        <v>11500</v>
      </c>
      <c r="F1066" s="20">
        <v>10018</v>
      </c>
      <c r="G1066" s="18"/>
      <c r="H1066" s="18">
        <v>1</v>
      </c>
      <c r="I1066" s="21" t="s">
        <v>1064</v>
      </c>
      <c r="J1066" s="18">
        <v>1</v>
      </c>
      <c r="K1066" s="18">
        <v>739</v>
      </c>
      <c r="L1066" s="22"/>
      <c r="M1066" s="18"/>
    </row>
    <row r="1067" spans="1:13">
      <c r="A1067" s="18"/>
      <c r="B1067" s="113"/>
      <c r="C1067" s="18"/>
      <c r="D1067" s="18"/>
      <c r="E1067" s="20"/>
      <c r="F1067" s="20"/>
      <c r="G1067" s="18"/>
      <c r="H1067" s="18">
        <v>1</v>
      </c>
      <c r="I1067" s="21" t="s">
        <v>1061</v>
      </c>
      <c r="J1067" s="18">
        <v>1</v>
      </c>
      <c r="K1067" s="18">
        <v>691</v>
      </c>
      <c r="L1067" s="22"/>
      <c r="M1067" s="18"/>
    </row>
    <row r="1068" spans="1:13">
      <c r="A1068" s="18">
        <v>2</v>
      </c>
      <c r="B1068" s="113"/>
      <c r="C1068" s="18"/>
      <c r="D1068" s="18">
        <v>1</v>
      </c>
      <c r="E1068" s="20">
        <v>11500</v>
      </c>
      <c r="F1068" s="20"/>
      <c r="G1068" s="18"/>
      <c r="H1068" s="18">
        <v>1</v>
      </c>
      <c r="I1068" s="21" t="s">
        <v>1062</v>
      </c>
      <c r="J1068" s="18">
        <v>1</v>
      </c>
      <c r="K1068" s="18">
        <v>11500</v>
      </c>
      <c r="L1068" s="22"/>
      <c r="M1068" s="18"/>
    </row>
    <row r="1069" spans="1:13">
      <c r="A1069" s="18">
        <v>3</v>
      </c>
      <c r="B1069" s="112"/>
      <c r="C1069" s="18"/>
      <c r="D1069" s="18">
        <v>1</v>
      </c>
      <c r="E1069" s="20">
        <v>11500</v>
      </c>
      <c r="F1069" s="20"/>
      <c r="G1069" s="18"/>
      <c r="H1069" s="18">
        <v>1</v>
      </c>
      <c r="I1069" s="21" t="s">
        <v>1063</v>
      </c>
      <c r="J1069" s="18">
        <v>1</v>
      </c>
      <c r="K1069" s="18">
        <v>11500</v>
      </c>
      <c r="L1069" s="22"/>
      <c r="M1069" s="18"/>
    </row>
    <row r="1070" spans="1:13">
      <c r="A1070" s="18"/>
      <c r="B1070" s="18"/>
      <c r="C1070" s="18"/>
      <c r="D1070" s="18"/>
      <c r="E1070" s="20"/>
      <c r="F1070" s="20"/>
      <c r="G1070" s="18"/>
      <c r="H1070" s="18"/>
      <c r="I1070" s="21"/>
      <c r="J1070" s="18"/>
      <c r="K1070" s="18"/>
      <c r="L1070" s="22"/>
      <c r="M1070" s="18"/>
    </row>
    <row r="1071" spans="1:13">
      <c r="A1071" s="117" t="s">
        <v>4</v>
      </c>
      <c r="B1071" s="117"/>
      <c r="C1071" s="117"/>
      <c r="D1071" s="117"/>
      <c r="E1071" s="117"/>
      <c r="F1071" s="117"/>
      <c r="G1071" s="117"/>
      <c r="H1071" s="117"/>
      <c r="I1071" s="118" t="s">
        <v>8</v>
      </c>
      <c r="J1071" s="118"/>
      <c r="K1071" s="89" t="s">
        <v>70</v>
      </c>
      <c r="L1071" s="119"/>
      <c r="M1071" s="120"/>
    </row>
    <row r="1072" spans="1:13">
      <c r="A1072" s="117"/>
      <c r="B1072" s="117"/>
      <c r="C1072" s="117"/>
      <c r="D1072" s="117"/>
      <c r="E1072" s="117"/>
      <c r="F1072" s="117"/>
      <c r="G1072" s="117"/>
      <c r="H1072" s="117"/>
      <c r="I1072" s="118" t="s">
        <v>25</v>
      </c>
      <c r="J1072" s="118"/>
      <c r="K1072" s="121" t="s">
        <v>770</v>
      </c>
      <c r="L1072" s="118"/>
      <c r="M1072" s="118"/>
    </row>
    <row r="1073" spans="1:13">
      <c r="A1073" s="117"/>
      <c r="B1073" s="117"/>
      <c r="C1073" s="117"/>
      <c r="D1073" s="117"/>
      <c r="E1073" s="117"/>
      <c r="F1073" s="117"/>
      <c r="G1073" s="117"/>
      <c r="H1073" s="117"/>
      <c r="I1073" s="87" t="s">
        <v>26</v>
      </c>
      <c r="J1073" s="88"/>
      <c r="K1073" s="95" t="s">
        <v>1058</v>
      </c>
      <c r="L1073" s="104"/>
      <c r="M1073" s="88"/>
    </row>
    <row r="1074" spans="1:13">
      <c r="A1074" s="118" t="s">
        <v>31</v>
      </c>
      <c r="B1074" s="118"/>
      <c r="C1074" s="118" t="s">
        <v>32</v>
      </c>
      <c r="D1074" s="118"/>
      <c r="E1074" s="118"/>
      <c r="F1074" s="118"/>
      <c r="G1074" s="118"/>
      <c r="H1074" s="118"/>
      <c r="I1074" s="40" t="s">
        <v>29</v>
      </c>
      <c r="J1074" s="41"/>
      <c r="K1074" s="118" t="s">
        <v>774</v>
      </c>
      <c r="L1074" s="118"/>
      <c r="M1074" s="118"/>
    </row>
    <row r="1075" spans="1:13">
      <c r="A1075" s="118"/>
      <c r="B1075" s="118"/>
      <c r="C1075" s="118"/>
      <c r="D1075" s="118"/>
      <c r="E1075" s="118"/>
      <c r="F1075" s="118"/>
      <c r="G1075" s="118"/>
      <c r="H1075" s="118"/>
      <c r="I1075" s="118" t="s">
        <v>30</v>
      </c>
      <c r="J1075" s="118"/>
      <c r="K1075" s="118" t="s">
        <v>1059</v>
      </c>
      <c r="L1075" s="118"/>
      <c r="M1075" s="118"/>
    </row>
    <row r="1076" spans="1:13">
      <c r="A1076" s="122" t="s">
        <v>24</v>
      </c>
      <c r="B1076" s="122"/>
      <c r="C1076" s="122"/>
      <c r="D1076" s="42">
        <v>9</v>
      </c>
      <c r="E1076" s="117" t="s">
        <v>40</v>
      </c>
      <c r="F1076" s="117"/>
      <c r="G1076" s="117"/>
      <c r="H1076" s="42">
        <v>14</v>
      </c>
      <c r="I1076" s="118" t="s">
        <v>27</v>
      </c>
      <c r="J1076" s="118"/>
      <c r="K1076" s="118" t="s">
        <v>21</v>
      </c>
      <c r="L1076" s="118"/>
      <c r="M1076" s="118"/>
    </row>
    <row r="1077" spans="1:13" ht="45">
      <c r="A1077" s="3" t="s">
        <v>9</v>
      </c>
      <c r="B1077" s="3" t="s">
        <v>10</v>
      </c>
      <c r="C1077" s="3" t="s">
        <v>11</v>
      </c>
      <c r="D1077" s="3" t="s">
        <v>3</v>
      </c>
      <c r="E1077" s="4" t="s">
        <v>41</v>
      </c>
      <c r="F1077" s="4" t="s">
        <v>12</v>
      </c>
      <c r="G1077" s="3" t="s">
        <v>13</v>
      </c>
      <c r="H1077" s="3" t="s">
        <v>14</v>
      </c>
      <c r="I1077" s="3" t="s">
        <v>15</v>
      </c>
      <c r="J1077" s="3" t="s">
        <v>16</v>
      </c>
      <c r="K1077" s="3" t="s">
        <v>17</v>
      </c>
      <c r="L1077" s="3" t="s">
        <v>18</v>
      </c>
      <c r="M1077" s="3" t="s">
        <v>19</v>
      </c>
    </row>
    <row r="1078" spans="1:13">
      <c r="A1078" s="18">
        <v>1</v>
      </c>
      <c r="B1078" s="111" t="s">
        <v>1060</v>
      </c>
      <c r="C1078" s="18"/>
      <c r="D1078" s="18">
        <v>1</v>
      </c>
      <c r="E1078" s="20">
        <v>11500</v>
      </c>
      <c r="F1078" s="20">
        <v>266</v>
      </c>
      <c r="G1078" s="18"/>
      <c r="H1078" s="18">
        <v>1</v>
      </c>
      <c r="I1078" s="21" t="s">
        <v>1051</v>
      </c>
      <c r="J1078" s="18">
        <v>1</v>
      </c>
      <c r="K1078" s="18">
        <v>7491</v>
      </c>
      <c r="L1078" s="22"/>
      <c r="M1078" s="18"/>
    </row>
    <row r="1079" spans="1:13">
      <c r="A1079" s="18"/>
      <c r="B1079" s="113"/>
      <c r="C1079" s="18"/>
      <c r="D1079" s="18"/>
      <c r="E1079" s="20"/>
      <c r="F1079" s="20"/>
      <c r="G1079" s="18"/>
      <c r="H1079" s="18">
        <v>1</v>
      </c>
      <c r="I1079" s="21" t="s">
        <v>1073</v>
      </c>
      <c r="J1079" s="18">
        <v>1</v>
      </c>
      <c r="K1079" s="18">
        <v>3691</v>
      </c>
      <c r="L1079" s="22"/>
      <c r="M1079" s="18"/>
    </row>
    <row r="1080" spans="1:13">
      <c r="A1080" s="18">
        <v>2</v>
      </c>
      <c r="B1080" s="113"/>
      <c r="C1080" s="18"/>
      <c r="D1080" s="18">
        <v>1</v>
      </c>
      <c r="E1080" s="20">
        <v>11500</v>
      </c>
      <c r="F1080" s="20">
        <v>1330</v>
      </c>
      <c r="G1080" s="18"/>
      <c r="H1080" s="18">
        <v>1</v>
      </c>
      <c r="I1080" s="21" t="s">
        <v>1056</v>
      </c>
      <c r="J1080" s="18">
        <v>1</v>
      </c>
      <c r="K1080" s="18">
        <v>4397</v>
      </c>
      <c r="L1080" s="22"/>
      <c r="M1080" s="18"/>
    </row>
    <row r="1081" spans="1:13">
      <c r="A1081" s="18"/>
      <c r="B1081" s="113"/>
      <c r="C1081" s="18"/>
      <c r="D1081" s="18"/>
      <c r="E1081" s="20"/>
      <c r="F1081" s="20"/>
      <c r="G1081" s="18"/>
      <c r="H1081" s="18">
        <v>1</v>
      </c>
      <c r="I1081" s="21" t="s">
        <v>1053</v>
      </c>
      <c r="J1081" s="18">
        <v>1</v>
      </c>
      <c r="K1081" s="18">
        <v>4287</v>
      </c>
      <c r="L1081" s="22"/>
      <c r="M1081" s="18"/>
    </row>
    <row r="1082" spans="1:13">
      <c r="A1082" s="18"/>
      <c r="B1082" s="113"/>
      <c r="C1082" s="18"/>
      <c r="D1082" s="18"/>
      <c r="E1082" s="20"/>
      <c r="F1082" s="20"/>
      <c r="G1082" s="18"/>
      <c r="H1082" s="18">
        <v>1</v>
      </c>
      <c r="I1082" s="21" t="s">
        <v>1050</v>
      </c>
      <c r="J1082" s="18">
        <v>1</v>
      </c>
      <c r="K1082" s="18">
        <v>691</v>
      </c>
      <c r="L1082" s="22"/>
      <c r="M1082" s="18"/>
    </row>
    <row r="1083" spans="1:13">
      <c r="A1083" s="18"/>
      <c r="B1083" s="113"/>
      <c r="C1083" s="18"/>
      <c r="D1083" s="18"/>
      <c r="E1083" s="20"/>
      <c r="F1083" s="20"/>
      <c r="G1083" s="18"/>
      <c r="H1083" s="18">
        <v>1</v>
      </c>
      <c r="I1083" s="21" t="s">
        <v>1055</v>
      </c>
      <c r="J1083" s="18">
        <v>1</v>
      </c>
      <c r="K1083" s="18">
        <v>691</v>
      </c>
      <c r="L1083" s="22"/>
      <c r="M1083" s="18"/>
    </row>
    <row r="1084" spans="1:13">
      <c r="A1084" s="18">
        <v>3</v>
      </c>
      <c r="B1084" s="113"/>
      <c r="C1084" s="18"/>
      <c r="D1084" s="18">
        <v>1</v>
      </c>
      <c r="E1084" s="20">
        <v>11500</v>
      </c>
      <c r="F1084" s="20">
        <v>2984</v>
      </c>
      <c r="G1084" s="18"/>
      <c r="H1084" s="18">
        <v>1</v>
      </c>
      <c r="I1084" s="21" t="s">
        <v>1057</v>
      </c>
      <c r="J1084" s="18">
        <v>1</v>
      </c>
      <c r="K1084" s="18">
        <v>4287</v>
      </c>
      <c r="L1084" s="22"/>
      <c r="M1084" s="18"/>
    </row>
    <row r="1085" spans="1:13">
      <c r="A1085" s="18"/>
      <c r="B1085" s="113"/>
      <c r="C1085" s="18"/>
      <c r="D1085" s="18"/>
      <c r="E1085" s="20"/>
      <c r="F1085" s="20"/>
      <c r="G1085" s="18"/>
      <c r="H1085" s="18">
        <v>1</v>
      </c>
      <c r="I1085" s="21" t="s">
        <v>1052</v>
      </c>
      <c r="J1085" s="18">
        <v>1</v>
      </c>
      <c r="K1085" s="18">
        <v>4177</v>
      </c>
      <c r="L1085" s="22"/>
      <c r="M1085" s="18"/>
    </row>
    <row r="1086" spans="1:13">
      <c r="A1086" s="18">
        <v>4</v>
      </c>
      <c r="B1086" s="113"/>
      <c r="C1086" s="18"/>
      <c r="D1086" s="18">
        <v>1</v>
      </c>
      <c r="E1086" s="20">
        <v>11500</v>
      </c>
      <c r="F1086" s="20"/>
      <c r="G1086" s="18"/>
      <c r="H1086" s="18">
        <v>1</v>
      </c>
      <c r="I1086" s="21" t="s">
        <v>1077</v>
      </c>
      <c r="J1086" s="18">
        <v>1</v>
      </c>
      <c r="K1086" s="18">
        <v>11500</v>
      </c>
      <c r="L1086" s="22"/>
      <c r="M1086" s="18"/>
    </row>
    <row r="1087" spans="1:13">
      <c r="A1087" s="18">
        <v>5</v>
      </c>
      <c r="B1087" s="113"/>
      <c r="C1087" s="18"/>
      <c r="D1087" s="18">
        <v>1</v>
      </c>
      <c r="E1087" s="20">
        <v>11500</v>
      </c>
      <c r="F1087" s="20"/>
      <c r="G1087" s="18"/>
      <c r="H1087" s="18">
        <v>1</v>
      </c>
      <c r="I1087" s="21" t="s">
        <v>1075</v>
      </c>
      <c r="J1087" s="18">
        <v>1</v>
      </c>
      <c r="K1087" s="18">
        <v>11500</v>
      </c>
      <c r="L1087" s="22"/>
      <c r="M1087" s="18"/>
    </row>
    <row r="1088" spans="1:13">
      <c r="A1088" s="18">
        <v>6</v>
      </c>
      <c r="B1088" s="113"/>
      <c r="C1088" s="18"/>
      <c r="D1088" s="18">
        <v>1</v>
      </c>
      <c r="E1088" s="20">
        <v>11500</v>
      </c>
      <c r="F1088" s="20"/>
      <c r="G1088" s="18"/>
      <c r="H1088" s="18">
        <v>1</v>
      </c>
      <c r="I1088" s="21" t="s">
        <v>1072</v>
      </c>
      <c r="J1088" s="18">
        <v>1</v>
      </c>
      <c r="K1088" s="18">
        <v>11500</v>
      </c>
      <c r="L1088" s="22"/>
      <c r="M1088" s="18"/>
    </row>
    <row r="1089" spans="1:13">
      <c r="A1089" s="18">
        <v>7</v>
      </c>
      <c r="B1089" s="113"/>
      <c r="C1089" s="18"/>
      <c r="D1089" s="18">
        <v>1</v>
      </c>
      <c r="E1089" s="20">
        <v>11500</v>
      </c>
      <c r="F1089" s="20"/>
      <c r="G1089" s="18"/>
      <c r="H1089" s="18">
        <v>1</v>
      </c>
      <c r="I1089" s="21" t="s">
        <v>1076</v>
      </c>
      <c r="J1089" s="18">
        <v>1</v>
      </c>
      <c r="K1089" s="18">
        <v>11500</v>
      </c>
      <c r="L1089" s="22"/>
      <c r="M1089" s="18"/>
    </row>
    <row r="1090" spans="1:13">
      <c r="A1090" s="18">
        <v>8</v>
      </c>
      <c r="B1090" s="113"/>
      <c r="C1090" s="18"/>
      <c r="D1090" s="18">
        <v>1</v>
      </c>
      <c r="E1090" s="20">
        <v>11500</v>
      </c>
      <c r="F1090" s="20"/>
      <c r="G1090" s="18"/>
      <c r="H1090" s="18">
        <v>1</v>
      </c>
      <c r="I1090" s="21" t="s">
        <v>1074</v>
      </c>
      <c r="J1090" s="18">
        <v>1</v>
      </c>
      <c r="K1090" s="18">
        <v>11500</v>
      </c>
      <c r="L1090" s="22"/>
      <c r="M1090" s="18"/>
    </row>
    <row r="1091" spans="1:13">
      <c r="A1091" s="18">
        <v>9</v>
      </c>
      <c r="B1091" s="112"/>
      <c r="C1091" s="18"/>
      <c r="D1091" s="18">
        <v>1</v>
      </c>
      <c r="E1091" s="20">
        <v>11500</v>
      </c>
      <c r="F1091" s="20"/>
      <c r="G1091" s="18"/>
      <c r="H1091" s="18">
        <v>1</v>
      </c>
      <c r="I1091" s="21" t="s">
        <v>1054</v>
      </c>
      <c r="J1091" s="18">
        <v>1</v>
      </c>
      <c r="K1091" s="18">
        <v>11500</v>
      </c>
      <c r="L1091" s="22"/>
      <c r="M1091" s="18"/>
    </row>
    <row r="1092" spans="1:13">
      <c r="A1092" s="18"/>
      <c r="B1092" s="18"/>
      <c r="C1092" s="18"/>
      <c r="D1092" s="18"/>
      <c r="E1092" s="20"/>
      <c r="F1092" s="20"/>
      <c r="G1092" s="18"/>
      <c r="H1092" s="18"/>
      <c r="I1092" s="21"/>
      <c r="J1092" s="18"/>
      <c r="K1092" s="18"/>
      <c r="L1092" s="22"/>
      <c r="M1092" s="18"/>
    </row>
    <row r="1093" spans="1:13">
      <c r="A1093" s="117" t="s">
        <v>4</v>
      </c>
      <c r="B1093" s="117"/>
      <c r="C1093" s="117"/>
      <c r="D1093" s="117"/>
      <c r="E1093" s="117"/>
      <c r="F1093" s="117"/>
      <c r="G1093" s="117"/>
      <c r="H1093" s="117"/>
      <c r="I1093" s="118" t="s">
        <v>8</v>
      </c>
      <c r="J1093" s="118"/>
      <c r="K1093" s="89" t="s">
        <v>70</v>
      </c>
      <c r="L1093" s="119"/>
      <c r="M1093" s="120"/>
    </row>
    <row r="1094" spans="1:13">
      <c r="A1094" s="117"/>
      <c r="B1094" s="117"/>
      <c r="C1094" s="117"/>
      <c r="D1094" s="117"/>
      <c r="E1094" s="117"/>
      <c r="F1094" s="117"/>
      <c r="G1094" s="117"/>
      <c r="H1094" s="117"/>
      <c r="I1094" s="118" t="s">
        <v>25</v>
      </c>
      <c r="J1094" s="118"/>
      <c r="K1094" s="121" t="s">
        <v>770</v>
      </c>
      <c r="L1094" s="118"/>
      <c r="M1094" s="118"/>
    </row>
    <row r="1095" spans="1:13">
      <c r="A1095" s="117"/>
      <c r="B1095" s="117"/>
      <c r="C1095" s="117"/>
      <c r="D1095" s="117"/>
      <c r="E1095" s="117"/>
      <c r="F1095" s="117"/>
      <c r="G1095" s="117"/>
      <c r="H1095" s="117"/>
      <c r="I1095" s="87" t="s">
        <v>26</v>
      </c>
      <c r="J1095" s="88"/>
      <c r="K1095" s="95" t="s">
        <v>765</v>
      </c>
      <c r="L1095" s="104"/>
      <c r="M1095" s="88"/>
    </row>
    <row r="1096" spans="1:13">
      <c r="A1096" s="118" t="s">
        <v>31</v>
      </c>
      <c r="B1096" s="118"/>
      <c r="C1096" s="118" t="s">
        <v>32</v>
      </c>
      <c r="D1096" s="118"/>
      <c r="E1096" s="118"/>
      <c r="F1096" s="118"/>
      <c r="G1096" s="118"/>
      <c r="H1096" s="118"/>
      <c r="I1096" s="40" t="s">
        <v>29</v>
      </c>
      <c r="J1096" s="41"/>
      <c r="K1096" s="118" t="s">
        <v>774</v>
      </c>
      <c r="L1096" s="118"/>
      <c r="M1096" s="118"/>
    </row>
    <row r="1097" spans="1:13">
      <c r="A1097" s="118"/>
      <c r="B1097" s="118"/>
      <c r="C1097" s="118"/>
      <c r="D1097" s="118"/>
      <c r="E1097" s="118"/>
      <c r="F1097" s="118"/>
      <c r="G1097" s="118"/>
      <c r="H1097" s="118"/>
      <c r="I1097" s="118" t="s">
        <v>30</v>
      </c>
      <c r="J1097" s="118"/>
      <c r="K1097" s="118" t="s">
        <v>1048</v>
      </c>
      <c r="L1097" s="118"/>
      <c r="M1097" s="118"/>
    </row>
    <row r="1098" spans="1:13">
      <c r="A1098" s="122" t="s">
        <v>24</v>
      </c>
      <c r="B1098" s="122"/>
      <c r="C1098" s="122"/>
      <c r="D1098" s="42">
        <v>4</v>
      </c>
      <c r="E1098" s="117" t="s">
        <v>40</v>
      </c>
      <c r="F1098" s="117"/>
      <c r="G1098" s="117"/>
      <c r="H1098" s="42">
        <v>4</v>
      </c>
      <c r="I1098" s="118" t="s">
        <v>27</v>
      </c>
      <c r="J1098" s="118"/>
      <c r="K1098" s="118" t="s">
        <v>21</v>
      </c>
      <c r="L1098" s="118"/>
      <c r="M1098" s="118"/>
    </row>
    <row r="1099" spans="1:13" ht="45">
      <c r="A1099" s="3" t="s">
        <v>9</v>
      </c>
      <c r="B1099" s="3" t="s">
        <v>10</v>
      </c>
      <c r="C1099" s="3" t="s">
        <v>11</v>
      </c>
      <c r="D1099" s="3" t="s">
        <v>3</v>
      </c>
      <c r="E1099" s="4" t="s">
        <v>41</v>
      </c>
      <c r="F1099" s="4" t="s">
        <v>12</v>
      </c>
      <c r="G1099" s="3" t="s">
        <v>13</v>
      </c>
      <c r="H1099" s="3" t="s">
        <v>14</v>
      </c>
      <c r="I1099" s="3" t="s">
        <v>15</v>
      </c>
      <c r="J1099" s="3" t="s">
        <v>16</v>
      </c>
      <c r="K1099" s="3" t="s">
        <v>17</v>
      </c>
      <c r="L1099" s="3" t="s">
        <v>18</v>
      </c>
      <c r="M1099" s="3" t="s">
        <v>19</v>
      </c>
    </row>
    <row r="1100" spans="1:13">
      <c r="A1100" s="18">
        <v>1</v>
      </c>
      <c r="B1100" s="111" t="s">
        <v>1049</v>
      </c>
      <c r="C1100" s="18"/>
      <c r="D1100" s="18">
        <v>1</v>
      </c>
      <c r="E1100" s="20">
        <v>11500</v>
      </c>
      <c r="F1100" s="20">
        <v>4392</v>
      </c>
      <c r="G1100" s="18"/>
      <c r="H1100" s="18">
        <v>1</v>
      </c>
      <c r="I1100" s="21" t="s">
        <v>1071</v>
      </c>
      <c r="J1100" s="18">
        <v>1</v>
      </c>
      <c r="K1100" s="18">
        <v>7082</v>
      </c>
      <c r="L1100" s="22"/>
      <c r="M1100" s="18"/>
    </row>
    <row r="1101" spans="1:13">
      <c r="A1101" s="18">
        <v>2</v>
      </c>
      <c r="B1101" s="113"/>
      <c r="C1101" s="18"/>
      <c r="D1101" s="18">
        <v>1</v>
      </c>
      <c r="E1101" s="20">
        <v>11500</v>
      </c>
      <c r="F1101" s="20">
        <v>4392</v>
      </c>
      <c r="G1101" s="18"/>
      <c r="H1101" s="18">
        <v>1</v>
      </c>
      <c r="I1101" s="21" t="s">
        <v>1069</v>
      </c>
      <c r="J1101" s="18">
        <v>1</v>
      </c>
      <c r="K1101" s="18">
        <v>7082</v>
      </c>
      <c r="L1101" s="22"/>
      <c r="M1101" s="18"/>
    </row>
    <row r="1102" spans="1:13">
      <c r="A1102" s="18">
        <v>3</v>
      </c>
      <c r="B1102" s="113"/>
      <c r="C1102" s="18"/>
      <c r="D1102" s="18">
        <v>1</v>
      </c>
      <c r="E1102" s="20">
        <v>11500</v>
      </c>
      <c r="F1102" s="20"/>
      <c r="G1102" s="18"/>
      <c r="H1102" s="18">
        <v>1</v>
      </c>
      <c r="I1102" s="21" t="s">
        <v>1068</v>
      </c>
      <c r="J1102" s="18">
        <v>1</v>
      </c>
      <c r="K1102" s="18">
        <v>11500</v>
      </c>
      <c r="L1102" s="22"/>
      <c r="M1102" s="18"/>
    </row>
    <row r="1103" spans="1:13">
      <c r="A1103" s="18">
        <v>4</v>
      </c>
      <c r="B1103" s="113"/>
      <c r="C1103" s="18"/>
      <c r="D1103" s="18">
        <v>1</v>
      </c>
      <c r="E1103" s="20">
        <v>11500</v>
      </c>
      <c r="F1103" s="20"/>
      <c r="G1103" s="18"/>
      <c r="H1103" s="18">
        <v>1</v>
      </c>
      <c r="I1103" s="21" t="s">
        <v>1047</v>
      </c>
      <c r="J1103" s="18">
        <v>1</v>
      </c>
      <c r="K1103" s="18">
        <v>11500</v>
      </c>
      <c r="L1103" s="22"/>
      <c r="M1103" s="18"/>
    </row>
    <row r="1104" spans="1:13">
      <c r="A1104" s="55">
        <v>5</v>
      </c>
      <c r="B1104" s="113"/>
      <c r="C1104" s="55"/>
      <c r="D1104" s="18">
        <v>1</v>
      </c>
      <c r="E1104" s="20">
        <v>3770</v>
      </c>
      <c r="F1104" s="20">
        <v>4</v>
      </c>
      <c r="G1104" s="18"/>
      <c r="H1104" s="18">
        <v>1</v>
      </c>
      <c r="I1104" s="21" t="s">
        <v>1070</v>
      </c>
      <c r="J1104" s="18">
        <v>1</v>
      </c>
      <c r="K1104" s="18">
        <v>3082</v>
      </c>
      <c r="L1104" s="169" t="s">
        <v>873</v>
      </c>
      <c r="M1104" s="170"/>
    </row>
    <row r="1105" spans="1:13">
      <c r="A1105" s="55"/>
      <c r="B1105" s="112"/>
      <c r="C1105" s="55"/>
      <c r="D1105" s="18"/>
      <c r="E1105" s="20"/>
      <c r="F1105" s="20"/>
      <c r="G1105" s="18"/>
      <c r="H1105" s="18">
        <v>1</v>
      </c>
      <c r="I1105" s="21" t="s">
        <v>1046</v>
      </c>
      <c r="J1105" s="18">
        <v>1</v>
      </c>
      <c r="K1105" s="18">
        <v>632</v>
      </c>
      <c r="L1105" s="171"/>
      <c r="M1105" s="172"/>
    </row>
    <row r="1106" spans="1:13">
      <c r="A1106" s="18"/>
      <c r="B1106" s="18"/>
      <c r="C1106" s="18"/>
      <c r="D1106" s="18"/>
      <c r="E1106" s="20"/>
      <c r="F1106" s="20"/>
      <c r="G1106" s="18"/>
      <c r="H1106" s="18"/>
      <c r="I1106" s="21"/>
      <c r="J1106" s="18"/>
      <c r="K1106" s="18"/>
      <c r="L1106" s="22"/>
      <c r="M1106" s="18"/>
    </row>
    <row r="1107" spans="1:13">
      <c r="A1107" s="117" t="s">
        <v>4</v>
      </c>
      <c r="B1107" s="117"/>
      <c r="C1107" s="117"/>
      <c r="D1107" s="117"/>
      <c r="E1107" s="117"/>
      <c r="F1107" s="117"/>
      <c r="G1107" s="117"/>
      <c r="H1107" s="117"/>
      <c r="I1107" s="118" t="s">
        <v>8</v>
      </c>
      <c r="J1107" s="118"/>
      <c r="K1107" s="89" t="s">
        <v>70</v>
      </c>
      <c r="L1107" s="119"/>
      <c r="M1107" s="120"/>
    </row>
    <row r="1108" spans="1:13">
      <c r="A1108" s="117"/>
      <c r="B1108" s="117"/>
      <c r="C1108" s="117"/>
      <c r="D1108" s="117"/>
      <c r="E1108" s="117"/>
      <c r="F1108" s="117"/>
      <c r="G1108" s="117"/>
      <c r="H1108" s="117"/>
      <c r="I1108" s="118" t="s">
        <v>25</v>
      </c>
      <c r="J1108" s="118"/>
      <c r="K1108" s="121" t="s">
        <v>770</v>
      </c>
      <c r="L1108" s="118"/>
      <c r="M1108" s="118"/>
    </row>
    <row r="1109" spans="1:13">
      <c r="A1109" s="117"/>
      <c r="B1109" s="117"/>
      <c r="C1109" s="117"/>
      <c r="D1109" s="117"/>
      <c r="E1109" s="117"/>
      <c r="F1109" s="117"/>
      <c r="G1109" s="117"/>
      <c r="H1109" s="117"/>
      <c r="I1109" s="87" t="s">
        <v>26</v>
      </c>
      <c r="J1109" s="88"/>
      <c r="K1109" s="95" t="s">
        <v>736</v>
      </c>
      <c r="L1109" s="104"/>
      <c r="M1109" s="88"/>
    </row>
    <row r="1110" spans="1:13">
      <c r="A1110" s="118" t="s">
        <v>31</v>
      </c>
      <c r="B1110" s="118"/>
      <c r="C1110" s="118" t="s">
        <v>32</v>
      </c>
      <c r="D1110" s="118"/>
      <c r="E1110" s="118"/>
      <c r="F1110" s="118"/>
      <c r="G1110" s="118"/>
      <c r="H1110" s="118"/>
      <c r="I1110" s="40" t="s">
        <v>29</v>
      </c>
      <c r="J1110" s="41"/>
      <c r="K1110" s="118" t="s">
        <v>774</v>
      </c>
      <c r="L1110" s="118"/>
      <c r="M1110" s="118"/>
    </row>
    <row r="1111" spans="1:13">
      <c r="A1111" s="118"/>
      <c r="B1111" s="118"/>
      <c r="C1111" s="118"/>
      <c r="D1111" s="118"/>
      <c r="E1111" s="118"/>
      <c r="F1111" s="118"/>
      <c r="G1111" s="118"/>
      <c r="H1111" s="118"/>
      <c r="I1111" s="118" t="s">
        <v>30</v>
      </c>
      <c r="J1111" s="118"/>
      <c r="K1111" s="118" t="s">
        <v>1043</v>
      </c>
      <c r="L1111" s="118"/>
      <c r="M1111" s="118"/>
    </row>
    <row r="1112" spans="1:13">
      <c r="A1112" s="122" t="s">
        <v>24</v>
      </c>
      <c r="B1112" s="122"/>
      <c r="C1112" s="122"/>
      <c r="D1112" s="42">
        <v>2</v>
      </c>
      <c r="E1112" s="117" t="s">
        <v>40</v>
      </c>
      <c r="F1112" s="117"/>
      <c r="G1112" s="117"/>
      <c r="H1112" s="42">
        <v>14</v>
      </c>
      <c r="I1112" s="118" t="s">
        <v>27</v>
      </c>
      <c r="J1112" s="118"/>
      <c r="K1112" s="118" t="s">
        <v>21</v>
      </c>
      <c r="L1112" s="118"/>
      <c r="M1112" s="118"/>
    </row>
    <row r="1113" spans="1:13" ht="45">
      <c r="A1113" s="3" t="s">
        <v>9</v>
      </c>
      <c r="B1113" s="3" t="s">
        <v>10</v>
      </c>
      <c r="C1113" s="3" t="s">
        <v>11</v>
      </c>
      <c r="D1113" s="3" t="s">
        <v>3</v>
      </c>
      <c r="E1113" s="4" t="s">
        <v>41</v>
      </c>
      <c r="F1113" s="4" t="s">
        <v>12</v>
      </c>
      <c r="G1113" s="3" t="s">
        <v>13</v>
      </c>
      <c r="H1113" s="3" t="s">
        <v>14</v>
      </c>
      <c r="I1113" s="3" t="s">
        <v>15</v>
      </c>
      <c r="J1113" s="3" t="s">
        <v>16</v>
      </c>
      <c r="K1113" s="3" t="s">
        <v>17</v>
      </c>
      <c r="L1113" s="3" t="s">
        <v>18</v>
      </c>
      <c r="M1113" s="3" t="s">
        <v>19</v>
      </c>
    </row>
    <row r="1114" spans="1:13">
      <c r="A1114" s="18">
        <v>1</v>
      </c>
      <c r="B1114" s="111" t="s">
        <v>1044</v>
      </c>
      <c r="C1114" s="18"/>
      <c r="D1114" s="18">
        <v>1</v>
      </c>
      <c r="E1114" s="20">
        <v>11500</v>
      </c>
      <c r="F1114" s="20">
        <v>9881</v>
      </c>
      <c r="G1114" s="18"/>
      <c r="H1114" s="18">
        <v>1</v>
      </c>
      <c r="I1114" s="21" t="s">
        <v>1030</v>
      </c>
      <c r="J1114" s="18">
        <v>1</v>
      </c>
      <c r="K1114" s="18">
        <v>1593</v>
      </c>
      <c r="L1114" s="22"/>
      <c r="M1114" s="18"/>
    </row>
    <row r="1115" spans="1:13">
      <c r="A1115" s="18">
        <v>2</v>
      </c>
      <c r="B1115" s="113"/>
      <c r="C1115" s="18"/>
      <c r="D1115" s="18">
        <v>1</v>
      </c>
      <c r="E1115" s="20">
        <v>11500</v>
      </c>
      <c r="F1115" s="20">
        <v>173</v>
      </c>
      <c r="G1115" s="18"/>
      <c r="H1115" s="18">
        <v>1</v>
      </c>
      <c r="I1115" s="21" t="s">
        <v>1032</v>
      </c>
      <c r="J1115" s="18">
        <v>1</v>
      </c>
      <c r="K1115" s="18">
        <v>1304</v>
      </c>
      <c r="L1115" s="22"/>
      <c r="M1115" s="18"/>
    </row>
    <row r="1116" spans="1:13">
      <c r="A1116" s="18"/>
      <c r="B1116" s="113"/>
      <c r="C1116" s="18"/>
      <c r="D1116" s="18"/>
      <c r="E1116" s="20"/>
      <c r="F1116" s="20"/>
      <c r="G1116" s="18"/>
      <c r="H1116" s="18">
        <v>1</v>
      </c>
      <c r="I1116" s="21" t="s">
        <v>1040</v>
      </c>
      <c r="J1116" s="18">
        <v>1</v>
      </c>
      <c r="K1116" s="18">
        <v>1093</v>
      </c>
      <c r="L1116" s="22"/>
      <c r="M1116" s="18"/>
    </row>
    <row r="1117" spans="1:13">
      <c r="A1117" s="18"/>
      <c r="B1117" s="113"/>
      <c r="C1117" s="18"/>
      <c r="D1117" s="18"/>
      <c r="E1117" s="20"/>
      <c r="F1117" s="20"/>
      <c r="G1117" s="18"/>
      <c r="H1117" s="18">
        <v>1</v>
      </c>
      <c r="I1117" s="21" t="s">
        <v>1029</v>
      </c>
      <c r="J1117" s="18">
        <v>1</v>
      </c>
      <c r="K1117" s="18">
        <v>993</v>
      </c>
      <c r="L1117" s="22"/>
      <c r="M1117" s="18"/>
    </row>
    <row r="1118" spans="1:13">
      <c r="A1118" s="18"/>
      <c r="B1118" s="113"/>
      <c r="C1118" s="18"/>
      <c r="D1118" s="18"/>
      <c r="E1118" s="20"/>
      <c r="F1118" s="20"/>
      <c r="G1118" s="18"/>
      <c r="H1118" s="18">
        <v>1</v>
      </c>
      <c r="I1118" s="21" t="s">
        <v>1039</v>
      </c>
      <c r="J1118" s="18">
        <v>1</v>
      </c>
      <c r="K1118" s="18">
        <v>993</v>
      </c>
      <c r="L1118" s="22"/>
      <c r="M1118" s="18"/>
    </row>
    <row r="1119" spans="1:13">
      <c r="A1119" s="18"/>
      <c r="B1119" s="113"/>
      <c r="C1119" s="18"/>
      <c r="D1119" s="18"/>
      <c r="E1119" s="20"/>
      <c r="F1119" s="20"/>
      <c r="G1119" s="18"/>
      <c r="H1119" s="18">
        <v>1</v>
      </c>
      <c r="I1119" s="21" t="s">
        <v>1036</v>
      </c>
      <c r="J1119" s="18">
        <v>1</v>
      </c>
      <c r="K1119" s="18">
        <v>804</v>
      </c>
      <c r="L1119" s="22"/>
      <c r="M1119" s="18"/>
    </row>
    <row r="1120" spans="1:13">
      <c r="A1120" s="18"/>
      <c r="B1120" s="113"/>
      <c r="C1120" s="18"/>
      <c r="D1120" s="18"/>
      <c r="E1120" s="20"/>
      <c r="F1120" s="20"/>
      <c r="G1120" s="18"/>
      <c r="H1120" s="18">
        <v>1</v>
      </c>
      <c r="I1120" s="21" t="s">
        <v>1033</v>
      </c>
      <c r="J1120" s="18">
        <v>1</v>
      </c>
      <c r="K1120" s="18">
        <v>804</v>
      </c>
      <c r="L1120" s="22"/>
      <c r="M1120" s="18"/>
    </row>
    <row r="1121" spans="1:13">
      <c r="A1121" s="18"/>
      <c r="B1121" s="113"/>
      <c r="C1121" s="18"/>
      <c r="D1121" s="18"/>
      <c r="E1121" s="20"/>
      <c r="F1121" s="20"/>
      <c r="G1121" s="18"/>
      <c r="H1121" s="18">
        <v>1</v>
      </c>
      <c r="I1121" s="21" t="s">
        <v>1031</v>
      </c>
      <c r="J1121" s="18">
        <v>1</v>
      </c>
      <c r="K1121" s="18">
        <v>804</v>
      </c>
      <c r="L1121" s="22"/>
      <c r="M1121" s="18"/>
    </row>
    <row r="1122" spans="1:13">
      <c r="A1122" s="18"/>
      <c r="B1122" s="113"/>
      <c r="C1122" s="18"/>
      <c r="D1122" s="18"/>
      <c r="E1122" s="20"/>
      <c r="F1122" s="20"/>
      <c r="G1122" s="18"/>
      <c r="H1122" s="18">
        <v>1</v>
      </c>
      <c r="I1122" s="21" t="s">
        <v>1037</v>
      </c>
      <c r="J1122" s="18">
        <v>1</v>
      </c>
      <c r="K1122" s="18">
        <v>804</v>
      </c>
      <c r="L1122" s="22"/>
      <c r="M1122" s="18"/>
    </row>
    <row r="1123" spans="1:13">
      <c r="A1123" s="18"/>
      <c r="B1123" s="113"/>
      <c r="C1123" s="18"/>
      <c r="D1123" s="18"/>
      <c r="E1123" s="20"/>
      <c r="F1123" s="20"/>
      <c r="G1123" s="18"/>
      <c r="H1123" s="18">
        <v>1</v>
      </c>
      <c r="I1123" s="21" t="s">
        <v>1034</v>
      </c>
      <c r="J1123" s="18">
        <v>1</v>
      </c>
      <c r="K1123" s="18">
        <v>804</v>
      </c>
      <c r="L1123" s="22"/>
      <c r="M1123" s="18"/>
    </row>
    <row r="1124" spans="1:13">
      <c r="A1124" s="18"/>
      <c r="B1124" s="113"/>
      <c r="C1124" s="18"/>
      <c r="D1124" s="18"/>
      <c r="E1124" s="20"/>
      <c r="F1124" s="20"/>
      <c r="G1124" s="18"/>
      <c r="H1124" s="18">
        <v>1</v>
      </c>
      <c r="I1124" s="21" t="s">
        <v>1035</v>
      </c>
      <c r="J1124" s="18">
        <v>1</v>
      </c>
      <c r="K1124" s="18">
        <v>804</v>
      </c>
      <c r="L1124" s="22"/>
      <c r="M1124" s="18"/>
    </row>
    <row r="1125" spans="1:13">
      <c r="A1125" s="18"/>
      <c r="B1125" s="113"/>
      <c r="C1125" s="18"/>
      <c r="D1125" s="18"/>
      <c r="E1125" s="20"/>
      <c r="F1125" s="20"/>
      <c r="G1125" s="18"/>
      <c r="H1125" s="18">
        <v>1</v>
      </c>
      <c r="I1125" s="21" t="s">
        <v>1041</v>
      </c>
      <c r="J1125" s="18">
        <v>1</v>
      </c>
      <c r="K1125" s="18">
        <v>606</v>
      </c>
      <c r="L1125" s="22"/>
      <c r="M1125" s="18"/>
    </row>
    <row r="1126" spans="1:13">
      <c r="A1126" s="18"/>
      <c r="B1126" s="113"/>
      <c r="C1126" s="18"/>
      <c r="D1126" s="18"/>
      <c r="E1126" s="20"/>
      <c r="F1126" s="20"/>
      <c r="G1126" s="18"/>
      <c r="H1126" s="18">
        <v>1</v>
      </c>
      <c r="I1126" s="21" t="s">
        <v>1038</v>
      </c>
      <c r="J1126" s="18">
        <v>1</v>
      </c>
      <c r="K1126" s="18">
        <v>588</v>
      </c>
      <c r="L1126" s="22"/>
      <c r="M1126" s="18"/>
    </row>
    <row r="1127" spans="1:13">
      <c r="A1127" s="18"/>
      <c r="B1127" s="112"/>
      <c r="C1127" s="18"/>
      <c r="D1127" s="18"/>
      <c r="E1127" s="20"/>
      <c r="F1127" s="20"/>
      <c r="G1127" s="18"/>
      <c r="H1127" s="18">
        <v>1</v>
      </c>
      <c r="I1127" s="21" t="s">
        <v>1042</v>
      </c>
      <c r="J1127" s="18">
        <v>1</v>
      </c>
      <c r="K1127" s="18">
        <v>588</v>
      </c>
      <c r="L1127" s="22"/>
      <c r="M1127" s="18"/>
    </row>
    <row r="1128" spans="1:13">
      <c r="A1128" s="18"/>
      <c r="B1128" s="18"/>
      <c r="C1128" s="18"/>
      <c r="D1128" s="18"/>
      <c r="E1128" s="20"/>
      <c r="F1128" s="20"/>
      <c r="G1128" s="18"/>
      <c r="H1128" s="18"/>
      <c r="I1128" s="21"/>
      <c r="J1128" s="18"/>
      <c r="K1128" s="18"/>
      <c r="L1128" s="22"/>
      <c r="M1128" s="18"/>
    </row>
    <row r="1129" spans="1:13">
      <c r="A1129" s="117" t="s">
        <v>4</v>
      </c>
      <c r="B1129" s="117"/>
      <c r="C1129" s="117"/>
      <c r="D1129" s="117"/>
      <c r="E1129" s="117"/>
      <c r="F1129" s="117"/>
      <c r="G1129" s="117"/>
      <c r="H1129" s="117"/>
      <c r="I1129" s="118" t="s">
        <v>8</v>
      </c>
      <c r="J1129" s="118"/>
      <c r="K1129" s="89" t="s">
        <v>70</v>
      </c>
      <c r="L1129" s="119"/>
      <c r="M1129" s="120"/>
    </row>
    <row r="1130" spans="1:13">
      <c r="A1130" s="117"/>
      <c r="B1130" s="117"/>
      <c r="C1130" s="117"/>
      <c r="D1130" s="117"/>
      <c r="E1130" s="117"/>
      <c r="F1130" s="117"/>
      <c r="G1130" s="117"/>
      <c r="H1130" s="117"/>
      <c r="I1130" s="118" t="s">
        <v>25</v>
      </c>
      <c r="J1130" s="118"/>
      <c r="K1130" s="121" t="s">
        <v>770</v>
      </c>
      <c r="L1130" s="118"/>
      <c r="M1130" s="118"/>
    </row>
    <row r="1131" spans="1:13">
      <c r="A1131" s="117"/>
      <c r="B1131" s="117"/>
      <c r="C1131" s="117"/>
      <c r="D1131" s="117"/>
      <c r="E1131" s="117"/>
      <c r="F1131" s="117"/>
      <c r="G1131" s="117"/>
      <c r="H1131" s="117"/>
      <c r="I1131" s="87" t="s">
        <v>26</v>
      </c>
      <c r="J1131" s="88"/>
      <c r="K1131" s="95" t="s">
        <v>47</v>
      </c>
      <c r="L1131" s="104"/>
      <c r="M1131" s="88"/>
    </row>
    <row r="1132" spans="1:13">
      <c r="A1132" s="118" t="s">
        <v>31</v>
      </c>
      <c r="B1132" s="118"/>
      <c r="C1132" s="118" t="s">
        <v>32</v>
      </c>
      <c r="D1132" s="118"/>
      <c r="E1132" s="118"/>
      <c r="F1132" s="118"/>
      <c r="G1132" s="118"/>
      <c r="H1132" s="118"/>
      <c r="I1132" s="40" t="s">
        <v>29</v>
      </c>
      <c r="J1132" s="41"/>
      <c r="K1132" s="118" t="s">
        <v>774</v>
      </c>
      <c r="L1132" s="118"/>
      <c r="M1132" s="118"/>
    </row>
    <row r="1133" spans="1:13">
      <c r="A1133" s="118"/>
      <c r="B1133" s="118"/>
      <c r="C1133" s="118"/>
      <c r="D1133" s="118"/>
      <c r="E1133" s="118"/>
      <c r="F1133" s="118"/>
      <c r="G1133" s="118"/>
      <c r="H1133" s="118"/>
      <c r="I1133" s="118" t="s">
        <v>30</v>
      </c>
      <c r="J1133" s="118"/>
      <c r="K1133" s="118" t="s">
        <v>1028</v>
      </c>
      <c r="L1133" s="118"/>
      <c r="M1133" s="118"/>
    </row>
    <row r="1134" spans="1:13">
      <c r="A1134" s="122" t="s">
        <v>24</v>
      </c>
      <c r="B1134" s="122"/>
      <c r="C1134" s="122"/>
      <c r="D1134" s="42">
        <v>3</v>
      </c>
      <c r="E1134" s="117" t="s">
        <v>40</v>
      </c>
      <c r="F1134" s="117"/>
      <c r="G1134" s="117"/>
      <c r="H1134" s="42">
        <v>8</v>
      </c>
      <c r="I1134" s="118" t="s">
        <v>27</v>
      </c>
      <c r="J1134" s="118"/>
      <c r="K1134" s="118" t="s">
        <v>21</v>
      </c>
      <c r="L1134" s="118"/>
      <c r="M1134" s="118"/>
    </row>
    <row r="1135" spans="1:13" ht="45">
      <c r="A1135" s="3" t="s">
        <v>9</v>
      </c>
      <c r="B1135" s="3" t="s">
        <v>10</v>
      </c>
      <c r="C1135" s="3" t="s">
        <v>11</v>
      </c>
      <c r="D1135" s="3" t="s">
        <v>3</v>
      </c>
      <c r="E1135" s="4" t="s">
        <v>41</v>
      </c>
      <c r="F1135" s="4" t="s">
        <v>12</v>
      </c>
      <c r="G1135" s="3" t="s">
        <v>13</v>
      </c>
      <c r="H1135" s="3" t="s">
        <v>14</v>
      </c>
      <c r="I1135" s="3" t="s">
        <v>15</v>
      </c>
      <c r="J1135" s="3" t="s">
        <v>16</v>
      </c>
      <c r="K1135" s="3" t="s">
        <v>17</v>
      </c>
      <c r="L1135" s="3" t="s">
        <v>18</v>
      </c>
      <c r="M1135" s="3" t="s">
        <v>19</v>
      </c>
    </row>
    <row r="1136" spans="1:13">
      <c r="A1136" s="18">
        <v>1</v>
      </c>
      <c r="B1136" s="111" t="s">
        <v>49</v>
      </c>
      <c r="C1136" s="18"/>
      <c r="D1136" s="18">
        <v>1</v>
      </c>
      <c r="E1136" s="20">
        <v>11500</v>
      </c>
      <c r="F1136" s="20">
        <v>1072</v>
      </c>
      <c r="G1136" s="18"/>
      <c r="H1136" s="18">
        <v>1</v>
      </c>
      <c r="I1136" s="21" t="s">
        <v>1021</v>
      </c>
      <c r="J1136" s="18">
        <v>1</v>
      </c>
      <c r="K1136" s="18">
        <v>8603</v>
      </c>
      <c r="L1136" s="22"/>
      <c r="M1136" s="18"/>
    </row>
    <row r="1137" spans="1:13">
      <c r="A1137" s="18"/>
      <c r="B1137" s="113"/>
      <c r="C1137" s="18"/>
      <c r="D1137" s="18"/>
      <c r="E1137" s="20"/>
      <c r="F1137" s="20"/>
      <c r="G1137" s="18"/>
      <c r="H1137" s="18">
        <v>1</v>
      </c>
      <c r="I1137" s="21" t="s">
        <v>1023</v>
      </c>
      <c r="J1137" s="18">
        <v>1</v>
      </c>
      <c r="K1137" s="18">
        <v>389</v>
      </c>
      <c r="L1137" s="22"/>
      <c r="M1137" s="18"/>
    </row>
    <row r="1138" spans="1:13">
      <c r="A1138" s="18"/>
      <c r="B1138" s="113"/>
      <c r="C1138" s="18"/>
      <c r="D1138" s="18"/>
      <c r="E1138" s="20"/>
      <c r="F1138" s="20"/>
      <c r="G1138" s="18"/>
      <c r="H1138" s="18">
        <v>1</v>
      </c>
      <c r="I1138" s="21" t="s">
        <v>1024</v>
      </c>
      <c r="J1138" s="18">
        <v>1</v>
      </c>
      <c r="K1138" s="18">
        <v>389</v>
      </c>
      <c r="L1138" s="22"/>
      <c r="M1138" s="18"/>
    </row>
    <row r="1139" spans="1:13">
      <c r="A1139" s="18"/>
      <c r="B1139" s="113"/>
      <c r="C1139" s="18"/>
      <c r="D1139" s="18"/>
      <c r="E1139" s="20"/>
      <c r="F1139" s="20"/>
      <c r="G1139" s="18"/>
      <c r="H1139" s="18">
        <v>1</v>
      </c>
      <c r="I1139" s="21" t="s">
        <v>1025</v>
      </c>
      <c r="J1139" s="18">
        <v>1</v>
      </c>
      <c r="K1139" s="18">
        <v>389</v>
      </c>
      <c r="L1139" s="22"/>
      <c r="M1139" s="18"/>
    </row>
    <row r="1140" spans="1:13">
      <c r="A1140" s="18"/>
      <c r="B1140" s="113"/>
      <c r="C1140" s="18"/>
      <c r="D1140" s="18"/>
      <c r="E1140" s="20"/>
      <c r="F1140" s="20"/>
      <c r="G1140" s="18"/>
      <c r="H1140" s="18">
        <v>1</v>
      </c>
      <c r="I1140" s="21" t="s">
        <v>1026</v>
      </c>
      <c r="J1140" s="18">
        <v>1</v>
      </c>
      <c r="K1140" s="18">
        <v>389</v>
      </c>
      <c r="L1140" s="22"/>
      <c r="M1140" s="18"/>
    </row>
    <row r="1141" spans="1:13">
      <c r="A1141" s="18"/>
      <c r="B1141" s="113"/>
      <c r="C1141" s="18"/>
      <c r="D1141" s="18"/>
      <c r="E1141" s="20"/>
      <c r="F1141" s="20"/>
      <c r="G1141" s="18"/>
      <c r="H1141" s="18">
        <v>1</v>
      </c>
      <c r="I1141" s="21" t="s">
        <v>1022</v>
      </c>
      <c r="J1141" s="18">
        <v>1</v>
      </c>
      <c r="K1141" s="18">
        <v>113</v>
      </c>
      <c r="L1141" s="22"/>
      <c r="M1141" s="18"/>
    </row>
    <row r="1142" spans="1:13">
      <c r="A1142" s="18">
        <v>2</v>
      </c>
      <c r="B1142" s="113"/>
      <c r="C1142" s="18"/>
      <c r="D1142" s="18">
        <v>1</v>
      </c>
      <c r="E1142" s="20">
        <v>11500</v>
      </c>
      <c r="F1142" s="20"/>
      <c r="G1142" s="18"/>
      <c r="H1142" s="18">
        <v>1</v>
      </c>
      <c r="I1142" s="21" t="s">
        <v>1027</v>
      </c>
      <c r="J1142" s="18">
        <v>1</v>
      </c>
      <c r="K1142" s="18">
        <v>11500</v>
      </c>
      <c r="L1142" s="22"/>
      <c r="M1142" s="18"/>
    </row>
    <row r="1143" spans="1:13">
      <c r="A1143" s="18">
        <v>3</v>
      </c>
      <c r="B1143" s="112"/>
      <c r="C1143" s="18"/>
      <c r="D1143" s="18">
        <v>1</v>
      </c>
      <c r="E1143" s="20">
        <v>11500</v>
      </c>
      <c r="F1143" s="20"/>
      <c r="G1143" s="18"/>
      <c r="H1143" s="18">
        <v>1</v>
      </c>
      <c r="I1143" s="21" t="s">
        <v>1020</v>
      </c>
      <c r="J1143" s="18">
        <v>1</v>
      </c>
      <c r="K1143" s="18">
        <v>11500</v>
      </c>
      <c r="L1143" s="22"/>
      <c r="M1143" s="18"/>
    </row>
    <row r="1144" spans="1:13">
      <c r="A1144" s="18"/>
      <c r="B1144" s="18"/>
      <c r="C1144" s="18"/>
      <c r="D1144" s="18"/>
      <c r="E1144" s="20"/>
      <c r="F1144" s="20"/>
      <c r="G1144" s="18"/>
      <c r="H1144" s="18"/>
      <c r="I1144" s="21"/>
      <c r="J1144" s="18"/>
      <c r="K1144" s="18"/>
      <c r="L1144" s="22"/>
      <c r="M1144" s="18"/>
    </row>
    <row r="1145" spans="1:13">
      <c r="A1145" s="117" t="s">
        <v>4</v>
      </c>
      <c r="B1145" s="117"/>
      <c r="C1145" s="117"/>
      <c r="D1145" s="117"/>
      <c r="E1145" s="117"/>
      <c r="F1145" s="117"/>
      <c r="G1145" s="117"/>
      <c r="H1145" s="117"/>
      <c r="I1145" s="118" t="s">
        <v>8</v>
      </c>
      <c r="J1145" s="118"/>
      <c r="K1145" s="89" t="s">
        <v>70</v>
      </c>
      <c r="L1145" s="119"/>
      <c r="M1145" s="120"/>
    </row>
    <row r="1146" spans="1:13">
      <c r="A1146" s="117"/>
      <c r="B1146" s="117"/>
      <c r="C1146" s="117"/>
      <c r="D1146" s="117"/>
      <c r="E1146" s="117"/>
      <c r="F1146" s="117"/>
      <c r="G1146" s="117"/>
      <c r="H1146" s="117"/>
      <c r="I1146" s="118" t="s">
        <v>25</v>
      </c>
      <c r="J1146" s="118"/>
      <c r="K1146" s="121" t="s">
        <v>770</v>
      </c>
      <c r="L1146" s="118"/>
      <c r="M1146" s="118"/>
    </row>
    <row r="1147" spans="1:13">
      <c r="A1147" s="117"/>
      <c r="B1147" s="117"/>
      <c r="C1147" s="117"/>
      <c r="D1147" s="117"/>
      <c r="E1147" s="117"/>
      <c r="F1147" s="117"/>
      <c r="G1147" s="117"/>
      <c r="H1147" s="117"/>
      <c r="I1147" s="87" t="s">
        <v>26</v>
      </c>
      <c r="J1147" s="88"/>
      <c r="K1147" s="95" t="s">
        <v>423</v>
      </c>
      <c r="L1147" s="104"/>
      <c r="M1147" s="88"/>
    </row>
    <row r="1148" spans="1:13">
      <c r="A1148" s="118" t="s">
        <v>31</v>
      </c>
      <c r="B1148" s="118"/>
      <c r="C1148" s="118" t="s">
        <v>32</v>
      </c>
      <c r="D1148" s="118"/>
      <c r="E1148" s="118"/>
      <c r="F1148" s="118"/>
      <c r="G1148" s="118"/>
      <c r="H1148" s="118"/>
      <c r="I1148" s="40" t="s">
        <v>29</v>
      </c>
      <c r="J1148" s="41"/>
      <c r="K1148" s="118" t="s">
        <v>774</v>
      </c>
      <c r="L1148" s="118"/>
      <c r="M1148" s="118"/>
    </row>
    <row r="1149" spans="1:13">
      <c r="A1149" s="118"/>
      <c r="B1149" s="118"/>
      <c r="C1149" s="118"/>
      <c r="D1149" s="118"/>
      <c r="E1149" s="118"/>
      <c r="F1149" s="118"/>
      <c r="G1149" s="118"/>
      <c r="H1149" s="118"/>
      <c r="I1149" s="118" t="s">
        <v>30</v>
      </c>
      <c r="J1149" s="118"/>
      <c r="K1149" s="118" t="s">
        <v>1018</v>
      </c>
      <c r="L1149" s="118"/>
      <c r="M1149" s="118"/>
    </row>
    <row r="1150" spans="1:13">
      <c r="A1150" s="122" t="s">
        <v>24</v>
      </c>
      <c r="B1150" s="122"/>
      <c r="C1150" s="122"/>
      <c r="D1150" s="42">
        <v>43</v>
      </c>
      <c r="E1150" s="117" t="s">
        <v>40</v>
      </c>
      <c r="F1150" s="117"/>
      <c r="G1150" s="117"/>
      <c r="H1150" s="42">
        <v>129</v>
      </c>
      <c r="I1150" s="118" t="s">
        <v>27</v>
      </c>
      <c r="J1150" s="118"/>
      <c r="K1150" s="118" t="s">
        <v>21</v>
      </c>
      <c r="L1150" s="118"/>
      <c r="M1150" s="118"/>
    </row>
    <row r="1151" spans="1:13" ht="45">
      <c r="A1151" s="3" t="s">
        <v>9</v>
      </c>
      <c r="B1151" s="3" t="s">
        <v>10</v>
      </c>
      <c r="C1151" s="3" t="s">
        <v>11</v>
      </c>
      <c r="D1151" s="3" t="s">
        <v>3</v>
      </c>
      <c r="E1151" s="4" t="s">
        <v>41</v>
      </c>
      <c r="F1151" s="4" t="s">
        <v>12</v>
      </c>
      <c r="G1151" s="3" t="s">
        <v>13</v>
      </c>
      <c r="H1151" s="3" t="s">
        <v>14</v>
      </c>
      <c r="I1151" s="3" t="s">
        <v>15</v>
      </c>
      <c r="J1151" s="3" t="s">
        <v>16</v>
      </c>
      <c r="K1151" s="3" t="s">
        <v>17</v>
      </c>
      <c r="L1151" s="3" t="s">
        <v>18</v>
      </c>
      <c r="M1151" s="3" t="s">
        <v>19</v>
      </c>
    </row>
    <row r="1152" spans="1:13">
      <c r="A1152" s="18">
        <v>1</v>
      </c>
      <c r="B1152" s="111" t="s">
        <v>1019</v>
      </c>
      <c r="C1152" s="18"/>
      <c r="D1152" s="18">
        <v>1</v>
      </c>
      <c r="E1152" s="20">
        <v>11500</v>
      </c>
      <c r="F1152" s="20">
        <v>16</v>
      </c>
      <c r="G1152" s="18"/>
      <c r="H1152" s="18">
        <v>1</v>
      </c>
      <c r="I1152" s="21" t="s">
        <v>902</v>
      </c>
      <c r="J1152" s="18">
        <v>1</v>
      </c>
      <c r="K1152" s="18">
        <v>9741</v>
      </c>
      <c r="L1152" s="22"/>
      <c r="M1152" s="18"/>
    </row>
    <row r="1153" spans="1:13">
      <c r="A1153" s="18"/>
      <c r="B1153" s="113"/>
      <c r="C1153" s="18"/>
      <c r="D1153" s="18"/>
      <c r="E1153" s="20"/>
      <c r="F1153" s="20"/>
      <c r="G1153" s="18"/>
      <c r="H1153" s="18">
        <v>1</v>
      </c>
      <c r="I1153" s="21" t="s">
        <v>947</v>
      </c>
      <c r="J1153" s="18">
        <v>1</v>
      </c>
      <c r="K1153" s="18">
        <v>1691</v>
      </c>
      <c r="L1153" s="22"/>
      <c r="M1153" s="18"/>
    </row>
    <row r="1154" spans="1:13">
      <c r="A1154" s="18">
        <v>2</v>
      </c>
      <c r="B1154" s="113"/>
      <c r="C1154" s="18"/>
      <c r="D1154" s="18">
        <v>1</v>
      </c>
      <c r="E1154" s="20">
        <v>11500</v>
      </c>
      <c r="F1154" s="20">
        <v>21</v>
      </c>
      <c r="G1154" s="18"/>
      <c r="H1154" s="18">
        <v>1</v>
      </c>
      <c r="I1154" s="21" t="s">
        <v>921</v>
      </c>
      <c r="J1154" s="18">
        <v>1</v>
      </c>
      <c r="K1154" s="18">
        <v>9667</v>
      </c>
      <c r="L1154" s="22"/>
      <c r="M1154" s="18"/>
    </row>
    <row r="1155" spans="1:13">
      <c r="A1155" s="18"/>
      <c r="B1155" s="113"/>
      <c r="C1155" s="18"/>
      <c r="D1155" s="18"/>
      <c r="E1155" s="20"/>
      <c r="F1155" s="20"/>
      <c r="G1155" s="18"/>
      <c r="H1155" s="18">
        <v>1</v>
      </c>
      <c r="I1155" s="21" t="s">
        <v>987</v>
      </c>
      <c r="J1155" s="18">
        <v>1</v>
      </c>
      <c r="K1155" s="18">
        <v>1441</v>
      </c>
      <c r="L1155" s="22"/>
      <c r="M1155" s="18"/>
    </row>
    <row r="1156" spans="1:13">
      <c r="A1156" s="18"/>
      <c r="B1156" s="113"/>
      <c r="C1156" s="18"/>
      <c r="D1156" s="18"/>
      <c r="E1156" s="20"/>
      <c r="F1156" s="20"/>
      <c r="G1156" s="18"/>
      <c r="H1156" s="18">
        <v>1</v>
      </c>
      <c r="I1156" s="21" t="s">
        <v>948</v>
      </c>
      <c r="J1156" s="18">
        <v>1</v>
      </c>
      <c r="K1156" s="18">
        <v>293</v>
      </c>
      <c r="L1156" s="22"/>
      <c r="M1156" s="18"/>
    </row>
    <row r="1157" spans="1:13">
      <c r="A1157" s="18">
        <v>3</v>
      </c>
      <c r="B1157" s="113"/>
      <c r="C1157" s="18"/>
      <c r="D1157" s="18">
        <v>1</v>
      </c>
      <c r="E1157" s="20">
        <v>11500</v>
      </c>
      <c r="F1157" s="20">
        <v>6</v>
      </c>
      <c r="G1157" s="18"/>
      <c r="H1157" s="18">
        <v>1</v>
      </c>
      <c r="I1157" s="21" t="s">
        <v>960</v>
      </c>
      <c r="J1157" s="18">
        <v>1</v>
      </c>
      <c r="K1157" s="18">
        <v>9591</v>
      </c>
      <c r="L1157" s="22"/>
      <c r="M1157" s="18"/>
    </row>
    <row r="1158" spans="1:13">
      <c r="A1158" s="18"/>
      <c r="B1158" s="113"/>
      <c r="C1158" s="18"/>
      <c r="D1158" s="18"/>
      <c r="E1158" s="20"/>
      <c r="F1158" s="20"/>
      <c r="G1158" s="18"/>
      <c r="H1158" s="18">
        <v>1</v>
      </c>
      <c r="I1158" s="21" t="s">
        <v>1000</v>
      </c>
      <c r="J1158" s="18">
        <v>1</v>
      </c>
      <c r="K1158" s="18">
        <v>1691</v>
      </c>
      <c r="L1158" s="22"/>
      <c r="M1158" s="18"/>
    </row>
    <row r="1159" spans="1:13">
      <c r="A1159" s="18"/>
      <c r="B1159" s="113"/>
      <c r="C1159" s="18"/>
      <c r="D1159" s="18"/>
      <c r="E1159" s="20"/>
      <c r="F1159" s="20"/>
      <c r="G1159" s="18"/>
      <c r="H1159" s="18">
        <v>1</v>
      </c>
      <c r="I1159" s="21" t="s">
        <v>1012</v>
      </c>
      <c r="J1159" s="18">
        <v>1</v>
      </c>
      <c r="K1159" s="18">
        <v>134</v>
      </c>
      <c r="L1159" s="22"/>
      <c r="M1159" s="18"/>
    </row>
    <row r="1160" spans="1:13">
      <c r="A1160" s="18">
        <v>4</v>
      </c>
      <c r="B1160" s="113"/>
      <c r="C1160" s="18"/>
      <c r="D1160" s="18">
        <v>1</v>
      </c>
      <c r="E1160" s="20">
        <v>11500</v>
      </c>
      <c r="F1160" s="20">
        <v>16</v>
      </c>
      <c r="G1160" s="18"/>
      <c r="H1160" s="18">
        <v>1</v>
      </c>
      <c r="I1160" s="21" t="s">
        <v>992</v>
      </c>
      <c r="J1160" s="18">
        <v>1</v>
      </c>
      <c r="K1160" s="18">
        <v>8891</v>
      </c>
      <c r="L1160" s="22"/>
      <c r="M1160" s="18"/>
    </row>
    <row r="1161" spans="1:13">
      <c r="A1161" s="18"/>
      <c r="B1161" s="113"/>
      <c r="C1161" s="18"/>
      <c r="D1161" s="18"/>
      <c r="E1161" s="20"/>
      <c r="F1161" s="20"/>
      <c r="G1161" s="18"/>
      <c r="H1161" s="18">
        <v>1</v>
      </c>
      <c r="I1161" s="21" t="s">
        <v>901</v>
      </c>
      <c r="J1161" s="18">
        <v>1</v>
      </c>
      <c r="K1161" s="18">
        <v>2541</v>
      </c>
      <c r="L1161" s="22"/>
      <c r="M1161" s="18"/>
    </row>
    <row r="1162" spans="1:13">
      <c r="A1162" s="18">
        <v>5</v>
      </c>
      <c r="B1162" s="113"/>
      <c r="C1162" s="18"/>
      <c r="D1162" s="18">
        <v>1</v>
      </c>
      <c r="E1162" s="20">
        <v>11500</v>
      </c>
      <c r="F1162" s="20">
        <v>5842</v>
      </c>
      <c r="G1162" s="18"/>
      <c r="H1162" s="18">
        <v>1</v>
      </c>
      <c r="I1162" s="21" t="s">
        <v>979</v>
      </c>
      <c r="J1162" s="18">
        <v>1</v>
      </c>
      <c r="K1162" s="18">
        <v>591</v>
      </c>
      <c r="L1162" s="22"/>
      <c r="M1162" s="18"/>
    </row>
    <row r="1163" spans="1:13">
      <c r="A1163" s="18"/>
      <c r="B1163" s="113"/>
      <c r="C1163" s="18"/>
      <c r="D1163" s="18"/>
      <c r="E1163" s="20"/>
      <c r="F1163" s="20"/>
      <c r="G1163" s="18"/>
      <c r="H1163" s="18">
        <v>1</v>
      </c>
      <c r="I1163" s="21" t="s">
        <v>981</v>
      </c>
      <c r="J1163" s="18">
        <v>1</v>
      </c>
      <c r="K1163" s="18">
        <v>591</v>
      </c>
      <c r="L1163" s="22"/>
      <c r="M1163" s="18"/>
    </row>
    <row r="1164" spans="1:13">
      <c r="A1164" s="18"/>
      <c r="B1164" s="113"/>
      <c r="C1164" s="18"/>
      <c r="D1164" s="18"/>
      <c r="E1164" s="20"/>
      <c r="F1164" s="20"/>
      <c r="G1164" s="18"/>
      <c r="H1164" s="18">
        <v>1</v>
      </c>
      <c r="I1164" s="21" t="s">
        <v>1009</v>
      </c>
      <c r="J1164" s="18">
        <v>1</v>
      </c>
      <c r="K1164" s="18">
        <v>591</v>
      </c>
      <c r="L1164" s="22"/>
      <c r="M1164" s="18"/>
    </row>
    <row r="1165" spans="1:13">
      <c r="A1165" s="18"/>
      <c r="B1165" s="113"/>
      <c r="C1165" s="18"/>
      <c r="D1165" s="18"/>
      <c r="E1165" s="20"/>
      <c r="F1165" s="20"/>
      <c r="G1165" s="18"/>
      <c r="H1165" s="18">
        <v>1</v>
      </c>
      <c r="I1165" s="21" t="s">
        <v>1010</v>
      </c>
      <c r="J1165" s="18">
        <v>1</v>
      </c>
      <c r="K1165" s="18">
        <v>591</v>
      </c>
      <c r="L1165" s="22"/>
      <c r="M1165" s="18"/>
    </row>
    <row r="1166" spans="1:13">
      <c r="A1166" s="18"/>
      <c r="B1166" s="113"/>
      <c r="C1166" s="18"/>
      <c r="D1166" s="18"/>
      <c r="E1166" s="20"/>
      <c r="F1166" s="20"/>
      <c r="G1166" s="18"/>
      <c r="H1166" s="18">
        <v>1</v>
      </c>
      <c r="I1166" s="21" t="s">
        <v>977</v>
      </c>
      <c r="J1166" s="18">
        <v>1</v>
      </c>
      <c r="K1166" s="18">
        <v>591</v>
      </c>
      <c r="L1166" s="22"/>
      <c r="M1166" s="18"/>
    </row>
    <row r="1167" spans="1:13">
      <c r="A1167" s="5"/>
      <c r="B1167" s="113"/>
      <c r="C1167" s="5"/>
      <c r="D1167" s="5"/>
      <c r="E1167" s="6"/>
      <c r="F1167" s="6"/>
      <c r="G1167" s="5"/>
      <c r="H1167" s="5">
        <v>1</v>
      </c>
      <c r="I1167" s="7" t="s">
        <v>891</v>
      </c>
      <c r="J1167" s="5">
        <v>1</v>
      </c>
      <c r="K1167" s="5">
        <v>439</v>
      </c>
      <c r="L1167" s="8"/>
      <c r="M1167" s="5"/>
    </row>
    <row r="1168" spans="1:13">
      <c r="A1168" s="5"/>
      <c r="B1168" s="113"/>
      <c r="C1168" s="5"/>
      <c r="D1168" s="5"/>
      <c r="E1168" s="6"/>
      <c r="F1168" s="6"/>
      <c r="G1168" s="5"/>
      <c r="H1168" s="5">
        <v>1</v>
      </c>
      <c r="I1168" s="7" t="s">
        <v>953</v>
      </c>
      <c r="J1168" s="5">
        <v>1</v>
      </c>
      <c r="K1168" s="5">
        <v>343</v>
      </c>
      <c r="L1168" s="8"/>
      <c r="M1168" s="18"/>
    </row>
    <row r="1169" spans="1:13">
      <c r="A1169" s="5"/>
      <c r="B1169" s="113"/>
      <c r="C1169" s="5"/>
      <c r="D1169" s="5"/>
      <c r="E1169" s="6"/>
      <c r="F1169" s="6"/>
      <c r="G1169" s="5"/>
      <c r="H1169" s="5">
        <v>1</v>
      </c>
      <c r="I1169" s="7" t="s">
        <v>1016</v>
      </c>
      <c r="J1169" s="5">
        <v>1</v>
      </c>
      <c r="K1169" s="5">
        <v>339</v>
      </c>
      <c r="L1169" s="8"/>
      <c r="M1169" s="5"/>
    </row>
    <row r="1170" spans="1:13">
      <c r="A1170" s="5"/>
      <c r="B1170" s="113"/>
      <c r="C1170" s="5"/>
      <c r="D1170" s="5"/>
      <c r="E1170" s="6"/>
      <c r="F1170" s="6"/>
      <c r="G1170" s="5"/>
      <c r="H1170" s="5">
        <v>1</v>
      </c>
      <c r="I1170" s="7" t="s">
        <v>1015</v>
      </c>
      <c r="J1170" s="5">
        <v>1</v>
      </c>
      <c r="K1170" s="5">
        <v>339</v>
      </c>
      <c r="L1170" s="8"/>
      <c r="M1170" s="5"/>
    </row>
    <row r="1171" spans="1:13">
      <c r="A1171" s="5"/>
      <c r="B1171" s="113"/>
      <c r="C1171" s="5"/>
      <c r="D1171" s="5"/>
      <c r="E1171" s="6"/>
      <c r="F1171" s="6"/>
      <c r="G1171" s="5"/>
      <c r="H1171" s="5">
        <v>1</v>
      </c>
      <c r="I1171" s="7" t="s">
        <v>986</v>
      </c>
      <c r="J1171" s="5">
        <v>1</v>
      </c>
      <c r="K1171" s="5">
        <v>252</v>
      </c>
      <c r="L1171" s="8"/>
      <c r="M1171" s="5"/>
    </row>
    <row r="1172" spans="1:13">
      <c r="A1172" s="5"/>
      <c r="B1172" s="113"/>
      <c r="C1172" s="5"/>
      <c r="D1172" s="5"/>
      <c r="E1172" s="6"/>
      <c r="F1172" s="6"/>
      <c r="G1172" s="5"/>
      <c r="H1172" s="5">
        <v>1</v>
      </c>
      <c r="I1172" s="7" t="s">
        <v>943</v>
      </c>
      <c r="J1172" s="5">
        <v>1</v>
      </c>
      <c r="K1172" s="5">
        <v>196</v>
      </c>
      <c r="L1172" s="8"/>
      <c r="M1172" s="5"/>
    </row>
    <row r="1173" spans="1:13">
      <c r="A1173" s="5"/>
      <c r="B1173" s="113"/>
      <c r="C1173" s="5"/>
      <c r="D1173" s="5"/>
      <c r="E1173" s="6"/>
      <c r="F1173" s="6"/>
      <c r="G1173" s="5"/>
      <c r="H1173" s="5">
        <v>1</v>
      </c>
      <c r="I1173" s="7" t="s">
        <v>926</v>
      </c>
      <c r="J1173" s="5">
        <v>1</v>
      </c>
      <c r="K1173" s="5">
        <v>189</v>
      </c>
      <c r="L1173" s="8"/>
      <c r="M1173" s="5"/>
    </row>
    <row r="1174" spans="1:13">
      <c r="A1174" s="5"/>
      <c r="B1174" s="113"/>
      <c r="C1174" s="5"/>
      <c r="D1174" s="5"/>
      <c r="E1174" s="6"/>
      <c r="F1174" s="6"/>
      <c r="G1174" s="5"/>
      <c r="H1174" s="5">
        <v>1</v>
      </c>
      <c r="I1174" s="7" t="s">
        <v>937</v>
      </c>
      <c r="J1174" s="5">
        <v>1</v>
      </c>
      <c r="K1174" s="5">
        <v>146</v>
      </c>
      <c r="L1174" s="8"/>
      <c r="M1174" s="5"/>
    </row>
    <row r="1175" spans="1:13">
      <c r="A1175" s="5"/>
      <c r="B1175" s="113"/>
      <c r="C1175" s="5"/>
      <c r="D1175" s="5"/>
      <c r="E1175" s="6"/>
      <c r="F1175" s="6"/>
      <c r="G1175" s="5"/>
      <c r="H1175" s="5">
        <v>1</v>
      </c>
      <c r="I1175" s="7" t="s">
        <v>997</v>
      </c>
      <c r="J1175" s="5">
        <v>1</v>
      </c>
      <c r="K1175" s="5">
        <v>96</v>
      </c>
      <c r="L1175" s="8"/>
      <c r="M1175" s="5"/>
    </row>
    <row r="1176" spans="1:13">
      <c r="A1176" s="5">
        <v>6</v>
      </c>
      <c r="B1176" s="113"/>
      <c r="C1176" s="5"/>
      <c r="D1176" s="5">
        <v>1</v>
      </c>
      <c r="E1176" s="6">
        <v>11500</v>
      </c>
      <c r="F1176" s="6">
        <v>26</v>
      </c>
      <c r="G1176" s="5"/>
      <c r="H1176" s="5">
        <v>1</v>
      </c>
      <c r="I1176" s="7" t="s">
        <v>912</v>
      </c>
      <c r="J1176" s="5">
        <v>1</v>
      </c>
      <c r="K1176" s="5">
        <v>6041</v>
      </c>
      <c r="L1176" s="8"/>
      <c r="M1176" s="5"/>
    </row>
    <row r="1177" spans="1:13">
      <c r="A1177" s="5"/>
      <c r="B1177" s="113"/>
      <c r="C1177" s="5"/>
      <c r="D1177" s="5"/>
      <c r="E1177" s="6"/>
      <c r="F1177" s="6"/>
      <c r="G1177" s="5"/>
      <c r="H1177" s="5">
        <v>1</v>
      </c>
      <c r="I1177" s="7" t="s">
        <v>922</v>
      </c>
      <c r="J1177" s="5">
        <v>1</v>
      </c>
      <c r="K1177" s="5">
        <v>4691</v>
      </c>
      <c r="L1177" s="8"/>
      <c r="M1177" s="5"/>
    </row>
    <row r="1178" spans="1:13">
      <c r="A1178" s="5"/>
      <c r="B1178" s="113"/>
      <c r="C1178" s="5"/>
      <c r="D1178" s="5"/>
      <c r="E1178" s="6"/>
      <c r="F1178" s="6"/>
      <c r="G1178" s="5"/>
      <c r="H1178" s="5">
        <v>1</v>
      </c>
      <c r="I1178" s="7" t="s">
        <v>965</v>
      </c>
      <c r="J1178" s="5">
        <v>1</v>
      </c>
      <c r="K1178" s="5">
        <v>664</v>
      </c>
      <c r="L1178" s="8"/>
      <c r="M1178" s="5"/>
    </row>
    <row r="1179" spans="1:13">
      <c r="A1179" s="5">
        <v>7</v>
      </c>
      <c r="B1179" s="113"/>
      <c r="C1179" s="5"/>
      <c r="D1179" s="5">
        <v>1</v>
      </c>
      <c r="E1179" s="6">
        <v>11500</v>
      </c>
      <c r="F1179" s="6">
        <v>11</v>
      </c>
      <c r="G1179" s="5"/>
      <c r="H1179" s="5">
        <v>1</v>
      </c>
      <c r="I1179" s="7" t="s">
        <v>982</v>
      </c>
      <c r="J1179" s="5">
        <v>1</v>
      </c>
      <c r="K1179" s="5">
        <v>6041</v>
      </c>
      <c r="L1179" s="8"/>
      <c r="M1179" s="5"/>
    </row>
    <row r="1180" spans="1:13">
      <c r="A1180" s="5"/>
      <c r="B1180" s="113"/>
      <c r="C1180" s="5"/>
      <c r="D1180" s="5"/>
      <c r="E1180" s="6"/>
      <c r="F1180" s="6"/>
      <c r="G1180" s="5"/>
      <c r="H1180" s="5">
        <v>1</v>
      </c>
      <c r="I1180" s="7" t="s">
        <v>938</v>
      </c>
      <c r="J1180" s="5">
        <v>1</v>
      </c>
      <c r="K1180" s="5">
        <v>4931</v>
      </c>
      <c r="L1180" s="8"/>
      <c r="M1180" s="5"/>
    </row>
    <row r="1181" spans="1:13">
      <c r="A1181" s="5"/>
      <c r="B1181" s="113"/>
      <c r="C1181" s="5"/>
      <c r="D1181" s="5"/>
      <c r="E1181" s="6"/>
      <c r="F1181" s="6"/>
      <c r="G1181" s="5"/>
      <c r="H1181" s="5">
        <v>1</v>
      </c>
      <c r="I1181" s="7" t="s">
        <v>889</v>
      </c>
      <c r="J1181" s="5">
        <v>1</v>
      </c>
      <c r="K1181" s="5">
        <v>439</v>
      </c>
      <c r="L1181" s="8"/>
      <c r="M1181" s="5"/>
    </row>
    <row r="1182" spans="1:13">
      <c r="A1182" s="5">
        <v>8</v>
      </c>
      <c r="B1182" s="113"/>
      <c r="C1182" s="5"/>
      <c r="D1182" s="5">
        <v>1</v>
      </c>
      <c r="E1182" s="6">
        <v>11500</v>
      </c>
      <c r="F1182" s="6">
        <v>96</v>
      </c>
      <c r="G1182" s="5"/>
      <c r="H1182" s="5">
        <v>1</v>
      </c>
      <c r="I1182" s="7" t="s">
        <v>919</v>
      </c>
      <c r="J1182" s="5">
        <v>1</v>
      </c>
      <c r="K1182" s="5">
        <v>5437</v>
      </c>
      <c r="L1182" s="8"/>
      <c r="M1182" s="5"/>
    </row>
    <row r="1183" spans="1:13">
      <c r="A1183" s="5"/>
      <c r="B1183" s="113"/>
      <c r="C1183" s="5"/>
      <c r="D1183" s="5"/>
      <c r="E1183" s="6"/>
      <c r="F1183" s="6"/>
      <c r="G1183" s="5"/>
      <c r="H1183" s="5">
        <v>1</v>
      </c>
      <c r="I1183" s="7" t="s">
        <v>923</v>
      </c>
      <c r="J1183" s="5">
        <v>1</v>
      </c>
      <c r="K1183" s="5">
        <v>5298</v>
      </c>
      <c r="L1183" s="8"/>
      <c r="M1183" s="5"/>
    </row>
    <row r="1184" spans="1:13">
      <c r="A1184" s="5"/>
      <c r="B1184" s="112"/>
      <c r="C1184" s="5"/>
      <c r="D1184" s="5"/>
      <c r="E1184" s="6"/>
      <c r="F1184" s="6"/>
      <c r="G1184" s="5"/>
      <c r="H1184" s="5">
        <v>1</v>
      </c>
      <c r="I1184" s="7" t="s">
        <v>931</v>
      </c>
      <c r="J1184" s="5">
        <v>1</v>
      </c>
      <c r="K1184" s="5">
        <v>591</v>
      </c>
      <c r="L1184" s="8"/>
      <c r="M1184" s="5"/>
    </row>
    <row r="1185" spans="1:13">
      <c r="A1185" s="5">
        <v>9</v>
      </c>
      <c r="B1185" s="111" t="s">
        <v>1019</v>
      </c>
      <c r="C1185" s="5"/>
      <c r="D1185" s="5">
        <v>1</v>
      </c>
      <c r="E1185" s="6">
        <v>11500</v>
      </c>
      <c r="F1185" s="6">
        <v>2</v>
      </c>
      <c r="G1185" s="5"/>
      <c r="H1185" s="5">
        <v>1</v>
      </c>
      <c r="I1185" s="7" t="s">
        <v>914</v>
      </c>
      <c r="J1185" s="5">
        <v>1</v>
      </c>
      <c r="K1185" s="5">
        <v>4631</v>
      </c>
      <c r="L1185" s="8"/>
      <c r="M1185" s="5"/>
    </row>
    <row r="1186" spans="1:13">
      <c r="A1186" s="5"/>
      <c r="B1186" s="113"/>
      <c r="C1186" s="5"/>
      <c r="D1186" s="5"/>
      <c r="E1186" s="6"/>
      <c r="F1186" s="6"/>
      <c r="G1186" s="5"/>
      <c r="H1186" s="5">
        <v>1</v>
      </c>
      <c r="I1186" s="7" t="s">
        <v>957</v>
      </c>
      <c r="J1186" s="5">
        <v>1</v>
      </c>
      <c r="K1186" s="5">
        <v>791</v>
      </c>
      <c r="L1186" s="8"/>
      <c r="M1186" s="5"/>
    </row>
    <row r="1187" spans="1:13">
      <c r="A1187" s="5"/>
      <c r="B1187" s="113"/>
      <c r="C1187" s="5"/>
      <c r="D1187" s="5"/>
      <c r="E1187" s="6"/>
      <c r="F1187" s="6"/>
      <c r="G1187" s="5"/>
      <c r="H1187" s="5">
        <v>1</v>
      </c>
      <c r="I1187" s="7" t="s">
        <v>1007</v>
      </c>
      <c r="J1187" s="5">
        <v>1</v>
      </c>
      <c r="K1187" s="5">
        <v>791</v>
      </c>
      <c r="L1187" s="8"/>
      <c r="M1187" s="5"/>
    </row>
    <row r="1188" spans="1:13">
      <c r="A1188" s="5"/>
      <c r="B1188" s="113"/>
      <c r="C1188" s="5"/>
      <c r="D1188" s="5"/>
      <c r="E1188" s="6"/>
      <c r="F1188" s="6"/>
      <c r="G1188" s="5"/>
      <c r="H1188" s="5">
        <v>1</v>
      </c>
      <c r="I1188" s="7" t="s">
        <v>961</v>
      </c>
      <c r="J1188" s="5">
        <v>1</v>
      </c>
      <c r="K1188" s="5">
        <v>777</v>
      </c>
      <c r="L1188" s="8"/>
      <c r="M1188" s="5"/>
    </row>
    <row r="1189" spans="1:13">
      <c r="A1189" s="5"/>
      <c r="B1189" s="113"/>
      <c r="C1189" s="5"/>
      <c r="D1189" s="5"/>
      <c r="E1189" s="6"/>
      <c r="F1189" s="6"/>
      <c r="G1189" s="5"/>
      <c r="H1189" s="5">
        <v>1</v>
      </c>
      <c r="I1189" s="7" t="s">
        <v>962</v>
      </c>
      <c r="J1189" s="5">
        <v>1</v>
      </c>
      <c r="K1189" s="5">
        <v>777</v>
      </c>
      <c r="L1189" s="8"/>
      <c r="M1189" s="5"/>
    </row>
    <row r="1190" spans="1:13">
      <c r="A1190" s="5"/>
      <c r="B1190" s="113"/>
      <c r="C1190" s="5"/>
      <c r="D1190" s="5"/>
      <c r="E1190" s="6"/>
      <c r="F1190" s="6"/>
      <c r="G1190" s="5"/>
      <c r="H1190" s="5">
        <v>1</v>
      </c>
      <c r="I1190" s="7" t="s">
        <v>963</v>
      </c>
      <c r="J1190" s="5">
        <v>1</v>
      </c>
      <c r="K1190" s="5">
        <v>777</v>
      </c>
      <c r="L1190" s="8"/>
      <c r="M1190" s="5"/>
    </row>
    <row r="1191" spans="1:13">
      <c r="A1191" s="5"/>
      <c r="B1191" s="113"/>
      <c r="C1191" s="5"/>
      <c r="D1191" s="5"/>
      <c r="E1191" s="6"/>
      <c r="F1191" s="6"/>
      <c r="G1191" s="5"/>
      <c r="H1191" s="5">
        <v>1</v>
      </c>
      <c r="I1191" s="7" t="s">
        <v>964</v>
      </c>
      <c r="J1191" s="5">
        <v>1</v>
      </c>
      <c r="K1191" s="5">
        <v>777</v>
      </c>
      <c r="L1191" s="8"/>
      <c r="M1191" s="5"/>
    </row>
    <row r="1192" spans="1:13">
      <c r="A1192" s="5"/>
      <c r="B1192" s="113"/>
      <c r="C1192" s="5"/>
      <c r="D1192" s="5"/>
      <c r="E1192" s="6"/>
      <c r="F1192" s="6"/>
      <c r="G1192" s="5"/>
      <c r="H1192" s="5">
        <v>1</v>
      </c>
      <c r="I1192" s="7" t="s">
        <v>925</v>
      </c>
      <c r="J1192" s="5">
        <v>1</v>
      </c>
      <c r="K1192" s="5">
        <v>763</v>
      </c>
      <c r="L1192" s="8"/>
      <c r="M1192" s="5"/>
    </row>
    <row r="1193" spans="1:13">
      <c r="A1193" s="5"/>
      <c r="B1193" s="113"/>
      <c r="C1193" s="5"/>
      <c r="D1193" s="5"/>
      <c r="E1193" s="6"/>
      <c r="F1193" s="6"/>
      <c r="G1193" s="5"/>
      <c r="H1193" s="5">
        <v>1</v>
      </c>
      <c r="I1193" s="7" t="s">
        <v>990</v>
      </c>
      <c r="J1193" s="5">
        <v>1</v>
      </c>
      <c r="K1193" s="5">
        <v>763</v>
      </c>
      <c r="L1193" s="8"/>
      <c r="M1193" s="5"/>
    </row>
    <row r="1194" spans="1:13">
      <c r="A1194" s="5"/>
      <c r="B1194" s="113"/>
      <c r="C1194" s="5"/>
      <c r="D1194" s="5"/>
      <c r="E1194" s="6"/>
      <c r="F1194" s="6"/>
      <c r="G1194" s="5"/>
      <c r="H1194" s="5">
        <v>1</v>
      </c>
      <c r="I1194" s="7" t="s">
        <v>1005</v>
      </c>
      <c r="J1194" s="5">
        <v>1</v>
      </c>
      <c r="K1194" s="5">
        <v>391</v>
      </c>
      <c r="L1194" s="8"/>
      <c r="M1194" s="5"/>
    </row>
    <row r="1195" spans="1:13">
      <c r="A1195" s="5">
        <v>10</v>
      </c>
      <c r="B1195" s="113"/>
      <c r="C1195" s="5"/>
      <c r="D1195" s="5">
        <v>1</v>
      </c>
      <c r="E1195" s="6">
        <v>11500</v>
      </c>
      <c r="F1195" s="6">
        <v>3</v>
      </c>
      <c r="G1195" s="5"/>
      <c r="H1195" s="5">
        <v>1</v>
      </c>
      <c r="I1195" s="7" t="s">
        <v>940</v>
      </c>
      <c r="J1195" s="5">
        <v>1</v>
      </c>
      <c r="K1195" s="5">
        <v>4361</v>
      </c>
      <c r="L1195" s="8"/>
      <c r="M1195" s="5"/>
    </row>
    <row r="1196" spans="1:13">
      <c r="A1196" s="5"/>
      <c r="B1196" s="113"/>
      <c r="C1196" s="5"/>
      <c r="D1196" s="5"/>
      <c r="E1196" s="6"/>
      <c r="F1196" s="6"/>
      <c r="G1196" s="5"/>
      <c r="H1196" s="5">
        <v>1</v>
      </c>
      <c r="I1196" s="7" t="s">
        <v>924</v>
      </c>
      <c r="J1196" s="5">
        <v>1</v>
      </c>
      <c r="K1196" s="5">
        <v>4311</v>
      </c>
      <c r="L1196" s="8"/>
      <c r="M1196" s="5"/>
    </row>
    <row r="1197" spans="1:13">
      <c r="A1197" s="5"/>
      <c r="B1197" s="113"/>
      <c r="C1197" s="5"/>
      <c r="D1197" s="5"/>
      <c r="E1197" s="6"/>
      <c r="F1197" s="6"/>
      <c r="G1197" s="5"/>
      <c r="H1197" s="5">
        <v>1</v>
      </c>
      <c r="I1197" s="7" t="s">
        <v>949</v>
      </c>
      <c r="J1197" s="5">
        <v>1</v>
      </c>
      <c r="K1197" s="5">
        <v>2747</v>
      </c>
      <c r="L1197" s="8"/>
      <c r="M1197" s="5"/>
    </row>
    <row r="1198" spans="1:13">
      <c r="A1198" s="5">
        <v>11</v>
      </c>
      <c r="B1198" s="113"/>
      <c r="C1198" s="5"/>
      <c r="D1198" s="5">
        <v>1</v>
      </c>
      <c r="E1198" s="6">
        <v>11500</v>
      </c>
      <c r="F1198" s="6">
        <v>81</v>
      </c>
      <c r="G1198" s="5"/>
      <c r="H1198" s="5">
        <v>1</v>
      </c>
      <c r="I1198" s="7" t="s">
        <v>978</v>
      </c>
      <c r="J1198" s="5">
        <v>1</v>
      </c>
      <c r="K1198" s="5">
        <v>3941</v>
      </c>
      <c r="L1198" s="8"/>
      <c r="M1198" s="5"/>
    </row>
    <row r="1199" spans="1:13">
      <c r="A1199" s="5"/>
      <c r="B1199" s="113"/>
      <c r="C1199" s="5"/>
      <c r="D1199" s="5"/>
      <c r="E1199" s="6"/>
      <c r="F1199" s="6"/>
      <c r="G1199" s="5"/>
      <c r="H1199" s="5">
        <v>1</v>
      </c>
      <c r="I1199" s="7" t="s">
        <v>980</v>
      </c>
      <c r="J1199" s="5">
        <v>1</v>
      </c>
      <c r="K1199" s="5">
        <v>3941</v>
      </c>
      <c r="L1199" s="8"/>
      <c r="M1199" s="5"/>
    </row>
    <row r="1200" spans="1:13">
      <c r="A1200" s="5"/>
      <c r="B1200" s="113"/>
      <c r="C1200" s="5"/>
      <c r="D1200" s="5"/>
      <c r="E1200" s="6"/>
      <c r="F1200" s="6"/>
      <c r="G1200" s="5"/>
      <c r="H1200" s="5">
        <v>1</v>
      </c>
      <c r="I1200" s="7" t="s">
        <v>927</v>
      </c>
      <c r="J1200" s="5">
        <v>1</v>
      </c>
      <c r="K1200" s="5">
        <v>3459</v>
      </c>
      <c r="L1200" s="8"/>
      <c r="M1200" s="5"/>
    </row>
    <row r="1201" spans="1:13">
      <c r="A1201" s="5">
        <v>12</v>
      </c>
      <c r="B1201" s="113"/>
      <c r="C1201" s="5"/>
      <c r="D1201" s="5">
        <v>1</v>
      </c>
      <c r="E1201" s="6">
        <v>11500</v>
      </c>
      <c r="F1201" s="6">
        <v>37</v>
      </c>
      <c r="G1201" s="5"/>
      <c r="H1201" s="5">
        <v>1</v>
      </c>
      <c r="I1201" s="7" t="s">
        <v>975</v>
      </c>
      <c r="J1201" s="5">
        <v>1</v>
      </c>
      <c r="K1201" s="5">
        <v>3941</v>
      </c>
      <c r="L1201" s="8"/>
      <c r="M1201" s="5"/>
    </row>
    <row r="1202" spans="1:13">
      <c r="A1202" s="5"/>
      <c r="B1202" s="113"/>
      <c r="C1202" s="5"/>
      <c r="D1202" s="5"/>
      <c r="E1202" s="6"/>
      <c r="F1202" s="6"/>
      <c r="G1202" s="5"/>
      <c r="H1202" s="5">
        <v>1</v>
      </c>
      <c r="I1202" s="7" t="s">
        <v>995</v>
      </c>
      <c r="J1202" s="5">
        <v>1</v>
      </c>
      <c r="K1202" s="5">
        <v>1327</v>
      </c>
      <c r="L1202" s="8"/>
      <c r="M1202" s="5"/>
    </row>
    <row r="1203" spans="1:13">
      <c r="A1203" s="5"/>
      <c r="B1203" s="113"/>
      <c r="C1203" s="5"/>
      <c r="D1203" s="5"/>
      <c r="E1203" s="6"/>
      <c r="F1203" s="6"/>
      <c r="G1203" s="5"/>
      <c r="H1203" s="5">
        <v>1</v>
      </c>
      <c r="I1203" s="7" t="s">
        <v>994</v>
      </c>
      <c r="J1203" s="5">
        <v>1</v>
      </c>
      <c r="K1203" s="5">
        <v>1211</v>
      </c>
      <c r="L1203" s="8"/>
      <c r="M1203" s="5"/>
    </row>
    <row r="1204" spans="1:13">
      <c r="A1204" s="5"/>
      <c r="B1204" s="113"/>
      <c r="C1204" s="5"/>
      <c r="D1204" s="5"/>
      <c r="E1204" s="6"/>
      <c r="F1204" s="6"/>
      <c r="G1204" s="5"/>
      <c r="H1204" s="5">
        <v>1</v>
      </c>
      <c r="I1204" s="7" t="s">
        <v>993</v>
      </c>
      <c r="J1204" s="5">
        <v>1</v>
      </c>
      <c r="K1204" s="5">
        <v>1191</v>
      </c>
      <c r="L1204" s="8"/>
      <c r="M1204" s="5"/>
    </row>
    <row r="1205" spans="1:13">
      <c r="A1205" s="5"/>
      <c r="B1205" s="113"/>
      <c r="C1205" s="5"/>
      <c r="D1205" s="5"/>
      <c r="E1205" s="6"/>
      <c r="F1205" s="6"/>
      <c r="G1205" s="5"/>
      <c r="H1205" s="5">
        <v>1</v>
      </c>
      <c r="I1205" s="7" t="s">
        <v>942</v>
      </c>
      <c r="J1205" s="5">
        <v>1</v>
      </c>
      <c r="K1205" s="5">
        <v>1184</v>
      </c>
      <c r="L1205" s="8"/>
      <c r="M1205" s="5"/>
    </row>
    <row r="1206" spans="1:13">
      <c r="A1206" s="5"/>
      <c r="B1206" s="113"/>
      <c r="C1206" s="5"/>
      <c r="D1206" s="5"/>
      <c r="E1206" s="6"/>
      <c r="F1206" s="6"/>
      <c r="G1206" s="5"/>
      <c r="H1206" s="5">
        <v>1</v>
      </c>
      <c r="I1206" s="7" t="s">
        <v>944</v>
      </c>
      <c r="J1206" s="5">
        <v>1</v>
      </c>
      <c r="K1206" s="5">
        <v>1082</v>
      </c>
      <c r="L1206" s="8"/>
      <c r="M1206" s="5"/>
    </row>
    <row r="1207" spans="1:13">
      <c r="A1207" s="5"/>
      <c r="B1207" s="113"/>
      <c r="C1207" s="5"/>
      <c r="D1207" s="5"/>
      <c r="E1207" s="6"/>
      <c r="F1207" s="6"/>
      <c r="G1207" s="5"/>
      <c r="H1207" s="5">
        <v>1</v>
      </c>
      <c r="I1207" s="7" t="s">
        <v>972</v>
      </c>
      <c r="J1207" s="5">
        <v>1</v>
      </c>
      <c r="K1207" s="5">
        <v>1031</v>
      </c>
      <c r="L1207" s="8"/>
      <c r="M1207" s="5"/>
    </row>
    <row r="1208" spans="1:13">
      <c r="A1208" s="5"/>
      <c r="B1208" s="113"/>
      <c r="C1208" s="5"/>
      <c r="D1208" s="5"/>
      <c r="E1208" s="6"/>
      <c r="F1208" s="6"/>
      <c r="G1208" s="5"/>
      <c r="H1208" s="5">
        <v>1</v>
      </c>
      <c r="I1208" s="7" t="s">
        <v>932</v>
      </c>
      <c r="J1208" s="5">
        <v>1</v>
      </c>
      <c r="K1208" s="5">
        <v>288</v>
      </c>
      <c r="L1208" s="8"/>
      <c r="M1208" s="5"/>
    </row>
    <row r="1209" spans="1:13">
      <c r="A1209" s="5">
        <v>13</v>
      </c>
      <c r="B1209" s="113"/>
      <c r="C1209" s="5"/>
      <c r="D1209" s="5">
        <v>1</v>
      </c>
      <c r="E1209" s="6">
        <v>11500</v>
      </c>
      <c r="F1209" s="6">
        <v>50</v>
      </c>
      <c r="G1209" s="5"/>
      <c r="H1209" s="5">
        <v>1</v>
      </c>
      <c r="I1209" s="7" t="s">
        <v>973</v>
      </c>
      <c r="J1209" s="5">
        <v>1</v>
      </c>
      <c r="K1209" s="5">
        <v>3941</v>
      </c>
      <c r="L1209" s="8"/>
      <c r="M1209" s="5"/>
    </row>
    <row r="1210" spans="1:13">
      <c r="A1210" s="5"/>
      <c r="B1210" s="113"/>
      <c r="C1210" s="5"/>
      <c r="D1210" s="5"/>
      <c r="E1210" s="6"/>
      <c r="F1210" s="6"/>
      <c r="G1210" s="5"/>
      <c r="H1210" s="5">
        <v>1</v>
      </c>
      <c r="I1210" s="7" t="s">
        <v>1017</v>
      </c>
      <c r="J1210" s="5">
        <v>1</v>
      </c>
      <c r="K1210" s="5">
        <v>1841</v>
      </c>
      <c r="L1210" s="8"/>
      <c r="M1210" s="5"/>
    </row>
    <row r="1211" spans="1:13">
      <c r="A1211" s="5"/>
      <c r="B1211" s="113"/>
      <c r="C1211" s="5"/>
      <c r="D1211" s="5"/>
      <c r="E1211" s="6"/>
      <c r="F1211" s="6"/>
      <c r="G1211" s="5"/>
      <c r="H1211" s="5">
        <v>1</v>
      </c>
      <c r="I1211" s="7" t="s">
        <v>999</v>
      </c>
      <c r="J1211" s="5">
        <v>1</v>
      </c>
      <c r="K1211" s="5">
        <v>1811</v>
      </c>
      <c r="L1211" s="8"/>
      <c r="M1211" s="5"/>
    </row>
    <row r="1212" spans="1:13">
      <c r="A1212" s="5"/>
      <c r="B1212" s="113"/>
      <c r="C1212" s="5"/>
      <c r="D1212" s="5"/>
      <c r="E1212" s="6"/>
      <c r="F1212" s="6"/>
      <c r="G1212" s="5"/>
      <c r="H1212" s="5">
        <v>1</v>
      </c>
      <c r="I1212" s="7" t="s">
        <v>966</v>
      </c>
      <c r="J1212" s="5">
        <v>1</v>
      </c>
      <c r="K1212" s="5">
        <v>1741</v>
      </c>
      <c r="L1212" s="8"/>
      <c r="M1212" s="5"/>
    </row>
    <row r="1213" spans="1:13">
      <c r="A1213" s="5"/>
      <c r="B1213" s="113"/>
      <c r="C1213" s="5"/>
      <c r="D1213" s="5"/>
      <c r="E1213" s="6"/>
      <c r="F1213" s="6"/>
      <c r="G1213" s="5"/>
      <c r="H1213" s="5">
        <v>1</v>
      </c>
      <c r="I1213" s="7" t="s">
        <v>998</v>
      </c>
      <c r="J1213" s="5">
        <v>1</v>
      </c>
      <c r="K1213" s="5">
        <v>1369</v>
      </c>
      <c r="L1213" s="8"/>
      <c r="M1213" s="5"/>
    </row>
    <row r="1214" spans="1:13">
      <c r="A1214" s="5"/>
      <c r="B1214" s="113"/>
      <c r="C1214" s="5"/>
      <c r="D1214" s="5"/>
      <c r="E1214" s="6"/>
      <c r="F1214" s="6"/>
      <c r="G1214" s="5"/>
      <c r="H1214" s="5">
        <v>1</v>
      </c>
      <c r="I1214" s="7" t="s">
        <v>1008</v>
      </c>
      <c r="J1214" s="5">
        <v>1</v>
      </c>
      <c r="K1214" s="5">
        <v>591</v>
      </c>
      <c r="L1214" s="8"/>
      <c r="M1214" s="5"/>
    </row>
    <row r="1215" spans="1:13">
      <c r="A1215" s="5">
        <v>14</v>
      </c>
      <c r="B1215" s="113"/>
      <c r="C1215" s="5"/>
      <c r="D1215" s="5">
        <v>1</v>
      </c>
      <c r="E1215" s="6">
        <v>11500</v>
      </c>
      <c r="F1215" s="6">
        <v>5</v>
      </c>
      <c r="G1215" s="5"/>
      <c r="H1215" s="5">
        <v>1</v>
      </c>
      <c r="I1215" s="7" t="s">
        <v>971</v>
      </c>
      <c r="J1215" s="5">
        <v>1</v>
      </c>
      <c r="K1215" s="5">
        <v>3941</v>
      </c>
      <c r="L1215" s="8"/>
      <c r="M1215" s="5"/>
    </row>
    <row r="1216" spans="1:13">
      <c r="A1216" s="5"/>
      <c r="B1216" s="113"/>
      <c r="C1216" s="5"/>
      <c r="D1216" s="5"/>
      <c r="E1216" s="6"/>
      <c r="F1216" s="6"/>
      <c r="G1216" s="5"/>
      <c r="H1216" s="5">
        <v>1</v>
      </c>
      <c r="I1216" s="7" t="s">
        <v>1011</v>
      </c>
      <c r="J1216" s="5">
        <v>1</v>
      </c>
      <c r="K1216" s="5">
        <v>2391</v>
      </c>
      <c r="L1216" s="8"/>
      <c r="M1216" s="5"/>
    </row>
    <row r="1217" spans="1:13">
      <c r="A1217" s="5"/>
      <c r="B1217" s="113"/>
      <c r="C1217" s="5"/>
      <c r="D1217" s="5"/>
      <c r="E1217" s="6"/>
      <c r="F1217" s="6"/>
      <c r="G1217" s="5"/>
      <c r="H1217" s="5">
        <v>1</v>
      </c>
      <c r="I1217" s="7" t="s">
        <v>985</v>
      </c>
      <c r="J1217" s="5">
        <v>1</v>
      </c>
      <c r="K1217" s="5">
        <v>2141</v>
      </c>
      <c r="L1217" s="8"/>
      <c r="M1217" s="5"/>
    </row>
    <row r="1218" spans="1:13">
      <c r="A1218" s="5"/>
      <c r="B1218" s="113"/>
      <c r="C1218" s="5"/>
      <c r="D1218" s="5"/>
      <c r="E1218" s="6"/>
      <c r="F1218" s="6"/>
      <c r="G1218" s="5"/>
      <c r="H1218" s="5">
        <v>1</v>
      </c>
      <c r="I1218" s="7" t="s">
        <v>939</v>
      </c>
      <c r="J1218" s="5">
        <v>1</v>
      </c>
      <c r="K1218" s="5">
        <v>1941</v>
      </c>
      <c r="L1218" s="8"/>
      <c r="M1218" s="5"/>
    </row>
    <row r="1219" spans="1:13">
      <c r="A1219" s="5"/>
      <c r="B1219" s="112"/>
      <c r="C1219" s="5"/>
      <c r="D1219" s="5"/>
      <c r="E1219" s="6"/>
      <c r="F1219" s="6"/>
      <c r="G1219" s="5"/>
      <c r="H1219" s="5">
        <v>1</v>
      </c>
      <c r="I1219" s="7" t="s">
        <v>1014</v>
      </c>
      <c r="J1219" s="5">
        <v>1</v>
      </c>
      <c r="K1219" s="5">
        <v>951</v>
      </c>
      <c r="L1219" s="8"/>
      <c r="M1219" s="5"/>
    </row>
    <row r="1220" spans="1:13">
      <c r="A1220" s="5">
        <v>15</v>
      </c>
      <c r="B1220" s="111" t="s">
        <v>1019</v>
      </c>
      <c r="C1220" s="5"/>
      <c r="D1220" s="5">
        <v>1</v>
      </c>
      <c r="E1220" s="6">
        <v>11500</v>
      </c>
      <c r="F1220" s="6">
        <v>17</v>
      </c>
      <c r="G1220" s="5"/>
      <c r="H1220" s="5">
        <v>1</v>
      </c>
      <c r="I1220" s="7" t="s">
        <v>969</v>
      </c>
      <c r="J1220" s="5">
        <v>1</v>
      </c>
      <c r="K1220" s="5">
        <v>3941</v>
      </c>
      <c r="L1220" s="8"/>
      <c r="M1220" s="5"/>
    </row>
    <row r="1221" spans="1:13">
      <c r="A1221" s="5"/>
      <c r="B1221" s="113"/>
      <c r="C1221" s="5"/>
      <c r="D1221" s="5"/>
      <c r="E1221" s="6"/>
      <c r="F1221" s="6"/>
      <c r="G1221" s="5"/>
      <c r="H1221" s="5">
        <v>1</v>
      </c>
      <c r="I1221" s="7" t="s">
        <v>988</v>
      </c>
      <c r="J1221" s="5">
        <v>1</v>
      </c>
      <c r="K1221" s="5">
        <v>3399</v>
      </c>
      <c r="L1221" s="8"/>
      <c r="M1221" s="5"/>
    </row>
    <row r="1222" spans="1:13">
      <c r="A1222" s="5"/>
      <c r="B1222" s="113"/>
      <c r="C1222" s="5"/>
      <c r="D1222" s="5"/>
      <c r="E1222" s="6"/>
      <c r="F1222" s="6"/>
      <c r="G1222" s="5"/>
      <c r="H1222" s="5">
        <v>1</v>
      </c>
      <c r="I1222" s="7" t="s">
        <v>935</v>
      </c>
      <c r="J1222" s="5">
        <v>1</v>
      </c>
      <c r="K1222" s="5">
        <v>2937</v>
      </c>
      <c r="L1222" s="8"/>
      <c r="M1222" s="5"/>
    </row>
    <row r="1223" spans="1:13">
      <c r="A1223" s="5"/>
      <c r="B1223" s="113"/>
      <c r="C1223" s="5"/>
      <c r="D1223" s="5"/>
      <c r="E1223" s="6"/>
      <c r="F1223" s="6"/>
      <c r="G1223" s="5"/>
      <c r="H1223" s="5">
        <v>1</v>
      </c>
      <c r="I1223" s="7" t="s">
        <v>950</v>
      </c>
      <c r="J1223" s="5">
        <v>1</v>
      </c>
      <c r="K1223" s="5">
        <v>1102</v>
      </c>
      <c r="L1223" s="8"/>
      <c r="M1223" s="5"/>
    </row>
    <row r="1224" spans="1:13">
      <c r="A1224" s="5">
        <v>16</v>
      </c>
      <c r="B1224" s="113"/>
      <c r="C1224" s="5"/>
      <c r="D1224" s="5">
        <v>1</v>
      </c>
      <c r="E1224" s="6">
        <v>11500</v>
      </c>
      <c r="F1224" s="6">
        <v>14</v>
      </c>
      <c r="G1224" s="5"/>
      <c r="H1224" s="5">
        <v>1</v>
      </c>
      <c r="I1224" s="7" t="s">
        <v>967</v>
      </c>
      <c r="J1224" s="5">
        <v>1</v>
      </c>
      <c r="K1224" s="5">
        <v>3941</v>
      </c>
      <c r="L1224" s="8"/>
      <c r="M1224" s="5"/>
    </row>
    <row r="1225" spans="1:13">
      <c r="A1225" s="5"/>
      <c r="B1225" s="113"/>
      <c r="C1225" s="5"/>
      <c r="D1225" s="5"/>
      <c r="E1225" s="6"/>
      <c r="F1225" s="6"/>
      <c r="G1225" s="5"/>
      <c r="H1225" s="5">
        <v>1</v>
      </c>
      <c r="I1225" s="7" t="s">
        <v>968</v>
      </c>
      <c r="J1225" s="5">
        <v>1</v>
      </c>
      <c r="K1225" s="5">
        <v>1091</v>
      </c>
      <c r="L1225" s="8"/>
      <c r="M1225" s="5"/>
    </row>
    <row r="1226" spans="1:13">
      <c r="A1226" s="5"/>
      <c r="B1226" s="113"/>
      <c r="C1226" s="5"/>
      <c r="D1226" s="5"/>
      <c r="E1226" s="6"/>
      <c r="F1226" s="6"/>
      <c r="G1226" s="5"/>
      <c r="H1226" s="5">
        <v>1</v>
      </c>
      <c r="I1226" s="7" t="s">
        <v>893</v>
      </c>
      <c r="J1226" s="5">
        <v>1</v>
      </c>
      <c r="K1226" s="5">
        <v>1091</v>
      </c>
      <c r="L1226" s="8"/>
      <c r="M1226" s="5"/>
    </row>
    <row r="1227" spans="1:13">
      <c r="A1227" s="5"/>
      <c r="B1227" s="113"/>
      <c r="C1227" s="5"/>
      <c r="D1227" s="5"/>
      <c r="E1227" s="6"/>
      <c r="F1227" s="6"/>
      <c r="G1227" s="5"/>
      <c r="H1227" s="5">
        <v>1</v>
      </c>
      <c r="I1227" s="7" t="s">
        <v>896</v>
      </c>
      <c r="J1227" s="5">
        <v>1</v>
      </c>
      <c r="K1227" s="5">
        <v>1091</v>
      </c>
      <c r="L1227" s="8"/>
      <c r="M1227" s="5"/>
    </row>
    <row r="1228" spans="1:13">
      <c r="A1228" s="5"/>
      <c r="B1228" s="113"/>
      <c r="C1228" s="5"/>
      <c r="D1228" s="5"/>
      <c r="E1228" s="6"/>
      <c r="F1228" s="6"/>
      <c r="G1228" s="5"/>
      <c r="H1228" s="5">
        <v>1</v>
      </c>
      <c r="I1228" s="7" t="s">
        <v>899</v>
      </c>
      <c r="J1228" s="5">
        <v>1</v>
      </c>
      <c r="K1228" s="5">
        <v>1091</v>
      </c>
      <c r="L1228" s="8"/>
      <c r="M1228" s="5"/>
    </row>
    <row r="1229" spans="1:13">
      <c r="A1229" s="5"/>
      <c r="B1229" s="113"/>
      <c r="C1229" s="5"/>
      <c r="D1229" s="5"/>
      <c r="E1229" s="6"/>
      <c r="F1229" s="6"/>
      <c r="G1229" s="5"/>
      <c r="H1229" s="5">
        <v>1</v>
      </c>
      <c r="I1229" s="7" t="s">
        <v>905</v>
      </c>
      <c r="J1229" s="5">
        <v>1</v>
      </c>
      <c r="K1229" s="5">
        <v>1091</v>
      </c>
      <c r="L1229" s="8"/>
      <c r="M1229" s="5"/>
    </row>
    <row r="1230" spans="1:13">
      <c r="A1230" s="5"/>
      <c r="B1230" s="113"/>
      <c r="C1230" s="5"/>
      <c r="D1230" s="5"/>
      <c r="E1230" s="6"/>
      <c r="F1230" s="6"/>
      <c r="G1230" s="5"/>
      <c r="H1230" s="5">
        <v>1</v>
      </c>
      <c r="I1230" s="7" t="s">
        <v>908</v>
      </c>
      <c r="J1230" s="5">
        <v>1</v>
      </c>
      <c r="K1230" s="5">
        <v>1091</v>
      </c>
      <c r="L1230" s="8"/>
      <c r="M1230" s="5"/>
    </row>
    <row r="1231" spans="1:13">
      <c r="A1231" s="5"/>
      <c r="B1231" s="113"/>
      <c r="C1231" s="5"/>
      <c r="D1231" s="5"/>
      <c r="E1231" s="6"/>
      <c r="F1231" s="6"/>
      <c r="G1231" s="5"/>
      <c r="H1231" s="5">
        <v>1</v>
      </c>
      <c r="I1231" s="7" t="s">
        <v>983</v>
      </c>
      <c r="J1231" s="5">
        <v>1</v>
      </c>
      <c r="K1231" s="5">
        <v>791</v>
      </c>
      <c r="L1231" s="8"/>
      <c r="M1231" s="5"/>
    </row>
    <row r="1232" spans="1:13">
      <c r="A1232" s="5">
        <v>17</v>
      </c>
      <c r="B1232" s="113"/>
      <c r="C1232" s="5"/>
      <c r="D1232" s="5">
        <v>1</v>
      </c>
      <c r="E1232" s="6">
        <v>11500</v>
      </c>
      <c r="F1232" s="6">
        <v>8</v>
      </c>
      <c r="G1232" s="5"/>
      <c r="H1232" s="5">
        <v>1</v>
      </c>
      <c r="I1232" s="7" t="s">
        <v>918</v>
      </c>
      <c r="J1232" s="5">
        <v>1</v>
      </c>
      <c r="K1232" s="5">
        <v>3717</v>
      </c>
      <c r="L1232" s="8"/>
      <c r="M1232" s="5"/>
    </row>
    <row r="1233" spans="1:13">
      <c r="A1233" s="5"/>
      <c r="B1233" s="113"/>
      <c r="C1233" s="5"/>
      <c r="D1233" s="5"/>
      <c r="E1233" s="6"/>
      <c r="F1233" s="6"/>
      <c r="G1233" s="5"/>
      <c r="H1233" s="5">
        <v>1</v>
      </c>
      <c r="I1233" s="7" t="s">
        <v>894</v>
      </c>
      <c r="J1233" s="5">
        <v>1</v>
      </c>
      <c r="K1233" s="5">
        <v>936</v>
      </c>
      <c r="L1233" s="8"/>
      <c r="M1233" s="5"/>
    </row>
    <row r="1234" spans="1:13">
      <c r="A1234" s="5"/>
      <c r="B1234" s="113"/>
      <c r="C1234" s="5"/>
      <c r="D1234" s="5"/>
      <c r="E1234" s="6"/>
      <c r="F1234" s="6"/>
      <c r="G1234" s="5"/>
      <c r="H1234" s="5">
        <v>1</v>
      </c>
      <c r="I1234" s="7" t="s">
        <v>897</v>
      </c>
      <c r="J1234" s="5">
        <v>1</v>
      </c>
      <c r="K1234" s="5">
        <v>936</v>
      </c>
      <c r="L1234" s="8"/>
      <c r="M1234" s="5"/>
    </row>
    <row r="1235" spans="1:13">
      <c r="A1235" s="5"/>
      <c r="B1235" s="113"/>
      <c r="C1235" s="5"/>
      <c r="D1235" s="5"/>
      <c r="E1235" s="6"/>
      <c r="F1235" s="6"/>
      <c r="G1235" s="5"/>
      <c r="H1235" s="5">
        <v>1</v>
      </c>
      <c r="I1235" s="7" t="s">
        <v>900</v>
      </c>
      <c r="J1235" s="5">
        <v>1</v>
      </c>
      <c r="K1235" s="5">
        <v>936</v>
      </c>
      <c r="L1235" s="8"/>
      <c r="M1235" s="5"/>
    </row>
    <row r="1236" spans="1:13">
      <c r="A1236" s="5"/>
      <c r="B1236" s="113"/>
      <c r="C1236" s="5"/>
      <c r="D1236" s="5"/>
      <c r="E1236" s="6"/>
      <c r="F1236" s="6"/>
      <c r="G1236" s="5"/>
      <c r="H1236" s="5">
        <v>1</v>
      </c>
      <c r="I1236" s="7" t="s">
        <v>984</v>
      </c>
      <c r="J1236" s="5">
        <v>1</v>
      </c>
      <c r="K1236" s="5">
        <v>915</v>
      </c>
      <c r="L1236" s="8"/>
      <c r="M1236" s="5"/>
    </row>
    <row r="1237" spans="1:13">
      <c r="A1237" s="5"/>
      <c r="B1237" s="113"/>
      <c r="C1237" s="5"/>
      <c r="D1237" s="5"/>
      <c r="E1237" s="6"/>
      <c r="F1237" s="6"/>
      <c r="G1237" s="5"/>
      <c r="H1237" s="5">
        <v>1</v>
      </c>
      <c r="I1237" s="7" t="s">
        <v>929</v>
      </c>
      <c r="J1237" s="5">
        <v>1</v>
      </c>
      <c r="K1237" s="5">
        <v>741</v>
      </c>
      <c r="L1237" s="8"/>
      <c r="M1237" s="5"/>
    </row>
    <row r="1238" spans="1:13">
      <c r="A1238" s="5"/>
      <c r="B1238" s="113"/>
      <c r="C1238" s="5"/>
      <c r="D1238" s="5"/>
      <c r="E1238" s="6"/>
      <c r="F1238" s="6"/>
      <c r="G1238" s="5"/>
      <c r="H1238" s="5">
        <v>1</v>
      </c>
      <c r="I1238" s="7" t="s">
        <v>970</v>
      </c>
      <c r="J1238" s="5">
        <v>1</v>
      </c>
      <c r="K1238" s="5">
        <v>716</v>
      </c>
      <c r="L1238" s="8"/>
      <c r="M1238" s="5"/>
    </row>
    <row r="1239" spans="1:13">
      <c r="A1239" s="5"/>
      <c r="B1239" s="113"/>
      <c r="C1239" s="5"/>
      <c r="D1239" s="5"/>
      <c r="E1239" s="6"/>
      <c r="F1239" s="6"/>
      <c r="G1239" s="5"/>
      <c r="H1239" s="5">
        <v>1</v>
      </c>
      <c r="I1239" s="7" t="s">
        <v>991</v>
      </c>
      <c r="J1239" s="5">
        <v>1</v>
      </c>
      <c r="K1239" s="5">
        <v>711</v>
      </c>
      <c r="L1239" s="8"/>
      <c r="M1239" s="5"/>
    </row>
    <row r="1240" spans="1:13">
      <c r="A1240" s="5"/>
      <c r="B1240" s="113"/>
      <c r="C1240" s="5"/>
      <c r="D1240" s="5"/>
      <c r="E1240" s="6"/>
      <c r="F1240" s="6"/>
      <c r="G1240" s="5"/>
      <c r="H1240" s="5">
        <v>1</v>
      </c>
      <c r="I1240" s="7" t="s">
        <v>1013</v>
      </c>
      <c r="J1240" s="5">
        <v>1</v>
      </c>
      <c r="K1240" s="5">
        <v>711</v>
      </c>
      <c r="L1240" s="8"/>
      <c r="M1240" s="5"/>
    </row>
    <row r="1241" spans="1:13">
      <c r="A1241" s="5"/>
      <c r="B1241" s="113"/>
      <c r="C1241" s="5"/>
      <c r="D1241" s="5"/>
      <c r="E1241" s="6"/>
      <c r="F1241" s="6"/>
      <c r="G1241" s="5"/>
      <c r="H1241" s="5">
        <v>1</v>
      </c>
      <c r="I1241" s="7" t="s">
        <v>955</v>
      </c>
      <c r="J1241" s="5">
        <v>1</v>
      </c>
      <c r="K1241" s="5">
        <v>691</v>
      </c>
      <c r="L1241" s="8"/>
      <c r="M1241" s="5"/>
    </row>
    <row r="1242" spans="1:13">
      <c r="A1242" s="5"/>
      <c r="B1242" s="113"/>
      <c r="C1242" s="5"/>
      <c r="D1242" s="5"/>
      <c r="E1242" s="6"/>
      <c r="F1242" s="6"/>
      <c r="G1242" s="5"/>
      <c r="H1242" s="5">
        <v>1</v>
      </c>
      <c r="I1242" s="7" t="s">
        <v>941</v>
      </c>
      <c r="J1242" s="5">
        <v>1</v>
      </c>
      <c r="K1242" s="5">
        <v>196</v>
      </c>
      <c r="L1242" s="8"/>
      <c r="M1242" s="5"/>
    </row>
    <row r="1243" spans="1:13">
      <c r="A1243" s="5">
        <v>18</v>
      </c>
      <c r="B1243" s="113"/>
      <c r="C1243" s="5"/>
      <c r="D1243" s="5">
        <v>1</v>
      </c>
      <c r="E1243" s="6">
        <v>11500</v>
      </c>
      <c r="F1243" s="6">
        <v>56</v>
      </c>
      <c r="G1243" s="5"/>
      <c r="H1243" s="5">
        <v>1</v>
      </c>
      <c r="I1243" s="7" t="s">
        <v>989</v>
      </c>
      <c r="J1243" s="5">
        <v>1</v>
      </c>
      <c r="K1243" s="5">
        <v>3699</v>
      </c>
      <c r="L1243" s="8"/>
      <c r="M1243" s="5"/>
    </row>
    <row r="1244" spans="1:13">
      <c r="A1244" s="5"/>
      <c r="B1244" s="113"/>
      <c r="C1244" s="5"/>
      <c r="D1244" s="5"/>
      <c r="E1244" s="6"/>
      <c r="F1244" s="6"/>
      <c r="G1244" s="5"/>
      <c r="H1244" s="5">
        <v>1</v>
      </c>
      <c r="I1244" s="7" t="s">
        <v>951</v>
      </c>
      <c r="J1244" s="5">
        <v>1</v>
      </c>
      <c r="K1244" s="5">
        <v>1011</v>
      </c>
      <c r="L1244" s="8"/>
      <c r="M1244" s="5"/>
    </row>
    <row r="1245" spans="1:13">
      <c r="A1245" s="5"/>
      <c r="B1245" s="113"/>
      <c r="C1245" s="5"/>
      <c r="D1245" s="5"/>
      <c r="E1245" s="6"/>
      <c r="F1245" s="6"/>
      <c r="G1245" s="5"/>
      <c r="H1245" s="5">
        <v>1</v>
      </c>
      <c r="I1245" s="7" t="s">
        <v>976</v>
      </c>
      <c r="J1245" s="5">
        <v>1</v>
      </c>
      <c r="K1245" s="5">
        <v>946</v>
      </c>
      <c r="L1245" s="8"/>
      <c r="M1245" s="5"/>
    </row>
    <row r="1246" spans="1:13">
      <c r="A1246" s="5"/>
      <c r="B1246" s="113"/>
      <c r="C1246" s="5"/>
      <c r="D1246" s="5"/>
      <c r="E1246" s="6"/>
      <c r="F1246" s="6"/>
      <c r="G1246" s="5"/>
      <c r="H1246" s="5">
        <v>1</v>
      </c>
      <c r="I1246" s="7" t="s">
        <v>903</v>
      </c>
      <c r="J1246" s="5">
        <v>1</v>
      </c>
      <c r="K1246" s="5">
        <v>936</v>
      </c>
      <c r="L1246" s="8"/>
      <c r="M1246" s="5"/>
    </row>
    <row r="1247" spans="1:13">
      <c r="A1247" s="5"/>
      <c r="B1247" s="113"/>
      <c r="C1247" s="5"/>
      <c r="D1247" s="5"/>
      <c r="E1247" s="6"/>
      <c r="F1247" s="6"/>
      <c r="G1247" s="5"/>
      <c r="H1247" s="5">
        <v>1</v>
      </c>
      <c r="I1247" s="7" t="s">
        <v>906</v>
      </c>
      <c r="J1247" s="5">
        <v>1</v>
      </c>
      <c r="K1247" s="5">
        <v>936</v>
      </c>
      <c r="L1247" s="8"/>
      <c r="M1247" s="5"/>
    </row>
    <row r="1248" spans="1:13">
      <c r="A1248" s="5"/>
      <c r="B1248" s="113"/>
      <c r="C1248" s="5"/>
      <c r="D1248" s="5"/>
      <c r="E1248" s="6"/>
      <c r="F1248" s="6"/>
      <c r="G1248" s="5"/>
      <c r="H1248" s="5">
        <v>1</v>
      </c>
      <c r="I1248" s="7" t="s">
        <v>959</v>
      </c>
      <c r="J1248" s="5">
        <v>1</v>
      </c>
      <c r="K1248" s="5">
        <v>691</v>
      </c>
      <c r="L1248" s="8"/>
      <c r="M1248" s="5"/>
    </row>
    <row r="1249" spans="1:13">
      <c r="A1249" s="5"/>
      <c r="B1249" s="113"/>
      <c r="C1249" s="5"/>
      <c r="D1249" s="5"/>
      <c r="E1249" s="6"/>
      <c r="F1249" s="6"/>
      <c r="G1249" s="5"/>
      <c r="H1249" s="5">
        <v>1</v>
      </c>
      <c r="I1249" s="7" t="s">
        <v>996</v>
      </c>
      <c r="J1249" s="5">
        <v>1</v>
      </c>
      <c r="K1249" s="5">
        <v>691</v>
      </c>
      <c r="L1249" s="8"/>
      <c r="M1249" s="5"/>
    </row>
    <row r="1250" spans="1:13">
      <c r="A1250" s="5"/>
      <c r="B1250" s="113"/>
      <c r="C1250" s="5"/>
      <c r="D1250" s="5"/>
      <c r="E1250" s="6"/>
      <c r="F1250" s="6"/>
      <c r="G1250" s="5"/>
      <c r="H1250" s="5">
        <v>1</v>
      </c>
      <c r="I1250" s="7" t="s">
        <v>934</v>
      </c>
      <c r="J1250" s="5">
        <v>1</v>
      </c>
      <c r="K1250" s="5">
        <v>691</v>
      </c>
      <c r="L1250" s="8"/>
      <c r="M1250" s="5"/>
    </row>
    <row r="1251" spans="1:13">
      <c r="A1251" s="5"/>
      <c r="B1251" s="113"/>
      <c r="C1251" s="5"/>
      <c r="D1251" s="5"/>
      <c r="E1251" s="6"/>
      <c r="F1251" s="6"/>
      <c r="G1251" s="5"/>
      <c r="H1251" s="5">
        <v>1</v>
      </c>
      <c r="I1251" s="7" t="s">
        <v>1003</v>
      </c>
      <c r="J1251" s="5">
        <v>1</v>
      </c>
      <c r="K1251" s="5">
        <v>691</v>
      </c>
      <c r="L1251" s="8"/>
      <c r="M1251" s="5"/>
    </row>
    <row r="1252" spans="1:13">
      <c r="A1252" s="5"/>
      <c r="B1252" s="113"/>
      <c r="C1252" s="5"/>
      <c r="D1252" s="5"/>
      <c r="E1252" s="6"/>
      <c r="F1252" s="6"/>
      <c r="G1252" s="5"/>
      <c r="H1252" s="5">
        <v>1</v>
      </c>
      <c r="I1252" s="7" t="s">
        <v>974</v>
      </c>
      <c r="J1252" s="5">
        <v>1</v>
      </c>
      <c r="K1252" s="5">
        <v>591</v>
      </c>
      <c r="L1252" s="8"/>
      <c r="M1252" s="5"/>
    </row>
    <row r="1253" spans="1:13">
      <c r="A1253" s="5"/>
      <c r="B1253" s="113"/>
      <c r="C1253" s="5"/>
      <c r="D1253" s="5"/>
      <c r="E1253" s="6"/>
      <c r="F1253" s="6"/>
      <c r="G1253" s="5"/>
      <c r="H1253" s="5">
        <v>1</v>
      </c>
      <c r="I1253" s="7" t="s">
        <v>909</v>
      </c>
      <c r="J1253" s="5">
        <v>1</v>
      </c>
      <c r="K1253" s="5">
        <v>275</v>
      </c>
      <c r="L1253" s="8"/>
      <c r="M1253" s="5"/>
    </row>
    <row r="1254" spans="1:13">
      <c r="A1254" s="5">
        <v>19</v>
      </c>
      <c r="B1254" s="113"/>
      <c r="C1254" s="5"/>
      <c r="D1254" s="5">
        <v>1</v>
      </c>
      <c r="E1254" s="6">
        <v>11500</v>
      </c>
      <c r="F1254" s="6"/>
      <c r="G1254" s="5"/>
      <c r="H1254" s="5">
        <v>1</v>
      </c>
      <c r="I1254" s="7" t="s">
        <v>928</v>
      </c>
      <c r="J1254" s="5">
        <v>1</v>
      </c>
      <c r="K1254" s="5">
        <v>11500</v>
      </c>
      <c r="L1254" s="8"/>
      <c r="M1254" s="5"/>
    </row>
    <row r="1255" spans="1:13">
      <c r="A1255" s="5">
        <v>20</v>
      </c>
      <c r="B1255" s="113"/>
      <c r="C1255" s="5"/>
      <c r="D1255" s="5">
        <v>1</v>
      </c>
      <c r="E1255" s="6">
        <v>11500</v>
      </c>
      <c r="F1255" s="6"/>
      <c r="G1255" s="5"/>
      <c r="H1255" s="5">
        <v>1</v>
      </c>
      <c r="I1255" s="7" t="s">
        <v>917</v>
      </c>
      <c r="J1255" s="5">
        <v>1</v>
      </c>
      <c r="K1255" s="5">
        <v>11500</v>
      </c>
      <c r="L1255" s="8"/>
      <c r="M1255" s="5"/>
    </row>
    <row r="1256" spans="1:13">
      <c r="A1256" s="5">
        <v>21</v>
      </c>
      <c r="B1256" s="113"/>
      <c r="C1256" s="5"/>
      <c r="D1256" s="5">
        <v>1</v>
      </c>
      <c r="E1256" s="6">
        <v>11500</v>
      </c>
      <c r="F1256" s="6"/>
      <c r="G1256" s="5"/>
      <c r="H1256" s="5">
        <v>1</v>
      </c>
      <c r="I1256" s="7" t="s">
        <v>956</v>
      </c>
      <c r="J1256" s="5">
        <v>1</v>
      </c>
      <c r="K1256" s="5">
        <v>11500</v>
      </c>
      <c r="L1256" s="8"/>
      <c r="M1256" s="5"/>
    </row>
    <row r="1257" spans="1:13">
      <c r="A1257" s="5">
        <v>22</v>
      </c>
      <c r="B1257" s="113"/>
      <c r="C1257" s="5"/>
      <c r="D1257" s="5">
        <v>1</v>
      </c>
      <c r="E1257" s="6">
        <v>11500</v>
      </c>
      <c r="F1257" s="6"/>
      <c r="G1257" s="5"/>
      <c r="H1257" s="5">
        <v>1</v>
      </c>
      <c r="I1257" s="7" t="s">
        <v>916</v>
      </c>
      <c r="J1257" s="5">
        <v>1</v>
      </c>
      <c r="K1257" s="5">
        <v>11500</v>
      </c>
      <c r="L1257" s="8"/>
      <c r="M1257" s="5"/>
    </row>
    <row r="1258" spans="1:13">
      <c r="A1258" s="5">
        <v>23</v>
      </c>
      <c r="B1258" s="113"/>
      <c r="C1258" s="5"/>
      <c r="D1258" s="5">
        <v>1</v>
      </c>
      <c r="E1258" s="6">
        <v>11500</v>
      </c>
      <c r="F1258" s="6"/>
      <c r="G1258" s="5"/>
      <c r="H1258" s="5">
        <v>1</v>
      </c>
      <c r="I1258" s="7" t="s">
        <v>958</v>
      </c>
      <c r="J1258" s="5">
        <v>1</v>
      </c>
      <c r="K1258" s="5">
        <v>11500</v>
      </c>
      <c r="L1258" s="8"/>
      <c r="M1258" s="5"/>
    </row>
    <row r="1259" spans="1:13">
      <c r="A1259" s="5">
        <v>24</v>
      </c>
      <c r="B1259" s="113"/>
      <c r="C1259" s="5"/>
      <c r="D1259" s="5">
        <v>1</v>
      </c>
      <c r="E1259" s="6">
        <v>11500</v>
      </c>
      <c r="F1259" s="6"/>
      <c r="G1259" s="5"/>
      <c r="H1259" s="5">
        <v>1</v>
      </c>
      <c r="I1259" s="7" t="s">
        <v>946</v>
      </c>
      <c r="J1259" s="5">
        <v>1</v>
      </c>
      <c r="K1259" s="5">
        <v>11500</v>
      </c>
      <c r="L1259" s="8"/>
      <c r="M1259" s="5"/>
    </row>
    <row r="1260" spans="1:13">
      <c r="A1260" s="5">
        <v>25</v>
      </c>
      <c r="B1260" s="113"/>
      <c r="C1260" s="5"/>
      <c r="D1260" s="5">
        <v>1</v>
      </c>
      <c r="E1260" s="6">
        <v>11500</v>
      </c>
      <c r="F1260" s="6"/>
      <c r="G1260" s="5"/>
      <c r="H1260" s="5">
        <v>1</v>
      </c>
      <c r="I1260" s="7" t="s">
        <v>933</v>
      </c>
      <c r="J1260" s="5">
        <v>1</v>
      </c>
      <c r="K1260" s="5">
        <v>11500</v>
      </c>
      <c r="L1260" s="8"/>
      <c r="M1260" s="5"/>
    </row>
    <row r="1261" spans="1:13">
      <c r="A1261" s="5">
        <v>26</v>
      </c>
      <c r="B1261" s="113"/>
      <c r="C1261" s="5"/>
      <c r="D1261" s="5">
        <v>1</v>
      </c>
      <c r="E1261" s="6">
        <v>11500</v>
      </c>
      <c r="F1261" s="6"/>
      <c r="G1261" s="5"/>
      <c r="H1261" s="5">
        <v>1</v>
      </c>
      <c r="I1261" s="7" t="s">
        <v>913</v>
      </c>
      <c r="J1261" s="5">
        <v>1</v>
      </c>
      <c r="K1261" s="5">
        <v>11500</v>
      </c>
      <c r="L1261" s="8"/>
      <c r="M1261" s="5"/>
    </row>
    <row r="1262" spans="1:13">
      <c r="A1262" s="5">
        <v>27</v>
      </c>
      <c r="B1262" s="113"/>
      <c r="C1262" s="5"/>
      <c r="D1262" s="5">
        <v>1</v>
      </c>
      <c r="E1262" s="6">
        <v>11500</v>
      </c>
      <c r="F1262" s="6"/>
      <c r="G1262" s="5"/>
      <c r="H1262" s="5">
        <v>1</v>
      </c>
      <c r="I1262" s="7" t="s">
        <v>910</v>
      </c>
      <c r="J1262" s="5">
        <v>1</v>
      </c>
      <c r="K1262" s="5">
        <v>11500</v>
      </c>
      <c r="L1262" s="8"/>
      <c r="M1262" s="5"/>
    </row>
    <row r="1263" spans="1:13">
      <c r="A1263" s="5">
        <v>28</v>
      </c>
      <c r="B1263" s="113"/>
      <c r="C1263" s="5"/>
      <c r="D1263" s="5">
        <v>1</v>
      </c>
      <c r="E1263" s="6">
        <v>11500</v>
      </c>
      <c r="F1263" s="6"/>
      <c r="G1263" s="5"/>
      <c r="H1263" s="5">
        <v>1</v>
      </c>
      <c r="I1263" s="7" t="s">
        <v>952</v>
      </c>
      <c r="J1263" s="5">
        <v>1</v>
      </c>
      <c r="K1263" s="5">
        <v>11500</v>
      </c>
      <c r="L1263" s="8"/>
      <c r="M1263" s="5"/>
    </row>
    <row r="1264" spans="1:13">
      <c r="A1264" s="5">
        <v>29</v>
      </c>
      <c r="B1264" s="113"/>
      <c r="C1264" s="5"/>
      <c r="D1264" s="5">
        <v>1</v>
      </c>
      <c r="E1264" s="6">
        <v>11500</v>
      </c>
      <c r="F1264" s="6"/>
      <c r="G1264" s="5"/>
      <c r="H1264" s="5">
        <v>1</v>
      </c>
      <c r="I1264" s="7" t="s">
        <v>915</v>
      </c>
      <c r="J1264" s="5">
        <v>1</v>
      </c>
      <c r="K1264" s="5">
        <v>11500</v>
      </c>
      <c r="L1264" s="8"/>
      <c r="M1264" s="5"/>
    </row>
    <row r="1265" spans="1:13">
      <c r="A1265" s="5">
        <v>30</v>
      </c>
      <c r="B1265" s="113"/>
      <c r="C1265" s="5"/>
      <c r="D1265" s="5">
        <v>1</v>
      </c>
      <c r="E1265" s="6">
        <v>11500</v>
      </c>
      <c r="F1265" s="6"/>
      <c r="G1265" s="5"/>
      <c r="H1265" s="5">
        <v>1</v>
      </c>
      <c r="I1265" s="7" t="s">
        <v>907</v>
      </c>
      <c r="J1265" s="5">
        <v>1</v>
      </c>
      <c r="K1265" s="5">
        <v>11500</v>
      </c>
      <c r="L1265" s="8"/>
      <c r="M1265" s="5"/>
    </row>
    <row r="1266" spans="1:13">
      <c r="A1266" s="5">
        <v>31</v>
      </c>
      <c r="B1266" s="113"/>
      <c r="C1266" s="5"/>
      <c r="D1266" s="5">
        <v>1</v>
      </c>
      <c r="E1266" s="6">
        <v>11500</v>
      </c>
      <c r="F1266" s="6"/>
      <c r="G1266" s="5"/>
      <c r="H1266" s="5">
        <v>1</v>
      </c>
      <c r="I1266" s="7" t="s">
        <v>904</v>
      </c>
      <c r="J1266" s="5">
        <v>1</v>
      </c>
      <c r="K1266" s="5">
        <v>11500</v>
      </c>
      <c r="L1266" s="8"/>
      <c r="M1266" s="5"/>
    </row>
    <row r="1267" spans="1:13">
      <c r="A1267" s="5">
        <v>32</v>
      </c>
      <c r="B1267" s="113"/>
      <c r="C1267" s="5"/>
      <c r="D1267" s="5">
        <v>1</v>
      </c>
      <c r="E1267" s="6">
        <v>11500</v>
      </c>
      <c r="F1267" s="6"/>
      <c r="G1267" s="5"/>
      <c r="H1267" s="5">
        <v>1</v>
      </c>
      <c r="I1267" s="7" t="s">
        <v>898</v>
      </c>
      <c r="J1267" s="5">
        <v>1</v>
      </c>
      <c r="K1267" s="5">
        <v>11500</v>
      </c>
      <c r="L1267" s="8"/>
      <c r="M1267" s="5"/>
    </row>
    <row r="1268" spans="1:13">
      <c r="A1268" s="5">
        <v>33</v>
      </c>
      <c r="B1268" s="113"/>
      <c r="C1268" s="5"/>
      <c r="D1268" s="5">
        <v>1</v>
      </c>
      <c r="E1268" s="6">
        <v>11500</v>
      </c>
      <c r="F1268" s="6"/>
      <c r="G1268" s="5"/>
      <c r="H1268" s="5">
        <v>1</v>
      </c>
      <c r="I1268" s="7" t="s">
        <v>895</v>
      </c>
      <c r="J1268" s="5">
        <v>1</v>
      </c>
      <c r="K1268" s="5">
        <v>11500</v>
      </c>
      <c r="L1268" s="8"/>
      <c r="M1268" s="5"/>
    </row>
    <row r="1269" spans="1:13">
      <c r="A1269" s="5">
        <v>34</v>
      </c>
      <c r="B1269" s="113"/>
      <c r="C1269" s="5"/>
      <c r="D1269" s="5">
        <v>1</v>
      </c>
      <c r="E1269" s="6">
        <v>11500</v>
      </c>
      <c r="F1269" s="6"/>
      <c r="G1269" s="5"/>
      <c r="H1269" s="5">
        <v>1</v>
      </c>
      <c r="I1269" s="7" t="s">
        <v>892</v>
      </c>
      <c r="J1269" s="5">
        <v>1</v>
      </c>
      <c r="K1269" s="5">
        <v>11500</v>
      </c>
      <c r="L1269" s="8"/>
      <c r="M1269" s="5"/>
    </row>
    <row r="1270" spans="1:13">
      <c r="A1270" s="5">
        <v>35</v>
      </c>
      <c r="B1270" s="113"/>
      <c r="C1270" s="5"/>
      <c r="D1270" s="5">
        <v>1</v>
      </c>
      <c r="E1270" s="6">
        <v>11500</v>
      </c>
      <c r="F1270" s="6"/>
      <c r="G1270" s="5"/>
      <c r="H1270" s="5">
        <v>1</v>
      </c>
      <c r="I1270" s="7" t="s">
        <v>890</v>
      </c>
      <c r="J1270" s="5">
        <v>1</v>
      </c>
      <c r="K1270" s="5">
        <v>11500</v>
      </c>
      <c r="L1270" s="8"/>
      <c r="M1270" s="5"/>
    </row>
    <row r="1271" spans="1:13">
      <c r="A1271" s="5">
        <v>36</v>
      </c>
      <c r="B1271" s="113"/>
      <c r="C1271" s="5"/>
      <c r="D1271" s="5">
        <v>1</v>
      </c>
      <c r="E1271" s="6">
        <v>11500</v>
      </c>
      <c r="F1271" s="6"/>
      <c r="G1271" s="5"/>
      <c r="H1271" s="5">
        <v>1</v>
      </c>
      <c r="I1271" s="7" t="s">
        <v>1006</v>
      </c>
      <c r="J1271" s="5">
        <v>1</v>
      </c>
      <c r="K1271" s="5">
        <v>11500</v>
      </c>
      <c r="L1271" s="8"/>
      <c r="M1271" s="5"/>
    </row>
    <row r="1272" spans="1:13">
      <c r="A1272" s="5">
        <v>37</v>
      </c>
      <c r="B1272" s="113"/>
      <c r="C1272" s="5"/>
      <c r="D1272" s="5">
        <v>1</v>
      </c>
      <c r="E1272" s="6">
        <v>11500</v>
      </c>
      <c r="F1272" s="6"/>
      <c r="G1272" s="5"/>
      <c r="H1272" s="5">
        <v>1</v>
      </c>
      <c r="I1272" s="7" t="s">
        <v>1004</v>
      </c>
      <c r="J1272" s="5">
        <v>1</v>
      </c>
      <c r="K1272" s="5">
        <v>11500</v>
      </c>
      <c r="L1272" s="8"/>
      <c r="M1272" s="5"/>
    </row>
    <row r="1273" spans="1:13">
      <c r="A1273" s="5">
        <v>38</v>
      </c>
      <c r="B1273" s="113"/>
      <c r="C1273" s="5"/>
      <c r="D1273" s="5">
        <v>1</v>
      </c>
      <c r="E1273" s="6">
        <v>11500</v>
      </c>
      <c r="F1273" s="6"/>
      <c r="G1273" s="5"/>
      <c r="H1273" s="5">
        <v>1</v>
      </c>
      <c r="I1273" s="7" t="s">
        <v>1002</v>
      </c>
      <c r="J1273" s="5">
        <v>1</v>
      </c>
      <c r="K1273" s="5">
        <v>11500</v>
      </c>
      <c r="L1273" s="8"/>
      <c r="M1273" s="5"/>
    </row>
    <row r="1274" spans="1:13">
      <c r="A1274" s="5">
        <v>39</v>
      </c>
      <c r="B1274" s="113"/>
      <c r="C1274" s="5"/>
      <c r="D1274" s="5">
        <v>1</v>
      </c>
      <c r="E1274" s="6">
        <v>11500</v>
      </c>
      <c r="F1274" s="6"/>
      <c r="G1274" s="5"/>
      <c r="H1274" s="5">
        <v>1</v>
      </c>
      <c r="I1274" s="7" t="s">
        <v>920</v>
      </c>
      <c r="J1274" s="5">
        <v>1</v>
      </c>
      <c r="K1274" s="5">
        <v>11500</v>
      </c>
      <c r="L1274" s="8"/>
      <c r="M1274" s="5"/>
    </row>
    <row r="1275" spans="1:13">
      <c r="A1275" s="5">
        <v>40</v>
      </c>
      <c r="B1275" s="113"/>
      <c r="C1275" s="5"/>
      <c r="D1275" s="5">
        <v>1</v>
      </c>
      <c r="E1275" s="6">
        <v>11500</v>
      </c>
      <c r="F1275" s="6"/>
      <c r="G1275" s="5"/>
      <c r="H1275" s="5">
        <v>1</v>
      </c>
      <c r="I1275" s="7" t="s">
        <v>954</v>
      </c>
      <c r="J1275" s="5">
        <v>1</v>
      </c>
      <c r="K1275" s="5">
        <v>11500</v>
      </c>
      <c r="L1275" s="8"/>
      <c r="M1275" s="5"/>
    </row>
    <row r="1276" spans="1:13">
      <c r="A1276" s="5">
        <v>41</v>
      </c>
      <c r="B1276" s="113"/>
      <c r="C1276" s="5"/>
      <c r="D1276" s="5">
        <v>1</v>
      </c>
      <c r="E1276" s="6">
        <v>11500</v>
      </c>
      <c r="F1276" s="6"/>
      <c r="G1276" s="5"/>
      <c r="H1276" s="5">
        <v>1</v>
      </c>
      <c r="I1276" s="7" t="s">
        <v>945</v>
      </c>
      <c r="J1276" s="5">
        <v>1</v>
      </c>
      <c r="K1276" s="5">
        <v>11500</v>
      </c>
      <c r="L1276" s="8"/>
      <c r="M1276" s="5"/>
    </row>
    <row r="1277" spans="1:13">
      <c r="A1277" s="5">
        <v>42</v>
      </c>
      <c r="B1277" s="113"/>
      <c r="C1277" s="5"/>
      <c r="D1277" s="5">
        <v>1</v>
      </c>
      <c r="E1277" s="6">
        <v>11500</v>
      </c>
      <c r="F1277" s="6"/>
      <c r="G1277" s="5"/>
      <c r="H1277" s="5">
        <v>1</v>
      </c>
      <c r="I1277" s="7" t="s">
        <v>930</v>
      </c>
      <c r="J1277" s="5">
        <v>1</v>
      </c>
      <c r="K1277" s="5">
        <v>11500</v>
      </c>
      <c r="L1277" s="8"/>
      <c r="M1277" s="5"/>
    </row>
    <row r="1278" spans="1:13">
      <c r="A1278" s="5">
        <v>43</v>
      </c>
      <c r="B1278" s="113"/>
      <c r="C1278" s="5"/>
      <c r="D1278" s="5">
        <v>1</v>
      </c>
      <c r="E1278" s="6">
        <v>11500</v>
      </c>
      <c r="F1278" s="6">
        <v>4</v>
      </c>
      <c r="G1278" s="5"/>
      <c r="H1278" s="5">
        <v>1</v>
      </c>
      <c r="I1278" s="7" t="s">
        <v>1001</v>
      </c>
      <c r="J1278" s="5">
        <v>1</v>
      </c>
      <c r="K1278" s="5">
        <v>10481</v>
      </c>
      <c r="L1278" s="8"/>
      <c r="M1278" s="5"/>
    </row>
    <row r="1279" spans="1:13">
      <c r="A1279" s="5"/>
      <c r="B1279" s="113"/>
      <c r="C1279" s="5"/>
      <c r="D1279" s="5"/>
      <c r="E1279" s="6"/>
      <c r="F1279" s="6"/>
      <c r="G1279" s="5"/>
      <c r="H1279" s="5">
        <v>1</v>
      </c>
      <c r="I1279" s="7" t="s">
        <v>911</v>
      </c>
      <c r="J1279" s="5">
        <v>1</v>
      </c>
      <c r="K1279" s="5">
        <v>791</v>
      </c>
      <c r="L1279" s="8"/>
      <c r="M1279" s="5"/>
    </row>
    <row r="1280" spans="1:13">
      <c r="A1280" s="5"/>
      <c r="B1280" s="112"/>
      <c r="C1280" s="5"/>
      <c r="D1280" s="5"/>
      <c r="E1280" s="6"/>
      <c r="F1280" s="6"/>
      <c r="G1280" s="5"/>
      <c r="H1280" s="5">
        <v>1</v>
      </c>
      <c r="I1280" s="7" t="s">
        <v>936</v>
      </c>
      <c r="J1280" s="5">
        <v>1</v>
      </c>
      <c r="K1280" s="5">
        <v>146</v>
      </c>
      <c r="L1280" s="8"/>
      <c r="M1280" s="5"/>
    </row>
    <row r="1281" spans="1:13">
      <c r="A1281" s="5"/>
      <c r="B1281" s="5"/>
      <c r="C1281" s="5"/>
      <c r="D1281" s="5"/>
      <c r="E1281" s="6"/>
      <c r="F1281" s="6"/>
      <c r="G1281" s="5"/>
      <c r="H1281" s="5"/>
      <c r="I1281" s="7"/>
      <c r="J1281" s="5"/>
      <c r="K1281" s="5"/>
      <c r="L1281" s="8"/>
      <c r="M1281" s="5"/>
    </row>
    <row r="1282" spans="1:13">
      <c r="A1282" s="117" t="s">
        <v>4</v>
      </c>
      <c r="B1282" s="117"/>
      <c r="C1282" s="117"/>
      <c r="D1282" s="117"/>
      <c r="E1282" s="117"/>
      <c r="F1282" s="117"/>
      <c r="G1282" s="117"/>
      <c r="H1282" s="117"/>
      <c r="I1282" s="118" t="s">
        <v>8</v>
      </c>
      <c r="J1282" s="118"/>
      <c r="K1282" s="89" t="s">
        <v>70</v>
      </c>
      <c r="L1282" s="119"/>
      <c r="M1282" s="120"/>
    </row>
    <row r="1283" spans="1:13">
      <c r="A1283" s="117"/>
      <c r="B1283" s="117"/>
      <c r="C1283" s="117"/>
      <c r="D1283" s="117"/>
      <c r="E1283" s="117"/>
      <c r="F1283" s="117"/>
      <c r="G1283" s="117"/>
      <c r="H1283" s="117"/>
      <c r="I1283" s="118" t="s">
        <v>25</v>
      </c>
      <c r="J1283" s="118"/>
      <c r="K1283" s="121" t="s">
        <v>770</v>
      </c>
      <c r="L1283" s="118"/>
      <c r="M1283" s="118"/>
    </row>
    <row r="1284" spans="1:13">
      <c r="A1284" s="117"/>
      <c r="B1284" s="117"/>
      <c r="C1284" s="117"/>
      <c r="D1284" s="117"/>
      <c r="E1284" s="117"/>
      <c r="F1284" s="117"/>
      <c r="G1284" s="117"/>
      <c r="H1284" s="117"/>
      <c r="I1284" s="87" t="s">
        <v>26</v>
      </c>
      <c r="J1284" s="88"/>
      <c r="K1284" s="95" t="s">
        <v>53</v>
      </c>
      <c r="L1284" s="104"/>
      <c r="M1284" s="88"/>
    </row>
    <row r="1285" spans="1:13">
      <c r="A1285" s="118" t="s">
        <v>31</v>
      </c>
      <c r="B1285" s="118"/>
      <c r="C1285" s="118" t="s">
        <v>32</v>
      </c>
      <c r="D1285" s="118"/>
      <c r="E1285" s="118"/>
      <c r="F1285" s="118"/>
      <c r="G1285" s="118"/>
      <c r="H1285" s="118"/>
      <c r="I1285" s="40" t="s">
        <v>29</v>
      </c>
      <c r="J1285" s="41"/>
      <c r="K1285" s="118" t="s">
        <v>774</v>
      </c>
      <c r="L1285" s="118"/>
      <c r="M1285" s="118"/>
    </row>
    <row r="1286" spans="1:13">
      <c r="A1286" s="118"/>
      <c r="B1286" s="118"/>
      <c r="C1286" s="118"/>
      <c r="D1286" s="118"/>
      <c r="E1286" s="118"/>
      <c r="F1286" s="118"/>
      <c r="G1286" s="118"/>
      <c r="H1286" s="118"/>
      <c r="I1286" s="118" t="s">
        <v>30</v>
      </c>
      <c r="J1286" s="118"/>
      <c r="K1286" s="118" t="s">
        <v>888</v>
      </c>
      <c r="L1286" s="118"/>
      <c r="M1286" s="118"/>
    </row>
    <row r="1287" spans="1:13">
      <c r="A1287" s="122" t="s">
        <v>24</v>
      </c>
      <c r="B1287" s="122"/>
      <c r="C1287" s="122"/>
      <c r="D1287" s="42">
        <v>1</v>
      </c>
      <c r="E1287" s="117" t="s">
        <v>40</v>
      </c>
      <c r="F1287" s="117"/>
      <c r="G1287" s="117"/>
      <c r="H1287" s="42">
        <v>6</v>
      </c>
      <c r="I1287" s="118" t="s">
        <v>27</v>
      </c>
      <c r="J1287" s="118"/>
      <c r="K1287" s="118" t="s">
        <v>21</v>
      </c>
      <c r="L1287" s="118"/>
      <c r="M1287" s="118"/>
    </row>
    <row r="1288" spans="1:13" ht="45">
      <c r="A1288" s="3" t="s">
        <v>9</v>
      </c>
      <c r="B1288" s="3" t="s">
        <v>10</v>
      </c>
      <c r="C1288" s="3" t="s">
        <v>11</v>
      </c>
      <c r="D1288" s="3" t="s">
        <v>3</v>
      </c>
      <c r="E1288" s="4" t="s">
        <v>41</v>
      </c>
      <c r="F1288" s="4" t="s">
        <v>12</v>
      </c>
      <c r="G1288" s="3" t="s">
        <v>13</v>
      </c>
      <c r="H1288" s="3" t="s">
        <v>14</v>
      </c>
      <c r="I1288" s="3" t="s">
        <v>15</v>
      </c>
      <c r="J1288" s="3" t="s">
        <v>16</v>
      </c>
      <c r="K1288" s="3" t="s">
        <v>17</v>
      </c>
      <c r="L1288" s="3" t="s">
        <v>18</v>
      </c>
      <c r="M1288" s="3" t="s">
        <v>19</v>
      </c>
    </row>
    <row r="1289" spans="1:13">
      <c r="A1289" s="18">
        <v>1</v>
      </c>
      <c r="B1289" s="111" t="s">
        <v>55</v>
      </c>
      <c r="C1289" s="18"/>
      <c r="D1289" s="18">
        <v>1</v>
      </c>
      <c r="E1289" s="20">
        <v>5258</v>
      </c>
      <c r="F1289" s="20">
        <v>1732</v>
      </c>
      <c r="G1289" s="18"/>
      <c r="H1289" s="18">
        <v>1</v>
      </c>
      <c r="I1289" s="21" t="s">
        <v>885</v>
      </c>
      <c r="J1289" s="18">
        <v>1</v>
      </c>
      <c r="K1289" s="18">
        <v>637</v>
      </c>
      <c r="L1289" s="22"/>
      <c r="M1289" s="164" t="s">
        <v>873</v>
      </c>
    </row>
    <row r="1290" spans="1:13">
      <c r="A1290" s="18"/>
      <c r="B1290" s="113"/>
      <c r="C1290" s="18"/>
      <c r="D1290" s="18"/>
      <c r="E1290" s="20"/>
      <c r="F1290" s="20"/>
      <c r="G1290" s="18"/>
      <c r="H1290" s="18">
        <v>1</v>
      </c>
      <c r="I1290" s="21" t="s">
        <v>887</v>
      </c>
      <c r="J1290" s="18">
        <v>1</v>
      </c>
      <c r="K1290" s="18">
        <v>239</v>
      </c>
      <c r="L1290" s="22"/>
      <c r="M1290" s="165"/>
    </row>
    <row r="1291" spans="1:13">
      <c r="A1291" s="18"/>
      <c r="B1291" s="113"/>
      <c r="C1291" s="18"/>
      <c r="D1291" s="18"/>
      <c r="E1291" s="20"/>
      <c r="F1291" s="20"/>
      <c r="G1291" s="18"/>
      <c r="H1291" s="18">
        <v>1</v>
      </c>
      <c r="I1291" s="21" t="s">
        <v>886</v>
      </c>
      <c r="J1291" s="18">
        <v>1</v>
      </c>
      <c r="K1291" s="18">
        <v>166</v>
      </c>
      <c r="L1291" s="22"/>
      <c r="M1291" s="165"/>
    </row>
    <row r="1292" spans="1:13">
      <c r="A1292" s="18">
        <v>2</v>
      </c>
      <c r="B1292" s="113"/>
      <c r="C1292" s="18"/>
      <c r="D1292" s="18"/>
      <c r="E1292" s="20"/>
      <c r="F1292" s="20"/>
      <c r="G1292" s="18"/>
      <c r="H1292" s="18">
        <v>1</v>
      </c>
      <c r="I1292" s="21" t="s">
        <v>882</v>
      </c>
      <c r="J1292" s="18">
        <v>1</v>
      </c>
      <c r="K1292" s="18">
        <v>1391</v>
      </c>
      <c r="L1292" s="22"/>
      <c r="M1292" s="165"/>
    </row>
    <row r="1293" spans="1:13">
      <c r="A1293" s="18"/>
      <c r="B1293" s="113"/>
      <c r="C1293" s="18"/>
      <c r="D1293" s="18"/>
      <c r="E1293" s="20"/>
      <c r="F1293" s="20"/>
      <c r="G1293" s="18"/>
      <c r="H1293" s="18">
        <v>1</v>
      </c>
      <c r="I1293" s="21" t="s">
        <v>883</v>
      </c>
      <c r="J1293" s="18">
        <v>1</v>
      </c>
      <c r="K1293" s="18">
        <v>979</v>
      </c>
      <c r="L1293" s="22"/>
      <c r="M1293" s="165"/>
    </row>
    <row r="1294" spans="1:13">
      <c r="A1294" s="18"/>
      <c r="B1294" s="112"/>
      <c r="C1294" s="18"/>
      <c r="D1294" s="18"/>
      <c r="E1294" s="20"/>
      <c r="F1294" s="20"/>
      <c r="G1294" s="18"/>
      <c r="H1294" s="18">
        <v>1</v>
      </c>
      <c r="I1294" s="21" t="s">
        <v>884</v>
      </c>
      <c r="J1294" s="18">
        <v>1</v>
      </c>
      <c r="K1294" s="18">
        <v>96</v>
      </c>
      <c r="L1294" s="22"/>
      <c r="M1294" s="166"/>
    </row>
    <row r="1295" spans="1:13">
      <c r="A1295" s="18"/>
      <c r="B1295" s="19"/>
      <c r="C1295" s="18"/>
      <c r="D1295" s="18"/>
      <c r="E1295" s="20"/>
      <c r="F1295" s="20"/>
      <c r="G1295" s="18"/>
      <c r="H1295" s="18"/>
      <c r="I1295" s="21"/>
      <c r="J1295" s="18"/>
      <c r="K1295" s="18"/>
      <c r="L1295" s="22"/>
      <c r="M1295" s="18"/>
    </row>
    <row r="1296" spans="1:13">
      <c r="A1296" s="117" t="s">
        <v>4</v>
      </c>
      <c r="B1296" s="117"/>
      <c r="C1296" s="117"/>
      <c r="D1296" s="117"/>
      <c r="E1296" s="117"/>
      <c r="F1296" s="117"/>
      <c r="G1296" s="117"/>
      <c r="H1296" s="117"/>
      <c r="I1296" s="118" t="s">
        <v>8</v>
      </c>
      <c r="J1296" s="118"/>
      <c r="K1296" s="89" t="s">
        <v>70</v>
      </c>
      <c r="L1296" s="119"/>
      <c r="M1296" s="120"/>
    </row>
    <row r="1297" spans="1:13">
      <c r="A1297" s="117"/>
      <c r="B1297" s="117"/>
      <c r="C1297" s="117"/>
      <c r="D1297" s="117"/>
      <c r="E1297" s="117"/>
      <c r="F1297" s="117"/>
      <c r="G1297" s="117"/>
      <c r="H1297" s="117"/>
      <c r="I1297" s="118" t="s">
        <v>25</v>
      </c>
      <c r="J1297" s="118"/>
      <c r="K1297" s="121" t="s">
        <v>770</v>
      </c>
      <c r="L1297" s="118"/>
      <c r="M1297" s="118"/>
    </row>
    <row r="1298" spans="1:13">
      <c r="A1298" s="117"/>
      <c r="B1298" s="117"/>
      <c r="C1298" s="117"/>
      <c r="D1298" s="117"/>
      <c r="E1298" s="117"/>
      <c r="F1298" s="117"/>
      <c r="G1298" s="117"/>
      <c r="H1298" s="117"/>
      <c r="I1298" s="87" t="s">
        <v>26</v>
      </c>
      <c r="J1298" s="88"/>
      <c r="K1298" s="95" t="s">
        <v>50</v>
      </c>
      <c r="L1298" s="104"/>
      <c r="M1298" s="88"/>
    </row>
    <row r="1299" spans="1:13">
      <c r="A1299" s="118" t="s">
        <v>31</v>
      </c>
      <c r="B1299" s="118"/>
      <c r="C1299" s="118" t="s">
        <v>32</v>
      </c>
      <c r="D1299" s="118"/>
      <c r="E1299" s="118"/>
      <c r="F1299" s="118"/>
      <c r="G1299" s="118"/>
      <c r="H1299" s="118"/>
      <c r="I1299" s="40" t="s">
        <v>29</v>
      </c>
      <c r="J1299" s="41"/>
      <c r="K1299" s="118" t="s">
        <v>774</v>
      </c>
      <c r="L1299" s="118"/>
      <c r="M1299" s="118"/>
    </row>
    <row r="1300" spans="1:13">
      <c r="A1300" s="118"/>
      <c r="B1300" s="118"/>
      <c r="C1300" s="118"/>
      <c r="D1300" s="118"/>
      <c r="E1300" s="118"/>
      <c r="F1300" s="118"/>
      <c r="G1300" s="118"/>
      <c r="H1300" s="118"/>
      <c r="I1300" s="118" t="s">
        <v>30</v>
      </c>
      <c r="J1300" s="118"/>
      <c r="K1300" s="118" t="s">
        <v>881</v>
      </c>
      <c r="L1300" s="118"/>
      <c r="M1300" s="118"/>
    </row>
    <row r="1301" spans="1:13">
      <c r="A1301" s="122" t="s">
        <v>24</v>
      </c>
      <c r="B1301" s="122"/>
      <c r="C1301" s="122"/>
      <c r="D1301" s="42">
        <v>1</v>
      </c>
      <c r="E1301" s="117" t="s">
        <v>40</v>
      </c>
      <c r="F1301" s="117"/>
      <c r="G1301" s="117"/>
      <c r="H1301" s="42">
        <v>3</v>
      </c>
      <c r="I1301" s="118" t="s">
        <v>27</v>
      </c>
      <c r="J1301" s="118"/>
      <c r="K1301" s="118" t="s">
        <v>21</v>
      </c>
      <c r="L1301" s="118"/>
      <c r="M1301" s="118"/>
    </row>
    <row r="1302" spans="1:13" ht="45">
      <c r="A1302" s="3" t="s">
        <v>9</v>
      </c>
      <c r="B1302" s="3" t="s">
        <v>10</v>
      </c>
      <c r="C1302" s="3" t="s">
        <v>11</v>
      </c>
      <c r="D1302" s="3" t="s">
        <v>3</v>
      </c>
      <c r="E1302" s="4" t="s">
        <v>41</v>
      </c>
      <c r="F1302" s="4" t="s">
        <v>12</v>
      </c>
      <c r="G1302" s="3" t="s">
        <v>13</v>
      </c>
      <c r="H1302" s="3" t="s">
        <v>14</v>
      </c>
      <c r="I1302" s="3" t="s">
        <v>15</v>
      </c>
      <c r="J1302" s="3" t="s">
        <v>16</v>
      </c>
      <c r="K1302" s="3" t="s">
        <v>17</v>
      </c>
      <c r="L1302" s="3" t="s">
        <v>18</v>
      </c>
      <c r="M1302" s="3" t="s">
        <v>19</v>
      </c>
    </row>
    <row r="1303" spans="1:13">
      <c r="A1303" s="18">
        <v>1</v>
      </c>
      <c r="B1303" s="111" t="s">
        <v>52</v>
      </c>
      <c r="C1303" s="18"/>
      <c r="D1303" s="18">
        <v>1</v>
      </c>
      <c r="E1303" s="20">
        <v>11500</v>
      </c>
      <c r="F1303" s="20">
        <v>4719</v>
      </c>
      <c r="G1303" s="18"/>
      <c r="H1303" s="18">
        <v>1</v>
      </c>
      <c r="I1303" s="21" t="s">
        <v>880</v>
      </c>
      <c r="J1303" s="18">
        <v>1</v>
      </c>
      <c r="K1303" s="18">
        <v>3540</v>
      </c>
      <c r="L1303" s="22"/>
      <c r="M1303" s="18"/>
    </row>
    <row r="1304" spans="1:13">
      <c r="A1304" s="18"/>
      <c r="B1304" s="113"/>
      <c r="C1304" s="18"/>
      <c r="D1304" s="18"/>
      <c r="E1304" s="20"/>
      <c r="F1304" s="20"/>
      <c r="G1304" s="18"/>
      <c r="H1304" s="18">
        <v>1</v>
      </c>
      <c r="I1304" s="21" t="s">
        <v>878</v>
      </c>
      <c r="J1304" s="18">
        <v>1</v>
      </c>
      <c r="K1304" s="18">
        <v>3189</v>
      </c>
      <c r="L1304" s="22"/>
      <c r="M1304" s="18"/>
    </row>
    <row r="1305" spans="1:13">
      <c r="A1305" s="18">
        <v>2</v>
      </c>
      <c r="B1305" s="113"/>
      <c r="C1305" s="18"/>
      <c r="D1305" s="18">
        <v>1</v>
      </c>
      <c r="E1305" s="20">
        <v>245</v>
      </c>
      <c r="F1305" s="20">
        <v>6</v>
      </c>
      <c r="G1305" s="18"/>
      <c r="H1305" s="18">
        <v>1</v>
      </c>
      <c r="I1305" s="21" t="s">
        <v>879</v>
      </c>
      <c r="J1305" s="18">
        <v>1</v>
      </c>
      <c r="K1305" s="18">
        <v>239</v>
      </c>
      <c r="L1305" s="22"/>
      <c r="M1305" s="167" t="s">
        <v>873</v>
      </c>
    </row>
    <row r="1306" spans="1:13">
      <c r="A1306" s="18"/>
      <c r="B1306" s="112"/>
      <c r="C1306" s="18"/>
      <c r="D1306" s="18"/>
      <c r="E1306" s="20"/>
      <c r="F1306" s="20"/>
      <c r="G1306" s="18"/>
      <c r="H1306" s="18"/>
      <c r="I1306" s="21"/>
      <c r="J1306" s="18"/>
      <c r="K1306" s="18"/>
      <c r="L1306" s="22"/>
      <c r="M1306" s="168"/>
    </row>
    <row r="1307" spans="1:13">
      <c r="A1307" s="117" t="s">
        <v>4</v>
      </c>
      <c r="B1307" s="117"/>
      <c r="C1307" s="117"/>
      <c r="D1307" s="117"/>
      <c r="E1307" s="117"/>
      <c r="F1307" s="117"/>
      <c r="G1307" s="117"/>
      <c r="H1307" s="117"/>
      <c r="I1307" s="118" t="s">
        <v>8</v>
      </c>
      <c r="J1307" s="118"/>
      <c r="K1307" s="89" t="s">
        <v>70</v>
      </c>
      <c r="L1307" s="119"/>
      <c r="M1307" s="120"/>
    </row>
    <row r="1308" spans="1:13">
      <c r="A1308" s="117"/>
      <c r="B1308" s="117"/>
      <c r="C1308" s="117"/>
      <c r="D1308" s="117"/>
      <c r="E1308" s="117"/>
      <c r="F1308" s="117"/>
      <c r="G1308" s="117"/>
      <c r="H1308" s="117"/>
      <c r="I1308" s="118" t="s">
        <v>25</v>
      </c>
      <c r="J1308" s="118"/>
      <c r="K1308" s="121" t="s">
        <v>770</v>
      </c>
      <c r="L1308" s="118"/>
      <c r="M1308" s="118"/>
    </row>
    <row r="1309" spans="1:13">
      <c r="A1309" s="117"/>
      <c r="B1309" s="117"/>
      <c r="C1309" s="117"/>
      <c r="D1309" s="117"/>
      <c r="E1309" s="117"/>
      <c r="F1309" s="117"/>
      <c r="G1309" s="117"/>
      <c r="H1309" s="117"/>
      <c r="I1309" s="87" t="s">
        <v>26</v>
      </c>
      <c r="J1309" s="88"/>
      <c r="K1309" s="95" t="s">
        <v>495</v>
      </c>
      <c r="L1309" s="104"/>
      <c r="M1309" s="88"/>
    </row>
    <row r="1310" spans="1:13">
      <c r="A1310" s="118" t="s">
        <v>31</v>
      </c>
      <c r="B1310" s="118"/>
      <c r="C1310" s="118" t="s">
        <v>32</v>
      </c>
      <c r="D1310" s="118"/>
      <c r="E1310" s="118"/>
      <c r="F1310" s="118"/>
      <c r="G1310" s="118"/>
      <c r="H1310" s="118"/>
      <c r="I1310" s="40" t="s">
        <v>29</v>
      </c>
      <c r="J1310" s="41"/>
      <c r="K1310" s="118" t="s">
        <v>774</v>
      </c>
      <c r="L1310" s="118"/>
      <c r="M1310" s="118"/>
    </row>
    <row r="1311" spans="1:13">
      <c r="A1311" s="118"/>
      <c r="B1311" s="118"/>
      <c r="C1311" s="118"/>
      <c r="D1311" s="118"/>
      <c r="E1311" s="118"/>
      <c r="F1311" s="118"/>
      <c r="G1311" s="118"/>
      <c r="H1311" s="118"/>
      <c r="I1311" s="118" t="s">
        <v>30</v>
      </c>
      <c r="J1311" s="118"/>
      <c r="K1311" s="118" t="s">
        <v>875</v>
      </c>
      <c r="L1311" s="118"/>
      <c r="M1311" s="118"/>
    </row>
    <row r="1312" spans="1:13">
      <c r="A1312" s="122" t="s">
        <v>24</v>
      </c>
      <c r="B1312" s="122"/>
      <c r="C1312" s="122"/>
      <c r="D1312" s="42">
        <v>38</v>
      </c>
      <c r="E1312" s="117" t="s">
        <v>40</v>
      </c>
      <c r="F1312" s="117"/>
      <c r="G1312" s="117"/>
      <c r="H1312" s="42">
        <v>92</v>
      </c>
      <c r="I1312" s="118" t="s">
        <v>27</v>
      </c>
      <c r="J1312" s="118"/>
      <c r="K1312" s="118" t="s">
        <v>21</v>
      </c>
      <c r="L1312" s="118"/>
      <c r="M1312" s="118"/>
    </row>
    <row r="1313" spans="1:13" ht="45">
      <c r="A1313" s="3" t="s">
        <v>9</v>
      </c>
      <c r="B1313" s="3" t="s">
        <v>10</v>
      </c>
      <c r="C1313" s="3" t="s">
        <v>11</v>
      </c>
      <c r="D1313" s="3" t="s">
        <v>3</v>
      </c>
      <c r="E1313" s="4" t="s">
        <v>41</v>
      </c>
      <c r="F1313" s="4" t="s">
        <v>12</v>
      </c>
      <c r="G1313" s="3" t="s">
        <v>13</v>
      </c>
      <c r="H1313" s="3" t="s">
        <v>14</v>
      </c>
      <c r="I1313" s="3" t="s">
        <v>15</v>
      </c>
      <c r="J1313" s="3" t="s">
        <v>16</v>
      </c>
      <c r="K1313" s="3" t="s">
        <v>17</v>
      </c>
      <c r="L1313" s="3" t="s">
        <v>18</v>
      </c>
      <c r="M1313" s="3" t="s">
        <v>19</v>
      </c>
    </row>
    <row r="1314" spans="1:13">
      <c r="A1314" s="18">
        <v>1</v>
      </c>
      <c r="B1314" s="111" t="s">
        <v>876</v>
      </c>
      <c r="C1314" s="18"/>
      <c r="D1314" s="18">
        <v>1</v>
      </c>
      <c r="E1314" s="20">
        <v>10938</v>
      </c>
      <c r="F1314" s="20">
        <v>4752</v>
      </c>
      <c r="G1314" s="18"/>
      <c r="H1314" s="18">
        <v>1</v>
      </c>
      <c r="I1314" s="21" t="s">
        <v>874</v>
      </c>
      <c r="J1314" s="18">
        <v>1</v>
      </c>
      <c r="K1314" s="18">
        <v>6160</v>
      </c>
      <c r="L1314" s="22"/>
      <c r="M1314" s="167" t="s">
        <v>873</v>
      </c>
    </row>
    <row r="1315" spans="1:13">
      <c r="A1315" s="18"/>
      <c r="B1315" s="112"/>
      <c r="C1315" s="18"/>
      <c r="D1315" s="18"/>
      <c r="E1315" s="20"/>
      <c r="F1315" s="20"/>
      <c r="G1315" s="18"/>
      <c r="H1315" s="18"/>
      <c r="I1315" s="21"/>
      <c r="J1315" s="18"/>
      <c r="K1315" s="18"/>
      <c r="L1315" s="22"/>
      <c r="M1315" s="168"/>
    </row>
    <row r="1316" spans="1:13">
      <c r="A1316" s="117" t="s">
        <v>4</v>
      </c>
      <c r="B1316" s="117"/>
      <c r="C1316" s="117"/>
      <c r="D1316" s="117"/>
      <c r="E1316" s="117"/>
      <c r="F1316" s="117"/>
      <c r="G1316" s="117"/>
      <c r="H1316" s="117"/>
      <c r="I1316" s="118" t="s">
        <v>8</v>
      </c>
      <c r="J1316" s="118"/>
      <c r="K1316" s="89" t="s">
        <v>70</v>
      </c>
      <c r="L1316" s="119"/>
      <c r="M1316" s="120"/>
    </row>
    <row r="1317" spans="1:13">
      <c r="A1317" s="117"/>
      <c r="B1317" s="117"/>
      <c r="C1317" s="117"/>
      <c r="D1317" s="117"/>
      <c r="E1317" s="117"/>
      <c r="F1317" s="117"/>
      <c r="G1317" s="117"/>
      <c r="H1317" s="117"/>
      <c r="I1317" s="118" t="s">
        <v>25</v>
      </c>
      <c r="J1317" s="118"/>
      <c r="K1317" s="121" t="s">
        <v>770</v>
      </c>
      <c r="L1317" s="118"/>
      <c r="M1317" s="118"/>
    </row>
    <row r="1318" spans="1:13">
      <c r="A1318" s="117"/>
      <c r="B1318" s="117"/>
      <c r="C1318" s="117"/>
      <c r="D1318" s="117"/>
      <c r="E1318" s="117"/>
      <c r="F1318" s="117"/>
      <c r="G1318" s="117"/>
      <c r="H1318" s="117"/>
      <c r="I1318" s="87" t="s">
        <v>26</v>
      </c>
      <c r="J1318" s="88"/>
      <c r="K1318" s="95" t="s">
        <v>43</v>
      </c>
      <c r="L1318" s="104"/>
      <c r="M1318" s="88"/>
    </row>
    <row r="1319" spans="1:13">
      <c r="A1319" s="118" t="s">
        <v>31</v>
      </c>
      <c r="B1319" s="118"/>
      <c r="C1319" s="118" t="s">
        <v>32</v>
      </c>
      <c r="D1319" s="118"/>
      <c r="E1319" s="118"/>
      <c r="F1319" s="118"/>
      <c r="G1319" s="118"/>
      <c r="H1319" s="118"/>
      <c r="I1319" s="40" t="s">
        <v>29</v>
      </c>
      <c r="J1319" s="41"/>
      <c r="K1319" s="118" t="s">
        <v>774</v>
      </c>
      <c r="L1319" s="118"/>
      <c r="M1319" s="118"/>
    </row>
    <row r="1320" spans="1:13">
      <c r="A1320" s="118"/>
      <c r="B1320" s="118"/>
      <c r="C1320" s="118"/>
      <c r="D1320" s="118"/>
      <c r="E1320" s="118"/>
      <c r="F1320" s="118"/>
      <c r="G1320" s="118"/>
      <c r="H1320" s="118"/>
      <c r="I1320" s="118" t="s">
        <v>30</v>
      </c>
      <c r="J1320" s="118"/>
      <c r="K1320" s="118" t="s">
        <v>872</v>
      </c>
      <c r="L1320" s="118"/>
      <c r="M1320" s="118"/>
    </row>
    <row r="1321" spans="1:13">
      <c r="A1321" s="122" t="s">
        <v>24</v>
      </c>
      <c r="B1321" s="122"/>
      <c r="C1321" s="122"/>
      <c r="D1321" s="42">
        <v>38</v>
      </c>
      <c r="E1321" s="117" t="s">
        <v>40</v>
      </c>
      <c r="F1321" s="117"/>
      <c r="G1321" s="117"/>
      <c r="H1321" s="42">
        <v>92</v>
      </c>
      <c r="I1321" s="118" t="s">
        <v>27</v>
      </c>
      <c r="J1321" s="118"/>
      <c r="K1321" s="118" t="s">
        <v>21</v>
      </c>
      <c r="L1321" s="118"/>
      <c r="M1321" s="118"/>
    </row>
    <row r="1322" spans="1:13" ht="45">
      <c r="A1322" s="3" t="s">
        <v>9</v>
      </c>
      <c r="B1322" s="3" t="s">
        <v>10</v>
      </c>
      <c r="C1322" s="3" t="s">
        <v>11</v>
      </c>
      <c r="D1322" s="3" t="s">
        <v>3</v>
      </c>
      <c r="E1322" s="4" t="s">
        <v>41</v>
      </c>
      <c r="F1322" s="4" t="s">
        <v>12</v>
      </c>
      <c r="G1322" s="3" t="s">
        <v>13</v>
      </c>
      <c r="H1322" s="3" t="s">
        <v>14</v>
      </c>
      <c r="I1322" s="3" t="s">
        <v>15</v>
      </c>
      <c r="J1322" s="3" t="s">
        <v>16</v>
      </c>
      <c r="K1322" s="3" t="s">
        <v>17</v>
      </c>
      <c r="L1322" s="3" t="s">
        <v>18</v>
      </c>
      <c r="M1322" s="3" t="s">
        <v>19</v>
      </c>
    </row>
    <row r="1323" spans="1:13">
      <c r="A1323" s="18">
        <v>1</v>
      </c>
      <c r="B1323" s="111">
        <v>0.53</v>
      </c>
      <c r="C1323" s="18"/>
      <c r="D1323" s="18">
        <v>1</v>
      </c>
      <c r="E1323" s="20">
        <v>110</v>
      </c>
      <c r="F1323" s="20">
        <v>3</v>
      </c>
      <c r="G1323" s="18"/>
      <c r="H1323" s="18">
        <v>1</v>
      </c>
      <c r="I1323" s="21" t="s">
        <v>818</v>
      </c>
      <c r="J1323" s="18">
        <v>1</v>
      </c>
      <c r="K1323" s="18">
        <v>107</v>
      </c>
      <c r="L1323" s="22"/>
      <c r="M1323" s="164" t="s">
        <v>873</v>
      </c>
    </row>
    <row r="1324" spans="1:13">
      <c r="A1324" s="55">
        <v>2</v>
      </c>
      <c r="B1324" s="113"/>
      <c r="C1324" s="55"/>
      <c r="D1324" s="18">
        <v>1</v>
      </c>
      <c r="E1324" s="20">
        <v>123</v>
      </c>
      <c r="F1324" s="20">
        <v>16</v>
      </c>
      <c r="G1324" s="18"/>
      <c r="H1324" s="18">
        <v>1</v>
      </c>
      <c r="I1324" s="59" t="s">
        <v>819</v>
      </c>
      <c r="J1324" s="18">
        <v>1</v>
      </c>
      <c r="K1324" s="18">
        <v>107</v>
      </c>
      <c r="L1324" s="60"/>
      <c r="M1324" s="165"/>
    </row>
    <row r="1325" spans="1:13">
      <c r="A1325" s="18">
        <v>3</v>
      </c>
      <c r="B1325" s="113"/>
      <c r="C1325" s="55"/>
      <c r="D1325" s="18">
        <v>1</v>
      </c>
      <c r="E1325" s="20">
        <v>140</v>
      </c>
      <c r="F1325" s="20">
        <v>20</v>
      </c>
      <c r="G1325" s="18"/>
      <c r="H1325" s="18">
        <v>1</v>
      </c>
      <c r="I1325" s="59" t="s">
        <v>801</v>
      </c>
      <c r="J1325" s="55">
        <v>1</v>
      </c>
      <c r="K1325" s="18">
        <v>120</v>
      </c>
      <c r="L1325" s="60"/>
      <c r="M1325" s="165"/>
    </row>
    <row r="1326" spans="1:13">
      <c r="A1326" s="55">
        <v>4</v>
      </c>
      <c r="B1326" s="113"/>
      <c r="C1326" s="55"/>
      <c r="D1326" s="18">
        <v>1</v>
      </c>
      <c r="E1326" s="20">
        <v>194</v>
      </c>
      <c r="F1326" s="20">
        <v>67</v>
      </c>
      <c r="G1326" s="18"/>
      <c r="H1326" s="18">
        <v>1</v>
      </c>
      <c r="I1326" s="59" t="s">
        <v>853</v>
      </c>
      <c r="J1326" s="55">
        <v>1</v>
      </c>
      <c r="K1326" s="18">
        <v>127</v>
      </c>
      <c r="L1326" s="60"/>
      <c r="M1326" s="165"/>
    </row>
    <row r="1327" spans="1:13">
      <c r="A1327" s="18">
        <v>5</v>
      </c>
      <c r="B1327" s="113"/>
      <c r="C1327" s="55"/>
      <c r="D1327" s="55">
        <v>1</v>
      </c>
      <c r="E1327" s="57">
        <v>510</v>
      </c>
      <c r="F1327" s="20">
        <v>12</v>
      </c>
      <c r="G1327" s="55"/>
      <c r="H1327" s="55">
        <v>1</v>
      </c>
      <c r="I1327" s="59" t="s">
        <v>870</v>
      </c>
      <c r="J1327" s="55">
        <v>1</v>
      </c>
      <c r="K1327" s="18">
        <v>498</v>
      </c>
      <c r="L1327" s="60"/>
      <c r="M1327" s="165"/>
    </row>
    <row r="1328" spans="1:13">
      <c r="A1328" s="55">
        <v>6</v>
      </c>
      <c r="B1328" s="113"/>
      <c r="C1328" s="55"/>
      <c r="D1328" s="55">
        <v>1</v>
      </c>
      <c r="E1328" s="57">
        <v>550</v>
      </c>
      <c r="F1328" s="20">
        <v>11</v>
      </c>
      <c r="G1328" s="55"/>
      <c r="H1328" s="55">
        <v>1</v>
      </c>
      <c r="I1328" s="59" t="s">
        <v>798</v>
      </c>
      <c r="J1328" s="55">
        <v>1</v>
      </c>
      <c r="K1328" s="18">
        <v>539</v>
      </c>
      <c r="L1328" s="60"/>
      <c r="M1328" s="166"/>
    </row>
    <row r="1329" spans="1:13">
      <c r="A1329" s="18">
        <v>7</v>
      </c>
      <c r="B1329" s="113"/>
      <c r="C1329" s="18"/>
      <c r="D1329" s="18">
        <v>1</v>
      </c>
      <c r="E1329" s="20">
        <v>11500</v>
      </c>
      <c r="F1329" s="20">
        <v>209</v>
      </c>
      <c r="G1329" s="18"/>
      <c r="H1329" s="18">
        <v>1</v>
      </c>
      <c r="I1329" s="21" t="s">
        <v>803</v>
      </c>
      <c r="J1329" s="18">
        <v>1</v>
      </c>
      <c r="K1329" s="18">
        <v>9149</v>
      </c>
      <c r="L1329" s="22"/>
      <c r="M1329" s="18"/>
    </row>
    <row r="1330" spans="1:13">
      <c r="A1330" s="18" t="s">
        <v>33</v>
      </c>
      <c r="B1330" s="113"/>
      <c r="C1330" s="18"/>
      <c r="D1330" s="18"/>
      <c r="E1330" s="20"/>
      <c r="F1330" s="20"/>
      <c r="G1330" s="18"/>
      <c r="H1330" s="18">
        <v>1</v>
      </c>
      <c r="I1330" s="21" t="s">
        <v>809</v>
      </c>
      <c r="J1330" s="18">
        <v>1</v>
      </c>
      <c r="K1330" s="18">
        <v>1825</v>
      </c>
      <c r="L1330" s="22"/>
      <c r="M1330" s="18"/>
    </row>
    <row r="1331" spans="1:13">
      <c r="A1331" s="18" t="s">
        <v>33</v>
      </c>
      <c r="B1331" s="113"/>
      <c r="C1331" s="18"/>
      <c r="D1331" s="18"/>
      <c r="E1331" s="20"/>
      <c r="F1331" s="20"/>
      <c r="G1331" s="18"/>
      <c r="H1331" s="18">
        <v>1</v>
      </c>
      <c r="I1331" s="21" t="s">
        <v>861</v>
      </c>
      <c r="J1331" s="18">
        <v>1</v>
      </c>
      <c r="K1331" s="18">
        <v>239</v>
      </c>
      <c r="L1331" s="22"/>
      <c r="M1331" s="18"/>
    </row>
    <row r="1332" spans="1:13">
      <c r="A1332" s="18">
        <v>8</v>
      </c>
      <c r="B1332" s="113"/>
      <c r="C1332" s="18"/>
      <c r="D1332" s="18">
        <v>1</v>
      </c>
      <c r="E1332" s="20">
        <v>11500</v>
      </c>
      <c r="F1332" s="20">
        <v>4</v>
      </c>
      <c r="G1332" s="18"/>
      <c r="H1332" s="18">
        <v>1</v>
      </c>
      <c r="I1332" s="21" t="s">
        <v>816</v>
      </c>
      <c r="J1332" s="18">
        <v>1</v>
      </c>
      <c r="K1332" s="18">
        <v>9144</v>
      </c>
      <c r="L1332" s="22"/>
      <c r="M1332" s="18"/>
    </row>
    <row r="1333" spans="1:13">
      <c r="A1333" s="18" t="s">
        <v>33</v>
      </c>
      <c r="B1333" s="113"/>
      <c r="C1333" s="18"/>
      <c r="D1333" s="18"/>
      <c r="E1333" s="20"/>
      <c r="F1333" s="20"/>
      <c r="G1333" s="18"/>
      <c r="H1333" s="18">
        <v>1</v>
      </c>
      <c r="I1333" s="21" t="s">
        <v>868</v>
      </c>
      <c r="J1333" s="18">
        <v>1</v>
      </c>
      <c r="K1333" s="18">
        <v>1785</v>
      </c>
      <c r="L1333" s="22"/>
      <c r="M1333" s="18"/>
    </row>
    <row r="1334" spans="1:13">
      <c r="A1334" s="18" t="s">
        <v>33</v>
      </c>
      <c r="B1334" s="113"/>
      <c r="C1334" s="18"/>
      <c r="D1334" s="18"/>
      <c r="E1334" s="20"/>
      <c r="F1334" s="20"/>
      <c r="G1334" s="18"/>
      <c r="H1334" s="18">
        <v>1</v>
      </c>
      <c r="I1334" s="21" t="s">
        <v>851</v>
      </c>
      <c r="J1334" s="18">
        <v>1</v>
      </c>
      <c r="K1334" s="18">
        <v>489</v>
      </c>
      <c r="L1334" s="22"/>
      <c r="M1334" s="18"/>
    </row>
    <row r="1335" spans="1:13">
      <c r="A1335" s="18">
        <v>9</v>
      </c>
      <c r="B1335" s="113"/>
      <c r="C1335" s="18"/>
      <c r="D1335" s="18">
        <v>1</v>
      </c>
      <c r="E1335" s="20">
        <v>11500</v>
      </c>
      <c r="F1335" s="20">
        <v>0</v>
      </c>
      <c r="G1335" s="18"/>
      <c r="H1335" s="18">
        <v>1</v>
      </c>
      <c r="I1335" s="21" t="s">
        <v>850</v>
      </c>
      <c r="J1335" s="18">
        <v>1</v>
      </c>
      <c r="K1335" s="18">
        <v>9144</v>
      </c>
      <c r="L1335" s="22"/>
      <c r="M1335" s="18"/>
    </row>
    <row r="1336" spans="1:13">
      <c r="A1336" s="18" t="s">
        <v>33</v>
      </c>
      <c r="B1336" s="113"/>
      <c r="C1336" s="18"/>
      <c r="D1336" s="18"/>
      <c r="E1336" s="20"/>
      <c r="F1336" s="20"/>
      <c r="G1336" s="18"/>
      <c r="H1336" s="18">
        <v>1</v>
      </c>
      <c r="I1336" s="21" t="s">
        <v>865</v>
      </c>
      <c r="J1336" s="18">
        <v>1</v>
      </c>
      <c r="K1336" s="18">
        <v>1789</v>
      </c>
      <c r="L1336" s="22"/>
      <c r="M1336" s="18"/>
    </row>
    <row r="1337" spans="1:13">
      <c r="A1337" s="18" t="s">
        <v>33</v>
      </c>
      <c r="B1337" s="113"/>
      <c r="C1337" s="18"/>
      <c r="D1337" s="18"/>
      <c r="E1337" s="20"/>
      <c r="F1337" s="20"/>
      <c r="G1337" s="18"/>
      <c r="H1337" s="18">
        <v>1</v>
      </c>
      <c r="I1337" s="21" t="s">
        <v>814</v>
      </c>
      <c r="J1337" s="18">
        <v>1</v>
      </c>
      <c r="K1337" s="18">
        <v>489</v>
      </c>
      <c r="L1337" s="22"/>
      <c r="M1337" s="18"/>
    </row>
    <row r="1338" spans="1:13">
      <c r="A1338" s="18">
        <v>10</v>
      </c>
      <c r="B1338" s="113"/>
      <c r="C1338" s="18"/>
      <c r="D1338" s="18">
        <v>1</v>
      </c>
      <c r="E1338" s="20">
        <v>11500</v>
      </c>
      <c r="F1338" s="20">
        <v>10</v>
      </c>
      <c r="G1338" s="18"/>
      <c r="H1338" s="18">
        <v>1</v>
      </c>
      <c r="I1338" s="21" t="s">
        <v>826</v>
      </c>
      <c r="J1338" s="18">
        <v>1</v>
      </c>
      <c r="K1338" s="18">
        <v>8869</v>
      </c>
      <c r="L1338" s="22"/>
      <c r="M1338" s="18"/>
    </row>
    <row r="1339" spans="1:13">
      <c r="A1339" s="18" t="s">
        <v>33</v>
      </c>
      <c r="B1339" s="113"/>
      <c r="C1339" s="18"/>
      <c r="D1339" s="18"/>
      <c r="E1339" s="20"/>
      <c r="F1339" s="20"/>
      <c r="G1339" s="18"/>
      <c r="H1339" s="18">
        <v>1</v>
      </c>
      <c r="I1339" s="21" t="s">
        <v>849</v>
      </c>
      <c r="J1339" s="18">
        <v>1</v>
      </c>
      <c r="K1339" s="18">
        <v>2569</v>
      </c>
      <c r="L1339" s="22"/>
      <c r="M1339" s="18"/>
    </row>
    <row r="1340" spans="1:13">
      <c r="A1340" s="18">
        <v>11</v>
      </c>
      <c r="B1340" s="113"/>
      <c r="C1340" s="18"/>
      <c r="D1340" s="18">
        <v>1</v>
      </c>
      <c r="E1340" s="20">
        <v>11500</v>
      </c>
      <c r="F1340" s="20">
        <v>2</v>
      </c>
      <c r="G1340" s="18"/>
      <c r="H1340" s="18">
        <v>1</v>
      </c>
      <c r="I1340" s="21" t="s">
        <v>829</v>
      </c>
      <c r="J1340" s="18">
        <v>1</v>
      </c>
      <c r="K1340" s="18">
        <v>8408</v>
      </c>
      <c r="L1340" s="22"/>
      <c r="M1340" s="18"/>
    </row>
    <row r="1341" spans="1:13">
      <c r="A1341" s="18" t="s">
        <v>33</v>
      </c>
      <c r="B1341" s="113"/>
      <c r="C1341" s="18"/>
      <c r="D1341" s="18"/>
      <c r="E1341" s="20"/>
      <c r="F1341" s="20"/>
      <c r="G1341" s="18"/>
      <c r="H1341" s="18">
        <v>1</v>
      </c>
      <c r="I1341" s="21" t="s">
        <v>843</v>
      </c>
      <c r="J1341" s="18">
        <v>1</v>
      </c>
      <c r="K1341" s="18">
        <v>2480</v>
      </c>
      <c r="L1341" s="22"/>
      <c r="M1341" s="18"/>
    </row>
    <row r="1342" spans="1:13">
      <c r="A1342" s="18" t="s">
        <v>33</v>
      </c>
      <c r="B1342" s="113"/>
      <c r="C1342" s="18"/>
      <c r="D1342" s="18"/>
      <c r="E1342" s="20"/>
      <c r="F1342" s="20"/>
      <c r="G1342" s="18"/>
      <c r="H1342" s="18">
        <v>1</v>
      </c>
      <c r="I1342" s="21" t="s">
        <v>839</v>
      </c>
      <c r="J1342" s="18">
        <v>1</v>
      </c>
      <c r="K1342" s="18">
        <v>532</v>
      </c>
      <c r="L1342" s="22"/>
      <c r="M1342" s="18"/>
    </row>
    <row r="1343" spans="1:13">
      <c r="A1343" s="18">
        <v>12</v>
      </c>
      <c r="B1343" s="113"/>
      <c r="C1343" s="18"/>
      <c r="D1343" s="18">
        <v>1</v>
      </c>
      <c r="E1343" s="20">
        <v>11500</v>
      </c>
      <c r="F1343" s="20">
        <v>40</v>
      </c>
      <c r="G1343" s="18"/>
      <c r="H1343" s="18">
        <v>1</v>
      </c>
      <c r="I1343" s="21" t="s">
        <v>855</v>
      </c>
      <c r="J1343" s="18">
        <v>1</v>
      </c>
      <c r="K1343" s="18">
        <v>7168</v>
      </c>
      <c r="L1343" s="22"/>
      <c r="M1343" s="18"/>
    </row>
    <row r="1344" spans="1:13">
      <c r="A1344" s="5" t="s">
        <v>33</v>
      </c>
      <c r="B1344" s="113"/>
      <c r="C1344" s="5"/>
      <c r="D1344" s="5"/>
      <c r="E1344" s="6"/>
      <c r="F1344" s="6"/>
      <c r="G1344" s="5"/>
      <c r="H1344" s="5">
        <v>1</v>
      </c>
      <c r="I1344" s="7" t="s">
        <v>799</v>
      </c>
      <c r="J1344" s="5">
        <v>1</v>
      </c>
      <c r="K1344" s="5">
        <v>3739</v>
      </c>
      <c r="L1344" s="8"/>
      <c r="M1344" s="5"/>
    </row>
    <row r="1345" spans="1:13">
      <c r="A1345" s="5" t="s">
        <v>33</v>
      </c>
      <c r="B1345" s="113"/>
      <c r="C1345" s="5"/>
      <c r="D1345" s="5"/>
      <c r="E1345" s="6"/>
      <c r="F1345" s="6"/>
      <c r="G1345" s="5"/>
      <c r="H1345" s="5">
        <v>1</v>
      </c>
      <c r="I1345" s="7" t="s">
        <v>838</v>
      </c>
      <c r="J1345" s="5">
        <v>1</v>
      </c>
      <c r="K1345" s="5">
        <v>475</v>
      </c>
      <c r="L1345" s="8"/>
      <c r="M1345" s="18"/>
    </row>
    <row r="1346" spans="1:13">
      <c r="A1346" s="5">
        <v>13</v>
      </c>
      <c r="B1346" s="113"/>
      <c r="C1346" s="5"/>
      <c r="D1346" s="5">
        <v>1</v>
      </c>
      <c r="E1346" s="6">
        <v>11500</v>
      </c>
      <c r="F1346" s="6">
        <v>45</v>
      </c>
      <c r="G1346" s="5"/>
      <c r="H1346" s="5">
        <v>1</v>
      </c>
      <c r="I1346" s="7" t="s">
        <v>828</v>
      </c>
      <c r="J1346" s="5">
        <v>1</v>
      </c>
      <c r="K1346" s="5">
        <v>7025</v>
      </c>
      <c r="L1346" s="8"/>
      <c r="M1346" s="5"/>
    </row>
    <row r="1347" spans="1:13">
      <c r="A1347" s="5" t="s">
        <v>33</v>
      </c>
      <c r="B1347" s="113"/>
      <c r="C1347" s="5"/>
      <c r="D1347" s="5"/>
      <c r="E1347" s="6"/>
      <c r="F1347" s="6"/>
      <c r="G1347" s="5"/>
      <c r="H1347" s="5">
        <v>1</v>
      </c>
      <c r="I1347" s="7" t="s">
        <v>815</v>
      </c>
      <c r="J1347" s="5">
        <v>1</v>
      </c>
      <c r="K1347" s="5">
        <v>3539</v>
      </c>
      <c r="L1347" s="8"/>
      <c r="M1347" s="5"/>
    </row>
    <row r="1348" spans="1:13">
      <c r="A1348" s="5" t="s">
        <v>33</v>
      </c>
      <c r="B1348" s="113"/>
      <c r="C1348" s="5"/>
      <c r="D1348" s="5"/>
      <c r="E1348" s="6"/>
      <c r="F1348" s="6"/>
      <c r="G1348" s="5"/>
      <c r="H1348" s="5">
        <v>1</v>
      </c>
      <c r="I1348" s="7" t="s">
        <v>871</v>
      </c>
      <c r="J1348" s="5">
        <v>1</v>
      </c>
      <c r="K1348" s="5">
        <v>813</v>
      </c>
      <c r="L1348" s="8"/>
      <c r="M1348" s="5"/>
    </row>
    <row r="1349" spans="1:13">
      <c r="A1349" s="5">
        <v>14</v>
      </c>
      <c r="B1349" s="113"/>
      <c r="C1349" s="5"/>
      <c r="D1349" s="5">
        <v>1</v>
      </c>
      <c r="E1349" s="6">
        <v>11500</v>
      </c>
      <c r="F1349" s="6">
        <v>5</v>
      </c>
      <c r="G1349" s="5"/>
      <c r="H1349" s="5">
        <v>1</v>
      </c>
      <c r="I1349" s="7" t="s">
        <v>797</v>
      </c>
      <c r="J1349" s="5">
        <v>1</v>
      </c>
      <c r="K1349" s="5">
        <v>6739</v>
      </c>
      <c r="L1349" s="8"/>
      <c r="M1349" s="5"/>
    </row>
    <row r="1350" spans="1:13">
      <c r="A1350" s="5" t="s">
        <v>33</v>
      </c>
      <c r="B1350" s="113"/>
      <c r="C1350" s="5"/>
      <c r="D1350" s="5"/>
      <c r="E1350" s="6"/>
      <c r="F1350" s="6"/>
      <c r="G1350" s="5"/>
      <c r="H1350" s="5">
        <v>1</v>
      </c>
      <c r="I1350" s="7" t="s">
        <v>781</v>
      </c>
      <c r="J1350" s="5">
        <v>1</v>
      </c>
      <c r="K1350" s="5">
        <v>4039</v>
      </c>
      <c r="L1350" s="8"/>
      <c r="M1350" s="5"/>
    </row>
    <row r="1351" spans="1:13">
      <c r="A1351" s="5" t="s">
        <v>33</v>
      </c>
      <c r="B1351" s="113"/>
      <c r="C1351" s="5"/>
      <c r="D1351" s="5"/>
      <c r="E1351" s="6"/>
      <c r="F1351" s="6"/>
      <c r="G1351" s="5"/>
      <c r="H1351" s="5">
        <v>1</v>
      </c>
      <c r="I1351" s="7" t="s">
        <v>830</v>
      </c>
      <c r="J1351" s="5">
        <v>1</v>
      </c>
      <c r="K1351" s="5">
        <v>639</v>
      </c>
      <c r="L1351" s="8"/>
      <c r="M1351" s="5"/>
    </row>
    <row r="1352" spans="1:13">
      <c r="A1352" s="5">
        <v>15</v>
      </c>
      <c r="B1352" s="113"/>
      <c r="C1352" s="5"/>
      <c r="D1352" s="5">
        <v>1</v>
      </c>
      <c r="E1352" s="6">
        <v>11500</v>
      </c>
      <c r="F1352" s="6">
        <v>15</v>
      </c>
      <c r="G1352" s="5"/>
      <c r="H1352" s="5">
        <v>1</v>
      </c>
      <c r="I1352" s="7" t="s">
        <v>800</v>
      </c>
      <c r="J1352" s="5">
        <v>1</v>
      </c>
      <c r="K1352" s="5">
        <v>6329</v>
      </c>
      <c r="L1352" s="8"/>
      <c r="M1352" s="5"/>
    </row>
    <row r="1353" spans="1:13">
      <c r="A1353" s="5" t="s">
        <v>33</v>
      </c>
      <c r="B1353" s="113"/>
      <c r="C1353" s="5"/>
      <c r="D1353" s="5"/>
      <c r="E1353" s="6"/>
      <c r="F1353" s="6"/>
      <c r="G1353" s="5"/>
      <c r="H1353" s="5">
        <v>1</v>
      </c>
      <c r="I1353" s="7" t="s">
        <v>791</v>
      </c>
      <c r="J1353" s="5">
        <v>1</v>
      </c>
      <c r="K1353" s="5">
        <v>4539</v>
      </c>
      <c r="L1353" s="8"/>
      <c r="M1353" s="5"/>
    </row>
    <row r="1354" spans="1:13">
      <c r="A1354" s="5" t="s">
        <v>33</v>
      </c>
      <c r="B1354" s="113"/>
      <c r="C1354" s="5"/>
      <c r="D1354" s="5"/>
      <c r="E1354" s="6"/>
      <c r="F1354" s="6"/>
      <c r="G1354" s="5"/>
      <c r="H1354" s="5">
        <v>1</v>
      </c>
      <c r="I1354" s="7" t="s">
        <v>832</v>
      </c>
      <c r="J1354" s="5">
        <v>1</v>
      </c>
      <c r="K1354" s="5">
        <v>539</v>
      </c>
      <c r="L1354" s="8"/>
      <c r="M1354" s="5"/>
    </row>
    <row r="1355" spans="1:13">
      <c r="A1355" s="5">
        <v>16</v>
      </c>
      <c r="B1355" s="113"/>
      <c r="C1355" s="5"/>
      <c r="D1355" s="5">
        <v>1</v>
      </c>
      <c r="E1355" s="6">
        <v>11500</v>
      </c>
      <c r="F1355" s="6">
        <v>7</v>
      </c>
      <c r="G1355" s="5"/>
      <c r="H1355" s="5">
        <v>1</v>
      </c>
      <c r="I1355" s="7" t="s">
        <v>841</v>
      </c>
      <c r="J1355" s="5">
        <v>1</v>
      </c>
      <c r="K1355" s="5">
        <v>6329</v>
      </c>
      <c r="L1355" s="8"/>
      <c r="M1355" s="5"/>
    </row>
    <row r="1356" spans="1:13">
      <c r="A1356" s="5" t="s">
        <v>33</v>
      </c>
      <c r="B1356" s="113"/>
      <c r="C1356" s="5"/>
      <c r="D1356" s="5"/>
      <c r="E1356" s="6"/>
      <c r="F1356" s="6"/>
      <c r="G1356" s="5"/>
      <c r="H1356" s="5">
        <v>1</v>
      </c>
      <c r="I1356" s="7" t="s">
        <v>857</v>
      </c>
      <c r="J1356" s="5">
        <v>1</v>
      </c>
      <c r="K1356" s="5">
        <v>4547</v>
      </c>
      <c r="L1356" s="8"/>
      <c r="M1356" s="5"/>
    </row>
    <row r="1357" spans="1:13">
      <c r="A1357" s="5" t="s">
        <v>33</v>
      </c>
      <c r="B1357" s="113"/>
      <c r="C1357" s="5"/>
      <c r="D1357" s="5"/>
      <c r="E1357" s="6"/>
      <c r="F1357" s="6"/>
      <c r="G1357" s="5"/>
      <c r="H1357" s="5">
        <v>1</v>
      </c>
      <c r="I1357" s="7" t="s">
        <v>820</v>
      </c>
      <c r="J1357" s="5">
        <v>1</v>
      </c>
      <c r="K1357" s="5">
        <v>539</v>
      </c>
      <c r="L1357" s="8"/>
      <c r="M1357" s="5"/>
    </row>
    <row r="1358" spans="1:13">
      <c r="A1358" s="5">
        <v>17</v>
      </c>
      <c r="B1358" s="113"/>
      <c r="C1358" s="5"/>
      <c r="D1358" s="5">
        <v>1</v>
      </c>
      <c r="E1358" s="6">
        <v>11500</v>
      </c>
      <c r="F1358" s="6">
        <v>32</v>
      </c>
      <c r="G1358" s="5"/>
      <c r="H1358" s="5">
        <v>1</v>
      </c>
      <c r="I1358" s="7" t="s">
        <v>782</v>
      </c>
      <c r="J1358" s="5">
        <v>1</v>
      </c>
      <c r="K1358" s="5">
        <v>6289</v>
      </c>
      <c r="L1358" s="8"/>
      <c r="M1358" s="5"/>
    </row>
    <row r="1359" spans="1:13">
      <c r="A1359" s="5" t="s">
        <v>33</v>
      </c>
      <c r="B1359" s="113"/>
      <c r="C1359" s="5"/>
      <c r="D1359" s="5"/>
      <c r="E1359" s="6"/>
      <c r="F1359" s="6"/>
      <c r="G1359" s="5"/>
      <c r="H1359" s="5">
        <v>1</v>
      </c>
      <c r="I1359" s="7" t="s">
        <v>795</v>
      </c>
      <c r="J1359" s="5">
        <v>1</v>
      </c>
      <c r="K1359" s="5">
        <v>4439</v>
      </c>
      <c r="L1359" s="8"/>
      <c r="M1359" s="5"/>
    </row>
    <row r="1360" spans="1:13">
      <c r="A1360" s="5" t="s">
        <v>33</v>
      </c>
      <c r="B1360" s="113"/>
      <c r="C1360" s="5"/>
      <c r="D1360" s="5"/>
      <c r="E1360" s="6"/>
      <c r="F1360" s="6"/>
      <c r="G1360" s="5"/>
      <c r="H1360" s="5">
        <v>1</v>
      </c>
      <c r="I1360" s="7" t="s">
        <v>863</v>
      </c>
      <c r="J1360" s="5">
        <v>1</v>
      </c>
      <c r="K1360" s="5">
        <v>662</v>
      </c>
      <c r="L1360" s="8"/>
      <c r="M1360" s="5"/>
    </row>
    <row r="1361" spans="1:13">
      <c r="A1361" s="5">
        <v>18</v>
      </c>
      <c r="B1361" s="113"/>
      <c r="C1361" s="5"/>
      <c r="D1361" s="5">
        <v>1</v>
      </c>
      <c r="E1361" s="6">
        <v>11500</v>
      </c>
      <c r="F1361" s="6">
        <v>19</v>
      </c>
      <c r="G1361" s="5"/>
      <c r="H1361" s="5">
        <v>1</v>
      </c>
      <c r="I1361" s="7" t="s">
        <v>780</v>
      </c>
      <c r="J1361" s="5">
        <v>1</v>
      </c>
      <c r="K1361" s="5">
        <v>6289</v>
      </c>
      <c r="L1361" s="8"/>
      <c r="M1361" s="5"/>
    </row>
    <row r="1362" spans="1:13">
      <c r="A1362" s="5" t="s">
        <v>33</v>
      </c>
      <c r="B1362" s="113"/>
      <c r="C1362" s="5"/>
      <c r="D1362" s="5"/>
      <c r="E1362" s="6"/>
      <c r="F1362" s="6"/>
      <c r="G1362" s="5"/>
      <c r="H1362" s="5">
        <v>1</v>
      </c>
      <c r="I1362" s="7" t="s">
        <v>784</v>
      </c>
      <c r="J1362" s="5">
        <v>1</v>
      </c>
      <c r="K1362" s="5">
        <v>4439</v>
      </c>
      <c r="L1362" s="8"/>
      <c r="M1362" s="5"/>
    </row>
    <row r="1363" spans="1:13">
      <c r="A1363" s="5" t="s">
        <v>33</v>
      </c>
      <c r="B1363" s="113"/>
      <c r="C1363" s="5"/>
      <c r="D1363" s="5"/>
      <c r="E1363" s="6"/>
      <c r="F1363" s="6"/>
      <c r="G1363" s="5"/>
      <c r="H1363" s="5">
        <v>1</v>
      </c>
      <c r="I1363" s="7" t="s">
        <v>869</v>
      </c>
      <c r="J1363" s="5">
        <v>1</v>
      </c>
      <c r="K1363" s="5">
        <v>675</v>
      </c>
      <c r="L1363" s="8"/>
      <c r="M1363" s="5"/>
    </row>
    <row r="1364" spans="1:13">
      <c r="A1364" s="5">
        <v>19</v>
      </c>
      <c r="B1364" s="113"/>
      <c r="C1364" s="5"/>
      <c r="D1364" s="5">
        <v>1</v>
      </c>
      <c r="E1364" s="6">
        <v>11500</v>
      </c>
      <c r="F1364" s="6">
        <v>8611</v>
      </c>
      <c r="G1364" s="5"/>
      <c r="H1364" s="5">
        <v>1</v>
      </c>
      <c r="I1364" s="7" t="s">
        <v>823</v>
      </c>
      <c r="J1364" s="5">
        <v>1</v>
      </c>
      <c r="K1364" s="5">
        <v>603</v>
      </c>
      <c r="L1364" s="8"/>
      <c r="M1364" s="5"/>
    </row>
    <row r="1365" spans="1:13">
      <c r="A1365" s="5" t="s">
        <v>33</v>
      </c>
      <c r="B1365" s="113"/>
      <c r="C1365" s="5"/>
      <c r="D1365" s="5"/>
      <c r="E1365" s="6"/>
      <c r="F1365" s="6"/>
      <c r="G1365" s="5"/>
      <c r="H1365" s="5">
        <v>1</v>
      </c>
      <c r="I1365" s="7" t="s">
        <v>836</v>
      </c>
      <c r="J1365" s="5">
        <v>1</v>
      </c>
      <c r="K1365" s="5">
        <v>539</v>
      </c>
      <c r="L1365" s="8"/>
      <c r="M1365" s="5"/>
    </row>
    <row r="1366" spans="1:13">
      <c r="A1366" s="5" t="s">
        <v>33</v>
      </c>
      <c r="B1366" s="113"/>
      <c r="C1366" s="5"/>
      <c r="D1366" s="5"/>
      <c r="E1366" s="6"/>
      <c r="F1366" s="6"/>
      <c r="G1366" s="5"/>
      <c r="H1366" s="5">
        <v>1</v>
      </c>
      <c r="I1366" s="7" t="s">
        <v>845</v>
      </c>
      <c r="J1366" s="5">
        <v>1</v>
      </c>
      <c r="K1366" s="5">
        <v>539</v>
      </c>
      <c r="L1366" s="8"/>
      <c r="M1366" s="5"/>
    </row>
    <row r="1367" spans="1:13">
      <c r="A1367" s="5" t="s">
        <v>33</v>
      </c>
      <c r="B1367" s="113"/>
      <c r="C1367" s="5"/>
      <c r="D1367" s="5"/>
      <c r="E1367" s="6"/>
      <c r="F1367" s="6"/>
      <c r="G1367" s="5"/>
      <c r="H1367" s="5">
        <v>1</v>
      </c>
      <c r="I1367" s="7" t="s">
        <v>842</v>
      </c>
      <c r="J1367" s="5">
        <v>1</v>
      </c>
      <c r="K1367" s="5">
        <v>539</v>
      </c>
      <c r="L1367" s="8"/>
      <c r="M1367" s="5"/>
    </row>
    <row r="1368" spans="1:13">
      <c r="A1368" s="5" t="s">
        <v>33</v>
      </c>
      <c r="B1368" s="113"/>
      <c r="C1368" s="5"/>
      <c r="D1368" s="5"/>
      <c r="E1368" s="6"/>
      <c r="F1368" s="6"/>
      <c r="G1368" s="5"/>
      <c r="H1368" s="5">
        <v>1</v>
      </c>
      <c r="I1368" s="7" t="s">
        <v>858</v>
      </c>
      <c r="J1368" s="5">
        <v>1</v>
      </c>
      <c r="K1368" s="5">
        <v>539</v>
      </c>
      <c r="L1368" s="8"/>
      <c r="M1368" s="5"/>
    </row>
    <row r="1369" spans="1:13">
      <c r="A1369" s="5">
        <v>20</v>
      </c>
      <c r="B1369" s="113"/>
      <c r="C1369" s="5"/>
      <c r="D1369" s="5">
        <v>1</v>
      </c>
      <c r="E1369" s="6">
        <v>11500</v>
      </c>
      <c r="F1369" s="6">
        <v>25</v>
      </c>
      <c r="G1369" s="5"/>
      <c r="H1369" s="5">
        <v>1</v>
      </c>
      <c r="I1369" s="7" t="s">
        <v>785</v>
      </c>
      <c r="J1369" s="5">
        <v>1</v>
      </c>
      <c r="K1369" s="5">
        <v>5639</v>
      </c>
      <c r="L1369" s="8"/>
      <c r="M1369" s="5"/>
    </row>
    <row r="1370" spans="1:13">
      <c r="A1370" s="5" t="s">
        <v>33</v>
      </c>
      <c r="B1370" s="113"/>
      <c r="C1370" s="5"/>
      <c r="D1370" s="5"/>
      <c r="E1370" s="6"/>
      <c r="F1370" s="6"/>
      <c r="G1370" s="5"/>
      <c r="H1370" s="5">
        <v>1</v>
      </c>
      <c r="I1370" s="7" t="s">
        <v>788</v>
      </c>
      <c r="J1370" s="5">
        <v>1</v>
      </c>
      <c r="K1370" s="5">
        <v>5189</v>
      </c>
      <c r="L1370" s="8"/>
      <c r="M1370" s="5"/>
    </row>
    <row r="1371" spans="1:13">
      <c r="A1371" s="5" t="s">
        <v>33</v>
      </c>
      <c r="B1371" s="113"/>
      <c r="C1371" s="5"/>
      <c r="D1371" s="5"/>
      <c r="E1371" s="6"/>
      <c r="F1371" s="6"/>
      <c r="G1371" s="5"/>
      <c r="H1371" s="5">
        <v>1</v>
      </c>
      <c r="I1371" s="7" t="s">
        <v>852</v>
      </c>
      <c r="J1371" s="5">
        <v>1</v>
      </c>
      <c r="K1371" s="5">
        <v>569</v>
      </c>
      <c r="L1371" s="8"/>
      <c r="M1371" s="5"/>
    </row>
    <row r="1372" spans="1:13">
      <c r="A1372" s="5">
        <v>21</v>
      </c>
      <c r="B1372" s="113"/>
      <c r="C1372" s="5"/>
      <c r="D1372" s="5">
        <v>1</v>
      </c>
      <c r="E1372" s="6">
        <v>11500</v>
      </c>
      <c r="F1372" s="6">
        <v>15</v>
      </c>
      <c r="G1372" s="5"/>
      <c r="H1372" s="5">
        <v>1</v>
      </c>
      <c r="I1372" s="7" t="s">
        <v>783</v>
      </c>
      <c r="J1372" s="5">
        <v>1</v>
      </c>
      <c r="K1372" s="5">
        <v>5639</v>
      </c>
      <c r="L1372" s="8"/>
      <c r="M1372" s="5"/>
    </row>
    <row r="1373" spans="1:13">
      <c r="A1373" s="5" t="s">
        <v>33</v>
      </c>
      <c r="B1373" s="113"/>
      <c r="C1373" s="5"/>
      <c r="D1373" s="5"/>
      <c r="E1373" s="6"/>
      <c r="F1373" s="6"/>
      <c r="G1373" s="5"/>
      <c r="H1373" s="5">
        <v>1</v>
      </c>
      <c r="I1373" s="7" t="s">
        <v>847</v>
      </c>
      <c r="J1373" s="5">
        <v>1</v>
      </c>
      <c r="K1373" s="5">
        <v>5229</v>
      </c>
      <c r="L1373" s="8"/>
      <c r="M1373" s="5"/>
    </row>
    <row r="1374" spans="1:13">
      <c r="A1374" s="5" t="s">
        <v>33</v>
      </c>
      <c r="B1374" s="113"/>
      <c r="C1374" s="5"/>
      <c r="D1374" s="5"/>
      <c r="E1374" s="6"/>
      <c r="F1374" s="6"/>
      <c r="G1374" s="5"/>
      <c r="H1374" s="5">
        <v>1</v>
      </c>
      <c r="I1374" s="7" t="s">
        <v>834</v>
      </c>
      <c r="J1374" s="5">
        <v>1</v>
      </c>
      <c r="K1374" s="5">
        <v>539</v>
      </c>
      <c r="L1374" s="8"/>
      <c r="M1374" s="5"/>
    </row>
    <row r="1375" spans="1:13">
      <c r="A1375" s="5">
        <v>22</v>
      </c>
      <c r="B1375" s="113"/>
      <c r="C1375" s="5"/>
      <c r="D1375" s="5">
        <v>1</v>
      </c>
      <c r="E1375" s="6">
        <v>11500</v>
      </c>
      <c r="F1375" s="6">
        <v>185</v>
      </c>
      <c r="G1375" s="5"/>
      <c r="H1375" s="5">
        <v>1</v>
      </c>
      <c r="I1375" s="7" t="s">
        <v>787</v>
      </c>
      <c r="J1375" s="5">
        <v>1</v>
      </c>
      <c r="K1375" s="5">
        <v>5189</v>
      </c>
      <c r="L1375" s="8"/>
      <c r="M1375" s="5"/>
    </row>
    <row r="1376" spans="1:13">
      <c r="A1376" s="5" t="s">
        <v>33</v>
      </c>
      <c r="B1376" s="113"/>
      <c r="C1376" s="5"/>
      <c r="D1376" s="5"/>
      <c r="E1376" s="6"/>
      <c r="F1376" s="6"/>
      <c r="G1376" s="5"/>
      <c r="H1376" s="5">
        <v>1</v>
      </c>
      <c r="I1376" s="7" t="s">
        <v>824</v>
      </c>
      <c r="J1376" s="5">
        <v>1</v>
      </c>
      <c r="K1376" s="5">
        <v>4359</v>
      </c>
      <c r="L1376" s="8"/>
      <c r="M1376" s="5"/>
    </row>
    <row r="1377" spans="1:13">
      <c r="A1377" s="5" t="s">
        <v>33</v>
      </c>
      <c r="B1377" s="113"/>
      <c r="C1377" s="5"/>
      <c r="D1377" s="5"/>
      <c r="E1377" s="6"/>
      <c r="F1377" s="6"/>
      <c r="G1377" s="5"/>
      <c r="H1377" s="5">
        <v>1</v>
      </c>
      <c r="I1377" s="7" t="s">
        <v>807</v>
      </c>
      <c r="J1377" s="5">
        <v>1</v>
      </c>
      <c r="K1377" s="5">
        <v>1689</v>
      </c>
      <c r="L1377" s="8"/>
      <c r="M1377" s="5"/>
    </row>
    <row r="1378" spans="1:13">
      <c r="A1378" s="5">
        <v>23</v>
      </c>
      <c r="B1378" s="113"/>
      <c r="C1378" s="5"/>
      <c r="D1378" s="5">
        <v>1</v>
      </c>
      <c r="E1378" s="6">
        <v>11500</v>
      </c>
      <c r="F1378" s="6">
        <v>155</v>
      </c>
      <c r="G1378" s="5"/>
      <c r="H1378" s="5">
        <v>1</v>
      </c>
      <c r="I1378" s="7" t="s">
        <v>790</v>
      </c>
      <c r="J1378" s="5">
        <v>1</v>
      </c>
      <c r="K1378" s="5">
        <v>5189</v>
      </c>
      <c r="L1378" s="8"/>
      <c r="M1378" s="5"/>
    </row>
    <row r="1379" spans="1:13">
      <c r="A1379" s="5" t="s">
        <v>33</v>
      </c>
      <c r="B1379" s="113"/>
      <c r="C1379" s="5"/>
      <c r="D1379" s="5"/>
      <c r="E1379" s="6"/>
      <c r="F1379" s="6"/>
      <c r="G1379" s="5"/>
      <c r="H1379" s="5">
        <v>1</v>
      </c>
      <c r="I1379" s="7" t="s">
        <v>792</v>
      </c>
      <c r="J1379" s="5">
        <v>1</v>
      </c>
      <c r="K1379" s="5">
        <v>5189</v>
      </c>
      <c r="L1379" s="8"/>
      <c r="M1379" s="5"/>
    </row>
    <row r="1380" spans="1:13">
      <c r="A1380" s="5" t="s">
        <v>33</v>
      </c>
      <c r="B1380" s="113"/>
      <c r="C1380" s="5"/>
      <c r="D1380" s="5"/>
      <c r="E1380" s="6"/>
      <c r="F1380" s="6"/>
      <c r="G1380" s="5"/>
      <c r="H1380" s="5">
        <v>1</v>
      </c>
      <c r="I1380" s="7" t="s">
        <v>840</v>
      </c>
      <c r="J1380" s="5">
        <v>1</v>
      </c>
      <c r="K1380" s="5">
        <v>889</v>
      </c>
      <c r="L1380" s="8"/>
      <c r="M1380" s="5"/>
    </row>
    <row r="1381" spans="1:13">
      <c r="A1381" s="5">
        <v>24</v>
      </c>
      <c r="B1381" s="113"/>
      <c r="C1381" s="5"/>
      <c r="D1381" s="5">
        <v>1</v>
      </c>
      <c r="E1381" s="6">
        <v>11500</v>
      </c>
      <c r="F1381" s="6">
        <v>91</v>
      </c>
      <c r="G1381" s="5"/>
      <c r="H1381" s="5">
        <v>1</v>
      </c>
      <c r="I1381" s="7" t="s">
        <v>810</v>
      </c>
      <c r="J1381" s="5">
        <v>1</v>
      </c>
      <c r="K1381" s="5">
        <v>2839</v>
      </c>
      <c r="L1381" s="8"/>
      <c r="M1381" s="5"/>
    </row>
    <row r="1382" spans="1:13">
      <c r="A1382" s="5" t="s">
        <v>33</v>
      </c>
      <c r="B1382" s="113"/>
      <c r="C1382" s="5"/>
      <c r="D1382" s="5"/>
      <c r="E1382" s="6"/>
      <c r="F1382" s="6"/>
      <c r="G1382" s="5"/>
      <c r="H1382" s="5">
        <v>1</v>
      </c>
      <c r="I1382" s="7" t="s">
        <v>837</v>
      </c>
      <c r="J1382" s="5">
        <v>1</v>
      </c>
      <c r="K1382" s="5">
        <v>1639</v>
      </c>
      <c r="L1382" s="8"/>
      <c r="M1382" s="5"/>
    </row>
    <row r="1383" spans="1:13">
      <c r="A1383" s="5" t="s">
        <v>33</v>
      </c>
      <c r="B1383" s="113"/>
      <c r="C1383" s="5"/>
      <c r="D1383" s="5"/>
      <c r="E1383" s="6"/>
      <c r="F1383" s="6"/>
      <c r="G1383" s="5"/>
      <c r="H1383" s="5">
        <v>1</v>
      </c>
      <c r="I1383" s="7" t="s">
        <v>827</v>
      </c>
      <c r="J1383" s="5">
        <v>1</v>
      </c>
      <c r="K1383" s="5">
        <v>1539</v>
      </c>
      <c r="L1383" s="8"/>
      <c r="M1383" s="5"/>
    </row>
    <row r="1384" spans="1:13">
      <c r="A1384" s="5" t="s">
        <v>33</v>
      </c>
      <c r="B1384" s="113"/>
      <c r="C1384" s="5"/>
      <c r="D1384" s="5"/>
      <c r="E1384" s="6"/>
      <c r="F1384" s="6"/>
      <c r="G1384" s="5"/>
      <c r="H1384" s="5">
        <v>1</v>
      </c>
      <c r="I1384" s="7" t="s">
        <v>844</v>
      </c>
      <c r="J1384" s="5">
        <v>1</v>
      </c>
      <c r="K1384" s="5">
        <v>1539</v>
      </c>
      <c r="L1384" s="8"/>
      <c r="M1384" s="5"/>
    </row>
    <row r="1385" spans="1:13">
      <c r="A1385" s="5" t="s">
        <v>33</v>
      </c>
      <c r="B1385" s="113"/>
      <c r="C1385" s="5"/>
      <c r="D1385" s="5"/>
      <c r="E1385" s="6"/>
      <c r="F1385" s="6"/>
      <c r="G1385" s="5"/>
      <c r="H1385" s="5">
        <v>1</v>
      </c>
      <c r="I1385" s="7" t="s">
        <v>867</v>
      </c>
      <c r="J1385" s="5">
        <v>1</v>
      </c>
      <c r="K1385" s="5">
        <v>1142</v>
      </c>
      <c r="L1385" s="8"/>
      <c r="M1385" s="5"/>
    </row>
    <row r="1386" spans="1:13">
      <c r="A1386" s="5" t="s">
        <v>33</v>
      </c>
      <c r="B1386" s="113"/>
      <c r="C1386" s="5"/>
      <c r="D1386" s="5"/>
      <c r="E1386" s="6"/>
      <c r="F1386" s="6"/>
      <c r="G1386" s="5"/>
      <c r="H1386" s="5">
        <v>1</v>
      </c>
      <c r="I1386" s="7" t="s">
        <v>794</v>
      </c>
      <c r="J1386" s="5">
        <v>1</v>
      </c>
      <c r="K1386" s="5">
        <v>1139</v>
      </c>
      <c r="L1386" s="8"/>
      <c r="M1386" s="5"/>
    </row>
    <row r="1387" spans="1:13">
      <c r="A1387" s="5" t="s">
        <v>33</v>
      </c>
      <c r="B1387" s="113"/>
      <c r="C1387" s="5"/>
      <c r="D1387" s="5"/>
      <c r="E1387" s="6"/>
      <c r="F1387" s="6"/>
      <c r="G1387" s="5"/>
      <c r="H1387" s="5">
        <v>1</v>
      </c>
      <c r="I1387" s="7" t="s">
        <v>859</v>
      </c>
      <c r="J1387" s="5">
        <v>1</v>
      </c>
      <c r="K1387" s="5">
        <v>739</v>
      </c>
      <c r="L1387" s="8"/>
      <c r="M1387" s="5"/>
    </row>
    <row r="1388" spans="1:13">
      <c r="A1388" s="5" t="s">
        <v>33</v>
      </c>
      <c r="B1388" s="113"/>
      <c r="C1388" s="5"/>
      <c r="D1388" s="5"/>
      <c r="E1388" s="6"/>
      <c r="F1388" s="6"/>
      <c r="G1388" s="5"/>
      <c r="H1388" s="5">
        <v>1</v>
      </c>
      <c r="I1388" s="7" t="s">
        <v>821</v>
      </c>
      <c r="J1388" s="5">
        <v>1</v>
      </c>
      <c r="K1388" s="5">
        <v>625</v>
      </c>
      <c r="L1388" s="8"/>
      <c r="M1388" s="5"/>
    </row>
    <row r="1389" spans="1:13">
      <c r="A1389" s="5">
        <v>25</v>
      </c>
      <c r="B1389" s="113"/>
      <c r="C1389" s="5"/>
      <c r="D1389" s="5">
        <v>1</v>
      </c>
      <c r="E1389" s="6">
        <v>11500</v>
      </c>
      <c r="F1389" s="6">
        <v>87</v>
      </c>
      <c r="G1389" s="5"/>
      <c r="H1389" s="5">
        <v>1</v>
      </c>
      <c r="I1389" s="7" t="s">
        <v>856</v>
      </c>
      <c r="J1389" s="5">
        <v>1</v>
      </c>
      <c r="K1389" s="5">
        <v>2547</v>
      </c>
      <c r="L1389" s="8"/>
      <c r="M1389" s="5"/>
    </row>
    <row r="1390" spans="1:13">
      <c r="A1390" s="5" t="s">
        <v>33</v>
      </c>
      <c r="B1390" s="113"/>
      <c r="C1390" s="5"/>
      <c r="D1390" s="5"/>
      <c r="E1390" s="6"/>
      <c r="F1390" s="6"/>
      <c r="G1390" s="5"/>
      <c r="H1390" s="5">
        <v>1</v>
      </c>
      <c r="I1390" s="7" t="s">
        <v>835</v>
      </c>
      <c r="J1390" s="5">
        <v>1</v>
      </c>
      <c r="K1390" s="5">
        <v>2436</v>
      </c>
      <c r="L1390" s="8"/>
      <c r="M1390" s="5"/>
    </row>
    <row r="1391" spans="1:13">
      <c r="A1391" s="5" t="s">
        <v>33</v>
      </c>
      <c r="B1391" s="113"/>
      <c r="C1391" s="5"/>
      <c r="D1391" s="5"/>
      <c r="E1391" s="6"/>
      <c r="F1391" s="6"/>
      <c r="G1391" s="5"/>
      <c r="H1391" s="5">
        <v>1</v>
      </c>
      <c r="I1391" s="7" t="s">
        <v>805</v>
      </c>
      <c r="J1391" s="5">
        <v>1</v>
      </c>
      <c r="K1391" s="5">
        <v>2425</v>
      </c>
      <c r="L1391" s="8"/>
      <c r="M1391" s="5"/>
    </row>
    <row r="1392" spans="1:13">
      <c r="A1392" s="5" t="s">
        <v>33</v>
      </c>
      <c r="B1392" s="113"/>
      <c r="C1392" s="5"/>
      <c r="D1392" s="5"/>
      <c r="E1392" s="6"/>
      <c r="F1392" s="6"/>
      <c r="G1392" s="5"/>
      <c r="H1392" s="5">
        <v>1</v>
      </c>
      <c r="I1392" s="7" t="s">
        <v>846</v>
      </c>
      <c r="J1392" s="5">
        <v>1</v>
      </c>
      <c r="K1392" s="5">
        <v>2336</v>
      </c>
      <c r="L1392" s="8"/>
      <c r="M1392" s="5"/>
    </row>
    <row r="1393" spans="1:13">
      <c r="A1393" s="5" t="s">
        <v>33</v>
      </c>
      <c r="B1393" s="113"/>
      <c r="C1393" s="5"/>
      <c r="D1393" s="5"/>
      <c r="E1393" s="6"/>
      <c r="F1393" s="6"/>
      <c r="G1393" s="5"/>
      <c r="H1393" s="5">
        <v>1</v>
      </c>
      <c r="I1393" s="7" t="s">
        <v>817</v>
      </c>
      <c r="J1393" s="5">
        <v>1</v>
      </c>
      <c r="K1393" s="5">
        <v>1539</v>
      </c>
      <c r="L1393" s="8"/>
      <c r="M1393" s="5"/>
    </row>
    <row r="1394" spans="1:13">
      <c r="A1394" s="5">
        <v>26</v>
      </c>
      <c r="B1394" s="113"/>
      <c r="C1394" s="5"/>
      <c r="D1394" s="5">
        <v>1</v>
      </c>
      <c r="E1394" s="6">
        <v>11500</v>
      </c>
      <c r="F1394" s="6"/>
      <c r="G1394" s="5"/>
      <c r="H1394" s="5">
        <v>1</v>
      </c>
      <c r="I1394" s="7" t="s">
        <v>833</v>
      </c>
      <c r="J1394" s="5">
        <v>1</v>
      </c>
      <c r="K1394" s="5">
        <v>11500</v>
      </c>
      <c r="L1394" s="8"/>
      <c r="M1394" s="5"/>
    </row>
    <row r="1395" spans="1:13">
      <c r="A1395" s="5">
        <v>27</v>
      </c>
      <c r="B1395" s="113"/>
      <c r="C1395" s="5"/>
      <c r="D1395" s="5">
        <v>1</v>
      </c>
      <c r="E1395" s="6">
        <v>11500</v>
      </c>
      <c r="F1395" s="6"/>
      <c r="G1395" s="5"/>
      <c r="H1395" s="5">
        <v>1</v>
      </c>
      <c r="I1395" s="7" t="s">
        <v>825</v>
      </c>
      <c r="J1395" s="5">
        <v>1</v>
      </c>
      <c r="K1395" s="5">
        <v>11500</v>
      </c>
      <c r="L1395" s="8"/>
      <c r="M1395" s="5"/>
    </row>
    <row r="1396" spans="1:13">
      <c r="A1396" s="5">
        <v>28</v>
      </c>
      <c r="B1396" s="113"/>
      <c r="C1396" s="5"/>
      <c r="D1396" s="5">
        <v>1</v>
      </c>
      <c r="E1396" s="6">
        <v>11500</v>
      </c>
      <c r="F1396" s="6"/>
      <c r="G1396" s="5"/>
      <c r="H1396" s="5">
        <v>1</v>
      </c>
      <c r="I1396" s="7" t="s">
        <v>831</v>
      </c>
      <c r="J1396" s="5">
        <v>1</v>
      </c>
      <c r="K1396" s="5">
        <v>11500</v>
      </c>
      <c r="L1396" s="8"/>
      <c r="M1396" s="5"/>
    </row>
    <row r="1397" spans="1:13">
      <c r="A1397" s="5">
        <v>29</v>
      </c>
      <c r="B1397" s="113"/>
      <c r="C1397" s="5"/>
      <c r="D1397" s="5">
        <v>1</v>
      </c>
      <c r="E1397" s="6">
        <v>11500</v>
      </c>
      <c r="F1397" s="6"/>
      <c r="G1397" s="5"/>
      <c r="H1397" s="5">
        <v>1</v>
      </c>
      <c r="I1397" s="7" t="s">
        <v>866</v>
      </c>
      <c r="J1397" s="5">
        <v>1</v>
      </c>
      <c r="K1397" s="5">
        <v>11500</v>
      </c>
      <c r="L1397" s="8"/>
      <c r="M1397" s="5"/>
    </row>
    <row r="1398" spans="1:13">
      <c r="A1398" s="5">
        <v>30</v>
      </c>
      <c r="B1398" s="113"/>
      <c r="C1398" s="5"/>
      <c r="D1398" s="5">
        <v>1</v>
      </c>
      <c r="E1398" s="6">
        <v>11500</v>
      </c>
      <c r="F1398" s="6"/>
      <c r="G1398" s="5"/>
      <c r="H1398" s="5">
        <v>1</v>
      </c>
      <c r="I1398" s="7" t="s">
        <v>813</v>
      </c>
      <c r="J1398" s="5">
        <v>1</v>
      </c>
      <c r="K1398" s="5">
        <v>11500</v>
      </c>
      <c r="L1398" s="8"/>
      <c r="M1398" s="5"/>
    </row>
    <row r="1399" spans="1:13">
      <c r="A1399" s="5">
        <v>31</v>
      </c>
      <c r="B1399" s="113"/>
      <c r="C1399" s="5"/>
      <c r="D1399" s="5">
        <v>1</v>
      </c>
      <c r="E1399" s="6">
        <v>11500</v>
      </c>
      <c r="F1399" s="6"/>
      <c r="G1399" s="5"/>
      <c r="H1399" s="5">
        <v>1</v>
      </c>
      <c r="I1399" s="7" t="s">
        <v>806</v>
      </c>
      <c r="J1399" s="5">
        <v>1</v>
      </c>
      <c r="K1399" s="5">
        <v>11500</v>
      </c>
      <c r="L1399" s="8"/>
      <c r="M1399" s="5"/>
    </row>
    <row r="1400" spans="1:13">
      <c r="A1400" s="5">
        <v>32</v>
      </c>
      <c r="B1400" s="113"/>
      <c r="C1400" s="5"/>
      <c r="D1400" s="5">
        <v>1</v>
      </c>
      <c r="E1400" s="6">
        <v>11500</v>
      </c>
      <c r="F1400" s="6"/>
      <c r="G1400" s="5"/>
      <c r="H1400" s="5">
        <v>1</v>
      </c>
      <c r="I1400" s="7" t="s">
        <v>793</v>
      </c>
      <c r="J1400" s="5">
        <v>1</v>
      </c>
      <c r="K1400" s="5">
        <v>11500</v>
      </c>
      <c r="L1400" s="8"/>
      <c r="M1400" s="5"/>
    </row>
    <row r="1401" spans="1:13">
      <c r="A1401" s="5">
        <v>33</v>
      </c>
      <c r="B1401" s="113"/>
      <c r="C1401" s="5"/>
      <c r="D1401" s="5">
        <v>1</v>
      </c>
      <c r="E1401" s="6">
        <v>11500</v>
      </c>
      <c r="F1401" s="6"/>
      <c r="G1401" s="5"/>
      <c r="H1401" s="5">
        <v>1</v>
      </c>
      <c r="I1401" s="7" t="s">
        <v>786</v>
      </c>
      <c r="J1401" s="5">
        <v>1</v>
      </c>
      <c r="K1401" s="5">
        <v>11500</v>
      </c>
      <c r="L1401" s="8"/>
      <c r="M1401" s="5"/>
    </row>
    <row r="1402" spans="1:13">
      <c r="A1402" s="5">
        <v>34</v>
      </c>
      <c r="B1402" s="113"/>
      <c r="C1402" s="5"/>
      <c r="D1402" s="5">
        <v>1</v>
      </c>
      <c r="E1402" s="6">
        <v>11500</v>
      </c>
      <c r="F1402" s="6"/>
      <c r="G1402" s="5"/>
      <c r="H1402" s="5">
        <v>1</v>
      </c>
      <c r="I1402" s="7" t="s">
        <v>811</v>
      </c>
      <c r="J1402" s="5">
        <v>1</v>
      </c>
      <c r="K1402" s="5">
        <v>11500</v>
      </c>
      <c r="L1402" s="8"/>
      <c r="M1402" s="5"/>
    </row>
    <row r="1403" spans="1:13">
      <c r="A1403" s="5">
        <v>35</v>
      </c>
      <c r="B1403" s="113"/>
      <c r="C1403" s="5"/>
      <c r="D1403" s="5">
        <v>1</v>
      </c>
      <c r="E1403" s="6">
        <v>11500</v>
      </c>
      <c r="F1403" s="6"/>
      <c r="G1403" s="5"/>
      <c r="H1403" s="5">
        <v>1</v>
      </c>
      <c r="I1403" s="7" t="s">
        <v>864</v>
      </c>
      <c r="J1403" s="5">
        <v>1</v>
      </c>
      <c r="K1403" s="5">
        <v>11500</v>
      </c>
      <c r="L1403" s="8"/>
      <c r="M1403" s="5"/>
    </row>
    <row r="1404" spans="1:13">
      <c r="A1404" s="5">
        <v>36</v>
      </c>
      <c r="B1404" s="113"/>
      <c r="C1404" s="5"/>
      <c r="D1404" s="5">
        <v>1</v>
      </c>
      <c r="E1404" s="6">
        <v>11500</v>
      </c>
      <c r="F1404" s="6"/>
      <c r="G1404" s="5"/>
      <c r="H1404" s="5">
        <v>1</v>
      </c>
      <c r="I1404" s="7" t="s">
        <v>862</v>
      </c>
      <c r="J1404" s="5">
        <v>1</v>
      </c>
      <c r="K1404" s="5">
        <v>11500</v>
      </c>
      <c r="L1404" s="8"/>
      <c r="M1404" s="5"/>
    </row>
    <row r="1405" spans="1:13">
      <c r="A1405" s="5">
        <v>37</v>
      </c>
      <c r="B1405" s="113"/>
      <c r="C1405" s="5"/>
      <c r="D1405" s="5">
        <v>1</v>
      </c>
      <c r="E1405" s="6">
        <v>11500</v>
      </c>
      <c r="F1405" s="6"/>
      <c r="G1405" s="5"/>
      <c r="H1405" s="5">
        <v>1</v>
      </c>
      <c r="I1405" s="7" t="s">
        <v>860</v>
      </c>
      <c r="J1405" s="5">
        <v>1</v>
      </c>
      <c r="K1405" s="5">
        <v>11500</v>
      </c>
      <c r="L1405" s="8"/>
      <c r="M1405" s="5"/>
    </row>
    <row r="1406" spans="1:13">
      <c r="A1406" s="5">
        <v>38</v>
      </c>
      <c r="B1406" s="113"/>
      <c r="C1406" s="5"/>
      <c r="D1406" s="5">
        <v>1</v>
      </c>
      <c r="E1406" s="6">
        <v>11500</v>
      </c>
      <c r="F1406" s="6"/>
      <c r="G1406" s="5"/>
      <c r="H1406" s="5">
        <v>1</v>
      </c>
      <c r="I1406" s="7" t="s">
        <v>854</v>
      </c>
      <c r="J1406" s="5">
        <v>1</v>
      </c>
      <c r="K1406" s="5">
        <v>11500</v>
      </c>
      <c r="L1406" s="8"/>
      <c r="M1406" s="5"/>
    </row>
    <row r="1407" spans="1:13">
      <c r="A1407" s="5">
        <v>39</v>
      </c>
      <c r="B1407" s="113"/>
      <c r="C1407" s="5"/>
      <c r="D1407" s="5">
        <v>1</v>
      </c>
      <c r="E1407" s="6">
        <v>11500</v>
      </c>
      <c r="F1407" s="6"/>
      <c r="G1407" s="5"/>
      <c r="H1407" s="5">
        <v>1</v>
      </c>
      <c r="I1407" s="7" t="s">
        <v>848</v>
      </c>
      <c r="J1407" s="5">
        <v>1</v>
      </c>
      <c r="K1407" s="5">
        <v>11500</v>
      </c>
      <c r="L1407" s="8"/>
      <c r="M1407" s="5"/>
    </row>
    <row r="1408" spans="1:13">
      <c r="A1408" s="5">
        <v>40</v>
      </c>
      <c r="B1408" s="113"/>
      <c r="C1408" s="5"/>
      <c r="D1408" s="5">
        <v>1</v>
      </c>
      <c r="E1408" s="6">
        <v>11500</v>
      </c>
      <c r="F1408" s="6"/>
      <c r="G1408" s="5"/>
      <c r="H1408" s="5">
        <v>1</v>
      </c>
      <c r="I1408" s="7" t="s">
        <v>802</v>
      </c>
      <c r="J1408" s="5">
        <v>1</v>
      </c>
      <c r="K1408" s="5">
        <v>11500</v>
      </c>
      <c r="L1408" s="8"/>
      <c r="M1408" s="5"/>
    </row>
    <row r="1409" spans="1:13">
      <c r="A1409" s="5">
        <v>41</v>
      </c>
      <c r="B1409" s="113"/>
      <c r="C1409" s="5"/>
      <c r="D1409" s="5">
        <v>1</v>
      </c>
      <c r="E1409" s="6">
        <v>11500</v>
      </c>
      <c r="F1409" s="6"/>
      <c r="G1409" s="5"/>
      <c r="H1409" s="5">
        <v>1</v>
      </c>
      <c r="I1409" s="7" t="s">
        <v>789</v>
      </c>
      <c r="J1409" s="5">
        <v>1</v>
      </c>
      <c r="K1409" s="5">
        <v>11500</v>
      </c>
      <c r="L1409" s="8"/>
      <c r="M1409" s="5"/>
    </row>
    <row r="1410" spans="1:13">
      <c r="A1410" s="5">
        <v>42</v>
      </c>
      <c r="B1410" s="113"/>
      <c r="C1410" s="5"/>
      <c r="D1410" s="5">
        <v>1</v>
      </c>
      <c r="E1410" s="6">
        <v>11500</v>
      </c>
      <c r="F1410" s="6"/>
      <c r="G1410" s="5"/>
      <c r="H1410" s="5">
        <v>1</v>
      </c>
      <c r="I1410" s="7" t="s">
        <v>812</v>
      </c>
      <c r="J1410" s="5">
        <v>1</v>
      </c>
      <c r="K1410" s="5">
        <v>11500</v>
      </c>
      <c r="L1410" s="8"/>
      <c r="M1410" s="5"/>
    </row>
    <row r="1411" spans="1:13">
      <c r="A1411" s="5">
        <v>43</v>
      </c>
      <c r="B1411" s="113"/>
      <c r="C1411" s="5"/>
      <c r="D1411" s="5">
        <v>1</v>
      </c>
      <c r="E1411" s="6">
        <v>11500</v>
      </c>
      <c r="F1411" s="6"/>
      <c r="G1411" s="5"/>
      <c r="H1411" s="5">
        <v>1</v>
      </c>
      <c r="I1411" s="7" t="s">
        <v>796</v>
      </c>
      <c r="J1411" s="5">
        <v>1</v>
      </c>
      <c r="K1411" s="5">
        <v>11500</v>
      </c>
      <c r="L1411" s="8"/>
      <c r="M1411" s="5"/>
    </row>
    <row r="1412" spans="1:13">
      <c r="A1412" s="5">
        <v>44</v>
      </c>
      <c r="B1412" s="113"/>
      <c r="C1412" s="5"/>
      <c r="D1412" s="5">
        <v>1</v>
      </c>
      <c r="E1412" s="6">
        <v>11500</v>
      </c>
      <c r="F1412" s="6"/>
      <c r="G1412" s="5"/>
      <c r="H1412" s="5">
        <v>1</v>
      </c>
      <c r="I1412" s="7" t="s">
        <v>804</v>
      </c>
      <c r="J1412" s="5">
        <v>1</v>
      </c>
      <c r="K1412" s="5">
        <v>10339</v>
      </c>
      <c r="L1412" s="8"/>
      <c r="M1412" s="5"/>
    </row>
    <row r="1413" spans="1:13">
      <c r="A1413" s="5" t="s">
        <v>33</v>
      </c>
      <c r="B1413" s="113"/>
      <c r="C1413" s="5"/>
      <c r="D1413" s="5"/>
      <c r="E1413" s="6"/>
      <c r="F1413" s="6"/>
      <c r="G1413" s="5"/>
      <c r="H1413" s="5">
        <v>1</v>
      </c>
      <c r="I1413" s="7" t="s">
        <v>822</v>
      </c>
      <c r="J1413" s="5">
        <v>1</v>
      </c>
      <c r="K1413" s="5">
        <v>917</v>
      </c>
      <c r="L1413" s="8"/>
      <c r="M1413" s="5"/>
    </row>
    <row r="1414" spans="1:13">
      <c r="A1414" s="5" t="s">
        <v>33</v>
      </c>
      <c r="B1414" s="112"/>
      <c r="C1414" s="5"/>
      <c r="D1414" s="5"/>
      <c r="E1414" s="6"/>
      <c r="F1414" s="6"/>
      <c r="G1414" s="5"/>
      <c r="H1414" s="5">
        <v>1</v>
      </c>
      <c r="I1414" s="7" t="s">
        <v>808</v>
      </c>
      <c r="J1414" s="5">
        <v>1</v>
      </c>
      <c r="K1414" s="5">
        <v>96</v>
      </c>
      <c r="L1414" s="8"/>
      <c r="M1414" s="5"/>
    </row>
    <row r="1415" spans="1:13">
      <c r="A1415" s="5"/>
      <c r="B1415" s="5"/>
      <c r="C1415" s="5"/>
      <c r="D1415" s="5"/>
      <c r="E1415" s="6"/>
      <c r="F1415" s="6"/>
      <c r="G1415" s="5"/>
      <c r="H1415" s="5"/>
      <c r="I1415" s="7"/>
      <c r="J1415" s="5"/>
      <c r="K1415" s="5"/>
      <c r="L1415" s="8"/>
      <c r="M1415" s="5"/>
    </row>
    <row r="1416" spans="1:13">
      <c r="A1416" s="117" t="s">
        <v>4</v>
      </c>
      <c r="B1416" s="117"/>
      <c r="C1416" s="117"/>
      <c r="D1416" s="117"/>
      <c r="E1416" s="117"/>
      <c r="F1416" s="117"/>
      <c r="G1416" s="117"/>
      <c r="H1416" s="117"/>
      <c r="I1416" s="118" t="s">
        <v>8</v>
      </c>
      <c r="J1416" s="118"/>
      <c r="K1416" s="89" t="s">
        <v>70</v>
      </c>
      <c r="L1416" s="119"/>
      <c r="M1416" s="120"/>
    </row>
    <row r="1417" spans="1:13">
      <c r="A1417" s="117"/>
      <c r="B1417" s="117"/>
      <c r="C1417" s="117"/>
      <c r="D1417" s="117"/>
      <c r="E1417" s="117"/>
      <c r="F1417" s="117"/>
      <c r="G1417" s="117"/>
      <c r="H1417" s="117"/>
      <c r="I1417" s="118" t="s">
        <v>25</v>
      </c>
      <c r="J1417" s="118"/>
      <c r="K1417" s="121" t="s">
        <v>770</v>
      </c>
      <c r="L1417" s="118"/>
      <c r="M1417" s="118"/>
    </row>
    <row r="1418" spans="1:13">
      <c r="A1418" s="117"/>
      <c r="B1418" s="117"/>
      <c r="C1418" s="117"/>
      <c r="D1418" s="117"/>
      <c r="E1418" s="117"/>
      <c r="F1418" s="117"/>
      <c r="G1418" s="117"/>
      <c r="H1418" s="117"/>
      <c r="I1418" s="87" t="s">
        <v>26</v>
      </c>
      <c r="J1418" s="88"/>
      <c r="K1418" s="95" t="s">
        <v>355</v>
      </c>
      <c r="L1418" s="104"/>
      <c r="M1418" s="88"/>
    </row>
    <row r="1419" spans="1:13">
      <c r="A1419" s="118" t="s">
        <v>31</v>
      </c>
      <c r="B1419" s="118"/>
      <c r="C1419" s="118" t="s">
        <v>32</v>
      </c>
      <c r="D1419" s="118"/>
      <c r="E1419" s="118"/>
      <c r="F1419" s="118"/>
      <c r="G1419" s="118"/>
      <c r="H1419" s="118"/>
      <c r="I1419" s="40" t="s">
        <v>29</v>
      </c>
      <c r="J1419" s="41"/>
      <c r="K1419" s="118" t="s">
        <v>774</v>
      </c>
      <c r="L1419" s="118"/>
      <c r="M1419" s="118"/>
    </row>
    <row r="1420" spans="1:13">
      <c r="A1420" s="118"/>
      <c r="B1420" s="118"/>
      <c r="C1420" s="118"/>
      <c r="D1420" s="118"/>
      <c r="E1420" s="118"/>
      <c r="F1420" s="118"/>
      <c r="G1420" s="118"/>
      <c r="H1420" s="118"/>
      <c r="I1420" s="118" t="s">
        <v>30</v>
      </c>
      <c r="J1420" s="118"/>
      <c r="K1420" s="118" t="s">
        <v>779</v>
      </c>
      <c r="L1420" s="118"/>
      <c r="M1420" s="118"/>
    </row>
    <row r="1421" spans="1:13">
      <c r="A1421" s="122" t="s">
        <v>24</v>
      </c>
      <c r="B1421" s="122"/>
      <c r="C1421" s="122"/>
      <c r="D1421" s="42">
        <v>1</v>
      </c>
      <c r="E1421" s="117" t="s">
        <v>40</v>
      </c>
      <c r="F1421" s="117"/>
      <c r="G1421" s="117"/>
      <c r="H1421" s="42">
        <v>1</v>
      </c>
      <c r="I1421" s="118" t="s">
        <v>27</v>
      </c>
      <c r="J1421" s="118"/>
      <c r="K1421" s="118" t="s">
        <v>21</v>
      </c>
      <c r="L1421" s="118"/>
      <c r="M1421" s="118"/>
    </row>
    <row r="1422" spans="1:13" ht="45">
      <c r="A1422" s="3" t="s">
        <v>9</v>
      </c>
      <c r="B1422" s="3" t="s">
        <v>10</v>
      </c>
      <c r="C1422" s="3" t="s">
        <v>11</v>
      </c>
      <c r="D1422" s="3" t="s">
        <v>3</v>
      </c>
      <c r="E1422" s="4" t="s">
        <v>41</v>
      </c>
      <c r="F1422" s="4" t="s">
        <v>12</v>
      </c>
      <c r="G1422" s="3" t="s">
        <v>13</v>
      </c>
      <c r="H1422" s="3" t="s">
        <v>14</v>
      </c>
      <c r="I1422" s="3" t="s">
        <v>15</v>
      </c>
      <c r="J1422" s="3" t="s">
        <v>16</v>
      </c>
      <c r="K1422" s="3" t="s">
        <v>17</v>
      </c>
      <c r="L1422" s="3" t="s">
        <v>18</v>
      </c>
      <c r="M1422" s="3" t="s">
        <v>19</v>
      </c>
    </row>
    <row r="1423" spans="1:13">
      <c r="A1423" s="18">
        <v>1</v>
      </c>
      <c r="B1423" s="111" t="s">
        <v>877</v>
      </c>
      <c r="C1423" s="18"/>
      <c r="D1423" s="18">
        <v>1</v>
      </c>
      <c r="E1423" s="20">
        <v>11500</v>
      </c>
      <c r="F1423" s="20"/>
      <c r="G1423" s="18"/>
      <c r="H1423" s="18">
        <v>1</v>
      </c>
      <c r="I1423" s="21" t="s">
        <v>778</v>
      </c>
      <c r="J1423" s="18">
        <v>1</v>
      </c>
      <c r="K1423" s="18">
        <v>11500</v>
      </c>
      <c r="L1423" s="22"/>
      <c r="M1423" s="18"/>
    </row>
    <row r="1424" spans="1:13">
      <c r="A1424" s="18"/>
      <c r="B1424" s="112"/>
      <c r="C1424" s="18"/>
      <c r="D1424" s="18"/>
      <c r="E1424" s="20"/>
      <c r="F1424" s="20"/>
      <c r="G1424" s="18"/>
      <c r="H1424" s="18"/>
      <c r="I1424" s="21"/>
      <c r="J1424" s="18"/>
      <c r="K1424" s="18"/>
      <c r="L1424" s="22"/>
      <c r="M1424" s="18"/>
    </row>
    <row r="1425" spans="1:13">
      <c r="A1425" s="117" t="s">
        <v>4</v>
      </c>
      <c r="B1425" s="117"/>
      <c r="C1425" s="117"/>
      <c r="D1425" s="117"/>
      <c r="E1425" s="117"/>
      <c r="F1425" s="117"/>
      <c r="G1425" s="117"/>
      <c r="H1425" s="117"/>
      <c r="I1425" s="118" t="s">
        <v>8</v>
      </c>
      <c r="J1425" s="118"/>
      <c r="K1425" s="89" t="s">
        <v>70</v>
      </c>
      <c r="L1425" s="119"/>
      <c r="M1425" s="120"/>
    </row>
    <row r="1426" spans="1:13">
      <c r="A1426" s="117"/>
      <c r="B1426" s="117"/>
      <c r="C1426" s="117"/>
      <c r="D1426" s="117"/>
      <c r="E1426" s="117"/>
      <c r="F1426" s="117"/>
      <c r="G1426" s="117"/>
      <c r="H1426" s="117"/>
      <c r="I1426" s="118" t="s">
        <v>25</v>
      </c>
      <c r="J1426" s="118"/>
      <c r="K1426" s="121" t="s">
        <v>770</v>
      </c>
      <c r="L1426" s="118"/>
      <c r="M1426" s="118"/>
    </row>
    <row r="1427" spans="1:13">
      <c r="A1427" s="117"/>
      <c r="B1427" s="117"/>
      <c r="C1427" s="117"/>
      <c r="D1427" s="117"/>
      <c r="E1427" s="117"/>
      <c r="F1427" s="117"/>
      <c r="G1427" s="117"/>
      <c r="H1427" s="117"/>
      <c r="I1427" s="87" t="s">
        <v>26</v>
      </c>
      <c r="J1427" s="88"/>
      <c r="K1427" s="95" t="s">
        <v>338</v>
      </c>
      <c r="L1427" s="104"/>
      <c r="M1427" s="88"/>
    </row>
    <row r="1428" spans="1:13">
      <c r="A1428" s="118" t="s">
        <v>31</v>
      </c>
      <c r="B1428" s="118"/>
      <c r="C1428" s="118" t="s">
        <v>32</v>
      </c>
      <c r="D1428" s="118"/>
      <c r="E1428" s="118"/>
      <c r="F1428" s="118"/>
      <c r="G1428" s="118"/>
      <c r="H1428" s="118"/>
      <c r="I1428" s="40" t="s">
        <v>29</v>
      </c>
      <c r="J1428" s="41"/>
      <c r="K1428" s="118" t="s">
        <v>774</v>
      </c>
      <c r="L1428" s="118"/>
      <c r="M1428" s="118"/>
    </row>
    <row r="1429" spans="1:13">
      <c r="A1429" s="118"/>
      <c r="B1429" s="118"/>
      <c r="C1429" s="118"/>
      <c r="D1429" s="118"/>
      <c r="E1429" s="118"/>
      <c r="F1429" s="118"/>
      <c r="G1429" s="118"/>
      <c r="H1429" s="118"/>
      <c r="I1429" s="118" t="s">
        <v>30</v>
      </c>
      <c r="J1429" s="118"/>
      <c r="K1429" s="118" t="s">
        <v>775</v>
      </c>
      <c r="L1429" s="118"/>
      <c r="M1429" s="118"/>
    </row>
    <row r="1430" spans="1:13">
      <c r="A1430" s="122" t="s">
        <v>24</v>
      </c>
      <c r="B1430" s="122"/>
      <c r="C1430" s="122"/>
      <c r="D1430" s="42">
        <v>2</v>
      </c>
      <c r="E1430" s="117" t="s">
        <v>40</v>
      </c>
      <c r="F1430" s="117"/>
      <c r="G1430" s="117"/>
      <c r="H1430" s="42">
        <v>2</v>
      </c>
      <c r="I1430" s="118" t="s">
        <v>27</v>
      </c>
      <c r="J1430" s="118"/>
      <c r="K1430" s="118" t="s">
        <v>21</v>
      </c>
      <c r="L1430" s="118"/>
      <c r="M1430" s="118"/>
    </row>
    <row r="1431" spans="1:13" ht="45">
      <c r="A1431" s="3" t="s">
        <v>9</v>
      </c>
      <c r="B1431" s="3" t="s">
        <v>10</v>
      </c>
      <c r="C1431" s="3" t="s">
        <v>11</v>
      </c>
      <c r="D1431" s="3" t="s">
        <v>3</v>
      </c>
      <c r="E1431" s="4" t="s">
        <v>41</v>
      </c>
      <c r="F1431" s="4" t="s">
        <v>12</v>
      </c>
      <c r="G1431" s="3" t="s">
        <v>13</v>
      </c>
      <c r="H1431" s="3" t="s">
        <v>14</v>
      </c>
      <c r="I1431" s="3" t="s">
        <v>15</v>
      </c>
      <c r="J1431" s="3" t="s">
        <v>16</v>
      </c>
      <c r="K1431" s="3" t="s">
        <v>17</v>
      </c>
      <c r="L1431" s="3" t="s">
        <v>18</v>
      </c>
      <c r="M1431" s="3" t="s">
        <v>19</v>
      </c>
    </row>
    <row r="1432" spans="1:13">
      <c r="A1432" s="18">
        <v>1</v>
      </c>
      <c r="B1432" s="111" t="s">
        <v>777</v>
      </c>
      <c r="C1432" s="18"/>
      <c r="D1432" s="18">
        <v>1</v>
      </c>
      <c r="E1432" s="20">
        <v>265</v>
      </c>
      <c r="F1432" s="20">
        <v>10</v>
      </c>
      <c r="G1432" s="18"/>
      <c r="H1432" s="18">
        <v>1</v>
      </c>
      <c r="I1432" s="21" t="s">
        <v>773</v>
      </c>
      <c r="J1432" s="18">
        <v>1</v>
      </c>
      <c r="K1432" s="18">
        <v>229</v>
      </c>
      <c r="L1432" s="22"/>
      <c r="M1432" s="18"/>
    </row>
    <row r="1433" spans="1:13">
      <c r="A1433" s="18">
        <v>2</v>
      </c>
      <c r="B1433" s="113"/>
      <c r="C1433" s="18"/>
      <c r="D1433" s="18">
        <v>1</v>
      </c>
      <c r="E1433" s="20">
        <v>11500</v>
      </c>
      <c r="F1433" s="20"/>
      <c r="G1433" s="18"/>
      <c r="H1433" s="18">
        <v>1</v>
      </c>
      <c r="I1433" s="21" t="s">
        <v>772</v>
      </c>
      <c r="J1433" s="18">
        <v>1</v>
      </c>
      <c r="K1433" s="18">
        <v>11500</v>
      </c>
      <c r="L1433" s="22"/>
      <c r="M1433" s="18"/>
    </row>
    <row r="1434" spans="1:13">
      <c r="A1434" s="18"/>
      <c r="B1434" s="112"/>
      <c r="C1434" s="18"/>
      <c r="D1434" s="18"/>
      <c r="E1434" s="20"/>
      <c r="F1434" s="20"/>
      <c r="G1434" s="18"/>
      <c r="H1434" s="18"/>
      <c r="I1434" s="21"/>
      <c r="J1434" s="18"/>
      <c r="K1434" s="18"/>
      <c r="L1434" s="22"/>
      <c r="M1434" s="18"/>
    </row>
    <row r="1435" spans="1:13">
      <c r="A1435" s="117" t="s">
        <v>4</v>
      </c>
      <c r="B1435" s="117"/>
      <c r="C1435" s="117"/>
      <c r="D1435" s="117"/>
      <c r="E1435" s="117"/>
      <c r="F1435" s="117"/>
      <c r="G1435" s="117"/>
      <c r="H1435" s="117"/>
      <c r="I1435" s="118" t="s">
        <v>8</v>
      </c>
      <c r="J1435" s="118"/>
      <c r="K1435" s="89" t="s">
        <v>70</v>
      </c>
      <c r="L1435" s="119"/>
      <c r="M1435" s="120"/>
    </row>
    <row r="1436" spans="1:13">
      <c r="A1436" s="117"/>
      <c r="B1436" s="117"/>
      <c r="C1436" s="117"/>
      <c r="D1436" s="117"/>
      <c r="E1436" s="117"/>
      <c r="F1436" s="117"/>
      <c r="G1436" s="117"/>
      <c r="H1436" s="117"/>
      <c r="I1436" s="118" t="s">
        <v>25</v>
      </c>
      <c r="J1436" s="118"/>
      <c r="K1436" s="121" t="s">
        <v>770</v>
      </c>
      <c r="L1436" s="118"/>
      <c r="M1436" s="118"/>
    </row>
    <row r="1437" spans="1:13">
      <c r="A1437" s="117"/>
      <c r="B1437" s="117"/>
      <c r="C1437" s="117"/>
      <c r="D1437" s="117"/>
      <c r="E1437" s="117"/>
      <c r="F1437" s="117"/>
      <c r="G1437" s="117"/>
      <c r="H1437" s="117"/>
      <c r="I1437" s="87" t="s">
        <v>26</v>
      </c>
      <c r="J1437" s="88"/>
      <c r="K1437" s="95" t="s">
        <v>290</v>
      </c>
      <c r="L1437" s="104"/>
      <c r="M1437" s="88"/>
    </row>
    <row r="1438" spans="1:13">
      <c r="A1438" s="118" t="s">
        <v>31</v>
      </c>
      <c r="B1438" s="118"/>
      <c r="C1438" s="118" t="s">
        <v>32</v>
      </c>
      <c r="D1438" s="118"/>
      <c r="E1438" s="118"/>
      <c r="F1438" s="118"/>
      <c r="G1438" s="118"/>
      <c r="H1438" s="118"/>
      <c r="I1438" s="40" t="s">
        <v>29</v>
      </c>
      <c r="J1438" s="41"/>
      <c r="K1438" s="118" t="s">
        <v>774</v>
      </c>
      <c r="L1438" s="118"/>
      <c r="M1438" s="118"/>
    </row>
    <row r="1439" spans="1:13">
      <c r="A1439" s="118"/>
      <c r="B1439" s="118"/>
      <c r="C1439" s="118"/>
      <c r="D1439" s="118"/>
      <c r="E1439" s="118"/>
      <c r="F1439" s="118"/>
      <c r="G1439" s="118"/>
      <c r="H1439" s="118"/>
      <c r="I1439" s="118" t="s">
        <v>30</v>
      </c>
      <c r="J1439" s="118"/>
      <c r="K1439" s="118" t="s">
        <v>771</v>
      </c>
      <c r="L1439" s="118"/>
      <c r="M1439" s="118"/>
    </row>
    <row r="1440" spans="1:13">
      <c r="A1440" s="122" t="s">
        <v>24</v>
      </c>
      <c r="B1440" s="122"/>
      <c r="C1440" s="122"/>
      <c r="D1440" s="42">
        <v>1</v>
      </c>
      <c r="E1440" s="117" t="s">
        <v>40</v>
      </c>
      <c r="F1440" s="117"/>
      <c r="G1440" s="117"/>
      <c r="H1440" s="42">
        <v>1</v>
      </c>
      <c r="I1440" s="118" t="s">
        <v>27</v>
      </c>
      <c r="J1440" s="118"/>
      <c r="K1440" s="118" t="s">
        <v>21</v>
      </c>
      <c r="L1440" s="118"/>
      <c r="M1440" s="118"/>
    </row>
    <row r="1441" spans="1:13" ht="45">
      <c r="A1441" s="3" t="s">
        <v>9</v>
      </c>
      <c r="B1441" s="3" t="s">
        <v>10</v>
      </c>
      <c r="C1441" s="3" t="s">
        <v>11</v>
      </c>
      <c r="D1441" s="3" t="s">
        <v>3</v>
      </c>
      <c r="E1441" s="4" t="s">
        <v>41</v>
      </c>
      <c r="F1441" s="4" t="s">
        <v>12</v>
      </c>
      <c r="G1441" s="3" t="s">
        <v>13</v>
      </c>
      <c r="H1441" s="3" t="s">
        <v>14</v>
      </c>
      <c r="I1441" s="3" t="s">
        <v>15</v>
      </c>
      <c r="J1441" s="3" t="s">
        <v>16</v>
      </c>
      <c r="K1441" s="3" t="s">
        <v>17</v>
      </c>
      <c r="L1441" s="3" t="s">
        <v>18</v>
      </c>
      <c r="M1441" s="3" t="s">
        <v>19</v>
      </c>
    </row>
    <row r="1442" spans="1:13">
      <c r="A1442" s="18">
        <v>1</v>
      </c>
      <c r="B1442" s="111" t="s">
        <v>776</v>
      </c>
      <c r="C1442" s="18"/>
      <c r="D1442" s="18">
        <v>1</v>
      </c>
      <c r="E1442" s="20">
        <v>2380</v>
      </c>
      <c r="F1442" s="20">
        <v>1358</v>
      </c>
      <c r="G1442" s="18"/>
      <c r="H1442" s="18">
        <v>1</v>
      </c>
      <c r="I1442" s="21" t="s">
        <v>769</v>
      </c>
      <c r="J1442" s="18">
        <v>1</v>
      </c>
      <c r="K1442" s="18">
        <v>996</v>
      </c>
      <c r="L1442" s="22"/>
      <c r="M1442" s="18"/>
    </row>
    <row r="1443" spans="1:13">
      <c r="A1443" s="18"/>
      <c r="B1443" s="112"/>
      <c r="C1443" s="18"/>
      <c r="D1443" s="18"/>
      <c r="E1443" s="20"/>
      <c r="F1443" s="20"/>
      <c r="G1443" s="18"/>
      <c r="H1443" s="18"/>
      <c r="I1443" s="21"/>
      <c r="J1443" s="18"/>
      <c r="K1443" s="18"/>
      <c r="L1443" s="22"/>
      <c r="M1443" s="18"/>
    </row>
    <row r="1444" spans="1:13">
      <c r="A1444" s="61"/>
      <c r="B1444" s="62"/>
      <c r="C1444" s="61"/>
      <c r="D1444" s="61"/>
      <c r="E1444" s="63"/>
      <c r="F1444" s="63"/>
      <c r="G1444" s="61"/>
      <c r="H1444" s="61"/>
      <c r="I1444" s="64"/>
      <c r="J1444" s="61"/>
      <c r="K1444" s="65"/>
      <c r="L1444" s="66"/>
      <c r="M1444" s="67"/>
    </row>
    <row r="1445" spans="1:13">
      <c r="A1445" s="117" t="s">
        <v>4</v>
      </c>
      <c r="B1445" s="117"/>
      <c r="C1445" s="117"/>
      <c r="D1445" s="117"/>
      <c r="E1445" s="117"/>
      <c r="F1445" s="117"/>
      <c r="G1445" s="117"/>
      <c r="H1445" s="117"/>
      <c r="I1445" s="118" t="s">
        <v>8</v>
      </c>
      <c r="J1445" s="118"/>
      <c r="K1445" s="89" t="s">
        <v>70</v>
      </c>
      <c r="L1445" s="119"/>
      <c r="M1445" s="120"/>
    </row>
    <row r="1446" spans="1:13">
      <c r="A1446" s="117"/>
      <c r="B1446" s="117"/>
      <c r="C1446" s="117"/>
      <c r="D1446" s="117"/>
      <c r="E1446" s="117"/>
      <c r="F1446" s="117"/>
      <c r="G1446" s="117"/>
      <c r="H1446" s="117"/>
      <c r="I1446" s="118" t="s">
        <v>25</v>
      </c>
      <c r="J1446" s="118"/>
      <c r="K1446" s="121" t="s">
        <v>665</v>
      </c>
      <c r="L1446" s="118"/>
      <c r="M1446" s="118"/>
    </row>
    <row r="1447" spans="1:13">
      <c r="A1447" s="117"/>
      <c r="B1447" s="117"/>
      <c r="C1447" s="117"/>
      <c r="D1447" s="117"/>
      <c r="E1447" s="117"/>
      <c r="F1447" s="117"/>
      <c r="G1447" s="117"/>
      <c r="H1447" s="117"/>
      <c r="I1447" s="87" t="s">
        <v>26</v>
      </c>
      <c r="J1447" s="88"/>
      <c r="K1447" s="95" t="s">
        <v>765</v>
      </c>
      <c r="L1447" s="104"/>
      <c r="M1447" s="88"/>
    </row>
    <row r="1448" spans="1:13">
      <c r="A1448" s="118" t="s">
        <v>31</v>
      </c>
      <c r="B1448" s="118"/>
      <c r="C1448" s="118" t="s">
        <v>32</v>
      </c>
      <c r="D1448" s="118"/>
      <c r="E1448" s="118"/>
      <c r="F1448" s="118"/>
      <c r="G1448" s="118"/>
      <c r="H1448" s="118"/>
      <c r="I1448" s="40" t="s">
        <v>29</v>
      </c>
      <c r="J1448" s="41"/>
      <c r="K1448" s="118" t="s">
        <v>666</v>
      </c>
      <c r="L1448" s="118"/>
      <c r="M1448" s="118"/>
    </row>
    <row r="1449" spans="1:13">
      <c r="A1449" s="118"/>
      <c r="B1449" s="118"/>
      <c r="C1449" s="118"/>
      <c r="D1449" s="118"/>
      <c r="E1449" s="118"/>
      <c r="F1449" s="118"/>
      <c r="G1449" s="118"/>
      <c r="H1449" s="118"/>
      <c r="I1449" s="118" t="s">
        <v>30</v>
      </c>
      <c r="J1449" s="118"/>
      <c r="K1449" s="118" t="s">
        <v>766</v>
      </c>
      <c r="L1449" s="118"/>
      <c r="M1449" s="118"/>
    </row>
    <row r="1450" spans="1:13">
      <c r="A1450" s="122" t="s">
        <v>24</v>
      </c>
      <c r="B1450" s="122"/>
      <c r="C1450" s="122"/>
      <c r="D1450" s="42">
        <v>6</v>
      </c>
      <c r="E1450" s="117" t="s">
        <v>40</v>
      </c>
      <c r="F1450" s="117"/>
      <c r="G1450" s="117"/>
      <c r="H1450" s="42">
        <v>8</v>
      </c>
      <c r="I1450" s="118" t="s">
        <v>27</v>
      </c>
      <c r="J1450" s="118"/>
      <c r="K1450" s="118" t="s">
        <v>21</v>
      </c>
      <c r="L1450" s="118"/>
      <c r="M1450" s="118"/>
    </row>
    <row r="1451" spans="1:13" ht="45">
      <c r="A1451" s="3" t="s">
        <v>9</v>
      </c>
      <c r="B1451" s="3" t="s">
        <v>10</v>
      </c>
      <c r="C1451" s="3" t="s">
        <v>11</v>
      </c>
      <c r="D1451" s="3" t="s">
        <v>3</v>
      </c>
      <c r="E1451" s="4" t="s">
        <v>41</v>
      </c>
      <c r="F1451" s="4" t="s">
        <v>12</v>
      </c>
      <c r="G1451" s="3" t="s">
        <v>13</v>
      </c>
      <c r="H1451" s="3" t="s">
        <v>14</v>
      </c>
      <c r="I1451" s="3" t="s">
        <v>15</v>
      </c>
      <c r="J1451" s="3" t="s">
        <v>16</v>
      </c>
      <c r="K1451" s="3" t="s">
        <v>17</v>
      </c>
      <c r="L1451" s="3" t="s">
        <v>18</v>
      </c>
      <c r="M1451" s="3" t="s">
        <v>19</v>
      </c>
    </row>
    <row r="1452" spans="1:13">
      <c r="A1452" s="18">
        <v>1</v>
      </c>
      <c r="B1452" s="19">
        <v>0</v>
      </c>
      <c r="C1452" s="18"/>
      <c r="D1452" s="18">
        <v>1</v>
      </c>
      <c r="E1452" s="20">
        <v>11500</v>
      </c>
      <c r="F1452" s="20">
        <v>3172</v>
      </c>
      <c r="G1452" s="18"/>
      <c r="H1452" s="18">
        <v>1</v>
      </c>
      <c r="I1452" s="21" t="s">
        <v>763</v>
      </c>
      <c r="J1452" s="18">
        <v>1</v>
      </c>
      <c r="K1452" s="18">
        <v>4288</v>
      </c>
      <c r="L1452" s="22"/>
      <c r="M1452" s="18"/>
    </row>
    <row r="1453" spans="1:13">
      <c r="A1453" s="18"/>
      <c r="B1453" s="18"/>
      <c r="C1453" s="18"/>
      <c r="D1453" s="18"/>
      <c r="E1453" s="20"/>
      <c r="F1453" s="20"/>
      <c r="G1453" s="18"/>
      <c r="H1453" s="18">
        <v>1</v>
      </c>
      <c r="I1453" s="21" t="s">
        <v>761</v>
      </c>
      <c r="J1453" s="18">
        <v>1</v>
      </c>
      <c r="K1453" s="18">
        <v>3988</v>
      </c>
      <c r="L1453" s="22"/>
      <c r="M1453" s="18"/>
    </row>
    <row r="1454" spans="1:13">
      <c r="A1454" s="18">
        <v>2</v>
      </c>
      <c r="B1454" s="18">
        <v>0</v>
      </c>
      <c r="C1454" s="18"/>
      <c r="D1454" s="18">
        <v>1</v>
      </c>
      <c r="E1454" s="20">
        <v>11500</v>
      </c>
      <c r="F1454" s="20">
        <v>3772</v>
      </c>
      <c r="G1454" s="18"/>
      <c r="H1454" s="18">
        <v>1</v>
      </c>
      <c r="I1454" s="21" t="s">
        <v>764</v>
      </c>
      <c r="J1454" s="18">
        <v>1</v>
      </c>
      <c r="K1454" s="18">
        <v>3988</v>
      </c>
      <c r="L1454" s="22"/>
      <c r="M1454" s="18"/>
    </row>
    <row r="1455" spans="1:13">
      <c r="A1455" s="18"/>
      <c r="B1455" s="24"/>
      <c r="C1455" s="18"/>
      <c r="D1455" s="18"/>
      <c r="E1455" s="20"/>
      <c r="F1455" s="20"/>
      <c r="G1455" s="18"/>
      <c r="H1455" s="18">
        <v>1</v>
      </c>
      <c r="I1455" s="21" t="s">
        <v>758</v>
      </c>
      <c r="J1455" s="18">
        <v>1</v>
      </c>
      <c r="K1455" s="18">
        <v>3688</v>
      </c>
      <c r="L1455" s="22"/>
      <c r="M1455" s="18"/>
    </row>
    <row r="1456" spans="1:13">
      <c r="A1456" s="18">
        <v>3</v>
      </c>
      <c r="B1456" s="18">
        <v>0</v>
      </c>
      <c r="C1456" s="18"/>
      <c r="D1456" s="18">
        <v>1</v>
      </c>
      <c r="E1456" s="20">
        <v>11500</v>
      </c>
      <c r="F1456" s="20"/>
      <c r="G1456" s="18"/>
      <c r="H1456" s="18">
        <v>1</v>
      </c>
      <c r="I1456" s="21" t="s">
        <v>760</v>
      </c>
      <c r="J1456" s="18">
        <v>1</v>
      </c>
      <c r="K1456" s="18">
        <v>11496</v>
      </c>
      <c r="L1456" s="22"/>
      <c r="M1456" s="18"/>
    </row>
    <row r="1457" spans="1:13">
      <c r="A1457" s="18">
        <v>4</v>
      </c>
      <c r="B1457" s="24">
        <v>0</v>
      </c>
      <c r="C1457" s="18"/>
      <c r="D1457" s="18">
        <v>1</v>
      </c>
      <c r="E1457" s="20">
        <v>11500</v>
      </c>
      <c r="F1457" s="20"/>
      <c r="G1457" s="18"/>
      <c r="H1457" s="18">
        <v>1</v>
      </c>
      <c r="I1457" s="21" t="s">
        <v>757</v>
      </c>
      <c r="J1457" s="18">
        <v>1</v>
      </c>
      <c r="K1457" s="18">
        <v>11496</v>
      </c>
      <c r="L1457" s="22"/>
      <c r="M1457" s="18"/>
    </row>
    <row r="1458" spans="1:13">
      <c r="A1458" s="18">
        <v>5</v>
      </c>
      <c r="B1458" s="19">
        <v>0</v>
      </c>
      <c r="C1458" s="18"/>
      <c r="D1458" s="18">
        <v>1</v>
      </c>
      <c r="E1458" s="20">
        <v>11500</v>
      </c>
      <c r="F1458" s="20"/>
      <c r="G1458" s="18"/>
      <c r="H1458" s="18">
        <v>1</v>
      </c>
      <c r="I1458" s="21" t="s">
        <v>762</v>
      </c>
      <c r="J1458" s="18">
        <v>1</v>
      </c>
      <c r="K1458" s="18">
        <v>11496</v>
      </c>
      <c r="L1458" s="22"/>
      <c r="M1458" s="18"/>
    </row>
    <row r="1459" spans="1:13">
      <c r="A1459" s="18">
        <v>6</v>
      </c>
      <c r="B1459" s="18">
        <v>0</v>
      </c>
      <c r="C1459" s="18"/>
      <c r="D1459" s="18">
        <v>1</v>
      </c>
      <c r="E1459" s="20">
        <v>11500</v>
      </c>
      <c r="F1459" s="20"/>
      <c r="G1459" s="18"/>
      <c r="H1459" s="18">
        <v>1</v>
      </c>
      <c r="I1459" s="21" t="s">
        <v>759</v>
      </c>
      <c r="J1459" s="18">
        <v>1</v>
      </c>
      <c r="K1459" s="18">
        <v>11496</v>
      </c>
      <c r="L1459" s="22"/>
      <c r="M1459" s="18"/>
    </row>
    <row r="1460" spans="1:13">
      <c r="A1460" s="18"/>
      <c r="B1460" s="18"/>
      <c r="C1460" s="18"/>
      <c r="D1460" s="18"/>
      <c r="E1460" s="20"/>
      <c r="F1460" s="20"/>
      <c r="G1460" s="18"/>
      <c r="H1460" s="18"/>
      <c r="I1460" s="21"/>
      <c r="J1460" s="18"/>
      <c r="K1460" s="18"/>
      <c r="L1460" s="22"/>
      <c r="M1460" s="18"/>
    </row>
    <row r="1461" spans="1:13">
      <c r="A1461" s="117" t="s">
        <v>4</v>
      </c>
      <c r="B1461" s="117"/>
      <c r="C1461" s="117"/>
      <c r="D1461" s="117"/>
      <c r="E1461" s="117"/>
      <c r="F1461" s="117"/>
      <c r="G1461" s="117"/>
      <c r="H1461" s="117"/>
      <c r="I1461" s="118" t="s">
        <v>8</v>
      </c>
      <c r="J1461" s="118"/>
      <c r="K1461" s="89" t="s">
        <v>70</v>
      </c>
      <c r="L1461" s="119"/>
      <c r="M1461" s="120"/>
    </row>
    <row r="1462" spans="1:13">
      <c r="A1462" s="117"/>
      <c r="B1462" s="117"/>
      <c r="C1462" s="117"/>
      <c r="D1462" s="117"/>
      <c r="E1462" s="117"/>
      <c r="F1462" s="117"/>
      <c r="G1462" s="117"/>
      <c r="H1462" s="117"/>
      <c r="I1462" s="118" t="s">
        <v>25</v>
      </c>
      <c r="J1462" s="118"/>
      <c r="K1462" s="121" t="s">
        <v>665</v>
      </c>
      <c r="L1462" s="118"/>
      <c r="M1462" s="118"/>
    </row>
    <row r="1463" spans="1:13">
      <c r="A1463" s="117"/>
      <c r="B1463" s="117"/>
      <c r="C1463" s="117"/>
      <c r="D1463" s="117"/>
      <c r="E1463" s="117"/>
      <c r="F1463" s="117"/>
      <c r="G1463" s="117"/>
      <c r="H1463" s="117"/>
      <c r="I1463" s="87" t="s">
        <v>26</v>
      </c>
      <c r="J1463" s="88"/>
      <c r="K1463" s="95" t="s">
        <v>596</v>
      </c>
      <c r="L1463" s="104"/>
      <c r="M1463" s="88"/>
    </row>
    <row r="1464" spans="1:13">
      <c r="A1464" s="118" t="s">
        <v>31</v>
      </c>
      <c r="B1464" s="118"/>
      <c r="C1464" s="118" t="s">
        <v>32</v>
      </c>
      <c r="D1464" s="118"/>
      <c r="E1464" s="118"/>
      <c r="F1464" s="118"/>
      <c r="G1464" s="118"/>
      <c r="H1464" s="118"/>
      <c r="I1464" s="40" t="s">
        <v>29</v>
      </c>
      <c r="J1464" s="41"/>
      <c r="K1464" s="118" t="s">
        <v>666</v>
      </c>
      <c r="L1464" s="118"/>
      <c r="M1464" s="118"/>
    </row>
    <row r="1465" spans="1:13">
      <c r="A1465" s="118"/>
      <c r="B1465" s="118"/>
      <c r="C1465" s="118"/>
      <c r="D1465" s="118"/>
      <c r="E1465" s="118"/>
      <c r="F1465" s="118"/>
      <c r="G1465" s="118"/>
      <c r="H1465" s="118"/>
      <c r="I1465" s="118" t="s">
        <v>30</v>
      </c>
      <c r="J1465" s="118"/>
      <c r="K1465" s="118" t="s">
        <v>756</v>
      </c>
      <c r="L1465" s="118"/>
      <c r="M1465" s="118"/>
    </row>
    <row r="1466" spans="1:13">
      <c r="A1466" s="122" t="s">
        <v>24</v>
      </c>
      <c r="B1466" s="122"/>
      <c r="C1466" s="122"/>
      <c r="D1466" s="42">
        <v>5</v>
      </c>
      <c r="E1466" s="117" t="s">
        <v>40</v>
      </c>
      <c r="F1466" s="117"/>
      <c r="G1466" s="117"/>
      <c r="H1466" s="42">
        <v>9</v>
      </c>
      <c r="I1466" s="118" t="s">
        <v>27</v>
      </c>
      <c r="J1466" s="118"/>
      <c r="K1466" s="118" t="s">
        <v>21</v>
      </c>
      <c r="L1466" s="118"/>
      <c r="M1466" s="118"/>
    </row>
    <row r="1467" spans="1:13" ht="45">
      <c r="A1467" s="3" t="s">
        <v>9</v>
      </c>
      <c r="B1467" s="3" t="s">
        <v>10</v>
      </c>
      <c r="C1467" s="3" t="s">
        <v>11</v>
      </c>
      <c r="D1467" s="3" t="s">
        <v>3</v>
      </c>
      <c r="E1467" s="4" t="s">
        <v>41</v>
      </c>
      <c r="F1467" s="4" t="s">
        <v>12</v>
      </c>
      <c r="G1467" s="3" t="s">
        <v>13</v>
      </c>
      <c r="H1467" s="3" t="s">
        <v>14</v>
      </c>
      <c r="I1467" s="3" t="s">
        <v>15</v>
      </c>
      <c r="J1467" s="3" t="s">
        <v>16</v>
      </c>
      <c r="K1467" s="3" t="s">
        <v>17</v>
      </c>
      <c r="L1467" s="3" t="s">
        <v>18</v>
      </c>
      <c r="M1467" s="3" t="s">
        <v>19</v>
      </c>
    </row>
    <row r="1468" spans="1:13">
      <c r="A1468" s="18">
        <v>1</v>
      </c>
      <c r="B1468" s="19">
        <v>0</v>
      </c>
      <c r="C1468" s="18"/>
      <c r="D1468" s="18">
        <v>1</v>
      </c>
      <c r="E1468" s="20">
        <v>11500</v>
      </c>
      <c r="F1468" s="20">
        <v>3902</v>
      </c>
      <c r="G1468" s="18"/>
      <c r="H1468" s="18">
        <v>1</v>
      </c>
      <c r="I1468" s="21" t="s">
        <v>748</v>
      </c>
      <c r="J1468" s="18">
        <v>1</v>
      </c>
      <c r="K1468" s="18">
        <v>7572</v>
      </c>
      <c r="L1468" s="22"/>
      <c r="M1468" s="18"/>
    </row>
    <row r="1469" spans="1:13">
      <c r="A1469" s="18">
        <v>2</v>
      </c>
      <c r="B1469" s="18">
        <v>0</v>
      </c>
      <c r="C1469" s="18"/>
      <c r="D1469" s="18">
        <v>1</v>
      </c>
      <c r="E1469" s="20">
        <v>11500</v>
      </c>
      <c r="F1469" s="20">
        <v>1036</v>
      </c>
      <c r="G1469" s="18"/>
      <c r="H1469" s="18">
        <v>1</v>
      </c>
      <c r="I1469" s="21" t="s">
        <v>753</v>
      </c>
      <c r="J1469" s="18">
        <v>1</v>
      </c>
      <c r="K1469" s="18">
        <v>7572</v>
      </c>
      <c r="L1469" s="22"/>
      <c r="M1469" s="18"/>
    </row>
    <row r="1470" spans="1:13">
      <c r="A1470" s="18"/>
      <c r="B1470" s="18"/>
      <c r="C1470" s="18"/>
      <c r="D1470" s="18"/>
      <c r="E1470" s="20"/>
      <c r="F1470" s="20"/>
      <c r="G1470" s="18"/>
      <c r="H1470" s="18">
        <v>1</v>
      </c>
      <c r="I1470" s="21" t="s">
        <v>749</v>
      </c>
      <c r="J1470" s="18">
        <v>1</v>
      </c>
      <c r="K1470" s="18">
        <v>826</v>
      </c>
      <c r="L1470" s="22"/>
      <c r="M1470" s="18"/>
    </row>
    <row r="1471" spans="1:13">
      <c r="A1471" s="18"/>
      <c r="B1471" s="24"/>
      <c r="C1471" s="18"/>
      <c r="D1471" s="18"/>
      <c r="E1471" s="20"/>
      <c r="F1471" s="20"/>
      <c r="G1471" s="18"/>
      <c r="H1471" s="18">
        <v>1</v>
      </c>
      <c r="I1471" s="21" t="s">
        <v>752</v>
      </c>
      <c r="J1471" s="18">
        <v>1</v>
      </c>
      <c r="K1471" s="18">
        <v>826</v>
      </c>
      <c r="L1471" s="22"/>
      <c r="M1471" s="18"/>
    </row>
    <row r="1472" spans="1:13">
      <c r="A1472" s="18"/>
      <c r="B1472" s="18"/>
      <c r="C1472" s="18"/>
      <c r="D1472" s="18"/>
      <c r="E1472" s="20"/>
      <c r="F1472" s="20"/>
      <c r="G1472" s="18"/>
      <c r="H1472" s="18">
        <v>1</v>
      </c>
      <c r="I1472" s="21" t="s">
        <v>754</v>
      </c>
      <c r="J1472" s="18">
        <v>1</v>
      </c>
      <c r="K1472" s="18">
        <v>638</v>
      </c>
      <c r="L1472" s="22"/>
      <c r="M1472" s="18"/>
    </row>
    <row r="1473" spans="1:13">
      <c r="A1473" s="18"/>
      <c r="B1473" s="24"/>
      <c r="C1473" s="18"/>
      <c r="D1473" s="18"/>
      <c r="E1473" s="20"/>
      <c r="F1473" s="20"/>
      <c r="G1473" s="18"/>
      <c r="H1473" s="18">
        <v>1</v>
      </c>
      <c r="I1473" s="21" t="s">
        <v>750</v>
      </c>
      <c r="J1473" s="18">
        <v>1</v>
      </c>
      <c r="K1473" s="18">
        <v>472</v>
      </c>
      <c r="L1473" s="22"/>
      <c r="M1473" s="18"/>
    </row>
    <row r="1474" spans="1:13">
      <c r="A1474" s="18">
        <v>3</v>
      </c>
      <c r="B1474" s="19">
        <v>0</v>
      </c>
      <c r="C1474" s="18"/>
      <c r="D1474" s="18">
        <v>1</v>
      </c>
      <c r="E1474" s="20">
        <v>11500</v>
      </c>
      <c r="F1474" s="20">
        <v>6602</v>
      </c>
      <c r="G1474" s="18"/>
      <c r="H1474" s="18">
        <v>1</v>
      </c>
      <c r="I1474" s="21" t="s">
        <v>747</v>
      </c>
      <c r="J1474" s="18">
        <v>1</v>
      </c>
      <c r="K1474" s="18">
        <v>4872</v>
      </c>
      <c r="L1474" s="22"/>
      <c r="M1474" s="18"/>
    </row>
    <row r="1475" spans="1:13">
      <c r="A1475" s="18">
        <v>4</v>
      </c>
      <c r="B1475" s="18">
        <v>0</v>
      </c>
      <c r="C1475" s="18"/>
      <c r="D1475" s="18">
        <v>1</v>
      </c>
      <c r="E1475" s="20">
        <v>11500</v>
      </c>
      <c r="F1475" s="20"/>
      <c r="G1475" s="18"/>
      <c r="H1475" s="18">
        <v>1</v>
      </c>
      <c r="I1475" s="21" t="s">
        <v>751</v>
      </c>
      <c r="J1475" s="18">
        <v>1</v>
      </c>
      <c r="K1475" s="18">
        <v>11496</v>
      </c>
      <c r="L1475" s="22"/>
      <c r="M1475" s="18"/>
    </row>
    <row r="1476" spans="1:13">
      <c r="A1476" s="18">
        <v>5</v>
      </c>
      <c r="B1476" s="18">
        <v>0</v>
      </c>
      <c r="C1476" s="18"/>
      <c r="D1476" s="18">
        <v>1</v>
      </c>
      <c r="E1476" s="20">
        <v>11500</v>
      </c>
      <c r="F1476" s="20"/>
      <c r="G1476" s="18"/>
      <c r="H1476" s="18">
        <v>1</v>
      </c>
      <c r="I1476" s="21" t="s">
        <v>755</v>
      </c>
      <c r="J1476" s="18">
        <v>1</v>
      </c>
      <c r="K1476" s="18">
        <v>11496</v>
      </c>
      <c r="L1476" s="22"/>
      <c r="M1476" s="18"/>
    </row>
    <row r="1477" spans="1:13">
      <c r="A1477" s="18"/>
      <c r="B1477" s="18"/>
      <c r="C1477" s="18"/>
      <c r="D1477" s="18"/>
      <c r="E1477" s="20"/>
      <c r="F1477" s="20"/>
      <c r="G1477" s="18"/>
      <c r="H1477" s="18"/>
      <c r="I1477" s="21"/>
      <c r="J1477" s="18"/>
      <c r="K1477" s="18"/>
      <c r="L1477" s="22"/>
      <c r="M1477" s="18"/>
    </row>
    <row r="1478" spans="1:13">
      <c r="A1478" s="117" t="s">
        <v>4</v>
      </c>
      <c r="B1478" s="117"/>
      <c r="C1478" s="117"/>
      <c r="D1478" s="117"/>
      <c r="E1478" s="117"/>
      <c r="F1478" s="117"/>
      <c r="G1478" s="117"/>
      <c r="H1478" s="117"/>
      <c r="I1478" s="118" t="s">
        <v>8</v>
      </c>
      <c r="J1478" s="118"/>
      <c r="K1478" s="89" t="s">
        <v>70</v>
      </c>
      <c r="L1478" s="119"/>
      <c r="M1478" s="120"/>
    </row>
    <row r="1479" spans="1:13">
      <c r="A1479" s="117"/>
      <c r="B1479" s="117"/>
      <c r="C1479" s="117"/>
      <c r="D1479" s="117"/>
      <c r="E1479" s="117"/>
      <c r="F1479" s="117"/>
      <c r="G1479" s="117"/>
      <c r="H1479" s="117"/>
      <c r="I1479" s="118" t="s">
        <v>25</v>
      </c>
      <c r="J1479" s="118"/>
      <c r="K1479" s="121" t="s">
        <v>665</v>
      </c>
      <c r="L1479" s="118"/>
      <c r="M1479" s="118"/>
    </row>
    <row r="1480" spans="1:13">
      <c r="A1480" s="117"/>
      <c r="B1480" s="117"/>
      <c r="C1480" s="117"/>
      <c r="D1480" s="117"/>
      <c r="E1480" s="117"/>
      <c r="F1480" s="117"/>
      <c r="G1480" s="117"/>
      <c r="H1480" s="117"/>
      <c r="I1480" s="87" t="s">
        <v>26</v>
      </c>
      <c r="J1480" s="88"/>
      <c r="K1480" s="95" t="s">
        <v>580</v>
      </c>
      <c r="L1480" s="104"/>
      <c r="M1480" s="88"/>
    </row>
    <row r="1481" spans="1:13">
      <c r="A1481" s="118" t="s">
        <v>31</v>
      </c>
      <c r="B1481" s="118"/>
      <c r="C1481" s="118" t="s">
        <v>32</v>
      </c>
      <c r="D1481" s="118"/>
      <c r="E1481" s="118"/>
      <c r="F1481" s="118"/>
      <c r="G1481" s="118"/>
      <c r="H1481" s="118"/>
      <c r="I1481" s="40" t="s">
        <v>29</v>
      </c>
      <c r="J1481" s="41"/>
      <c r="K1481" s="118" t="s">
        <v>666</v>
      </c>
      <c r="L1481" s="118"/>
      <c r="M1481" s="118"/>
    </row>
    <row r="1482" spans="1:13">
      <c r="A1482" s="118"/>
      <c r="B1482" s="118"/>
      <c r="C1482" s="118"/>
      <c r="D1482" s="118"/>
      <c r="E1482" s="118"/>
      <c r="F1482" s="118"/>
      <c r="G1482" s="118"/>
      <c r="H1482" s="118"/>
      <c r="I1482" s="118" t="s">
        <v>30</v>
      </c>
      <c r="J1482" s="118"/>
      <c r="K1482" s="118" t="s">
        <v>746</v>
      </c>
      <c r="L1482" s="118"/>
      <c r="M1482" s="118"/>
    </row>
    <row r="1483" spans="1:13">
      <c r="A1483" s="122" t="s">
        <v>24</v>
      </c>
      <c r="B1483" s="122"/>
      <c r="C1483" s="122"/>
      <c r="D1483" s="42">
        <v>1</v>
      </c>
      <c r="E1483" s="117" t="s">
        <v>40</v>
      </c>
      <c r="F1483" s="117"/>
      <c r="G1483" s="117"/>
      <c r="H1483" s="42">
        <v>1</v>
      </c>
      <c r="I1483" s="118" t="s">
        <v>27</v>
      </c>
      <c r="J1483" s="118"/>
      <c r="K1483" s="118" t="s">
        <v>21</v>
      </c>
      <c r="L1483" s="118"/>
      <c r="M1483" s="118"/>
    </row>
    <row r="1484" spans="1:13" ht="45">
      <c r="A1484" s="3" t="s">
        <v>9</v>
      </c>
      <c r="B1484" s="3" t="s">
        <v>10</v>
      </c>
      <c r="C1484" s="3" t="s">
        <v>11</v>
      </c>
      <c r="D1484" s="3" t="s">
        <v>3</v>
      </c>
      <c r="E1484" s="4" t="s">
        <v>41</v>
      </c>
      <c r="F1484" s="4" t="s">
        <v>12</v>
      </c>
      <c r="G1484" s="3" t="s">
        <v>13</v>
      </c>
      <c r="H1484" s="3" t="s">
        <v>14</v>
      </c>
      <c r="I1484" s="3" t="s">
        <v>15</v>
      </c>
      <c r="J1484" s="3" t="s">
        <v>16</v>
      </c>
      <c r="K1484" s="3" t="s">
        <v>17</v>
      </c>
      <c r="L1484" s="3" t="s">
        <v>18</v>
      </c>
      <c r="M1484" s="3" t="s">
        <v>19</v>
      </c>
    </row>
    <row r="1485" spans="1:13">
      <c r="A1485" s="18">
        <v>1</v>
      </c>
      <c r="B1485" s="19">
        <v>0</v>
      </c>
      <c r="C1485" s="18"/>
      <c r="D1485" s="18">
        <v>1</v>
      </c>
      <c r="E1485" s="20">
        <v>11500</v>
      </c>
      <c r="F1485" s="20"/>
      <c r="G1485" s="18"/>
      <c r="H1485" s="18">
        <v>1</v>
      </c>
      <c r="I1485" s="21" t="s">
        <v>745</v>
      </c>
      <c r="J1485" s="18">
        <v>1</v>
      </c>
      <c r="K1485" s="18">
        <v>11496</v>
      </c>
      <c r="L1485" s="22"/>
      <c r="M1485" s="18"/>
    </row>
    <row r="1486" spans="1:13">
      <c r="A1486" s="18"/>
      <c r="B1486" s="18"/>
      <c r="C1486" s="18"/>
      <c r="D1486" s="18"/>
      <c r="E1486" s="20"/>
      <c r="F1486" s="20"/>
      <c r="G1486" s="18"/>
      <c r="H1486" s="18"/>
      <c r="I1486" s="21"/>
      <c r="J1486" s="18"/>
      <c r="K1486" s="18"/>
      <c r="L1486" s="22"/>
      <c r="M1486" s="18"/>
    </row>
    <row r="1487" spans="1:13">
      <c r="A1487" s="117" t="s">
        <v>4</v>
      </c>
      <c r="B1487" s="117"/>
      <c r="C1487" s="117"/>
      <c r="D1487" s="117"/>
      <c r="E1487" s="117"/>
      <c r="F1487" s="117"/>
      <c r="G1487" s="117"/>
      <c r="H1487" s="117"/>
      <c r="I1487" s="118" t="s">
        <v>8</v>
      </c>
      <c r="J1487" s="118"/>
      <c r="K1487" s="89" t="s">
        <v>70</v>
      </c>
      <c r="L1487" s="119"/>
      <c r="M1487" s="120"/>
    </row>
    <row r="1488" spans="1:13">
      <c r="A1488" s="117"/>
      <c r="B1488" s="117"/>
      <c r="C1488" s="117"/>
      <c r="D1488" s="117"/>
      <c r="E1488" s="117"/>
      <c r="F1488" s="117"/>
      <c r="G1488" s="117"/>
      <c r="H1488" s="117"/>
      <c r="I1488" s="118" t="s">
        <v>25</v>
      </c>
      <c r="J1488" s="118"/>
      <c r="K1488" s="121" t="s">
        <v>665</v>
      </c>
      <c r="L1488" s="118"/>
      <c r="M1488" s="118"/>
    </row>
    <row r="1489" spans="1:13">
      <c r="A1489" s="117"/>
      <c r="B1489" s="117"/>
      <c r="C1489" s="117"/>
      <c r="D1489" s="117"/>
      <c r="E1489" s="117"/>
      <c r="F1489" s="117"/>
      <c r="G1489" s="117"/>
      <c r="H1489" s="117"/>
      <c r="I1489" s="87" t="s">
        <v>26</v>
      </c>
      <c r="J1489" s="88"/>
      <c r="K1489" s="95" t="s">
        <v>569</v>
      </c>
      <c r="L1489" s="104"/>
      <c r="M1489" s="88"/>
    </row>
    <row r="1490" spans="1:13">
      <c r="A1490" s="118" t="s">
        <v>31</v>
      </c>
      <c r="B1490" s="118"/>
      <c r="C1490" s="118" t="s">
        <v>32</v>
      </c>
      <c r="D1490" s="118"/>
      <c r="E1490" s="118"/>
      <c r="F1490" s="118"/>
      <c r="G1490" s="118"/>
      <c r="H1490" s="118"/>
      <c r="I1490" s="40" t="s">
        <v>29</v>
      </c>
      <c r="J1490" s="41"/>
      <c r="K1490" s="118" t="s">
        <v>666</v>
      </c>
      <c r="L1490" s="118"/>
      <c r="M1490" s="118"/>
    </row>
    <row r="1491" spans="1:13">
      <c r="A1491" s="118"/>
      <c r="B1491" s="118"/>
      <c r="C1491" s="118"/>
      <c r="D1491" s="118"/>
      <c r="E1491" s="118"/>
      <c r="F1491" s="118"/>
      <c r="G1491" s="118"/>
      <c r="H1491" s="118"/>
      <c r="I1491" s="118" t="s">
        <v>30</v>
      </c>
      <c r="J1491" s="118"/>
      <c r="K1491" s="118" t="s">
        <v>744</v>
      </c>
      <c r="L1491" s="118"/>
      <c r="M1491" s="118"/>
    </row>
    <row r="1492" spans="1:13">
      <c r="A1492" s="122" t="s">
        <v>24</v>
      </c>
      <c r="B1492" s="122"/>
      <c r="C1492" s="122"/>
      <c r="D1492" s="42">
        <v>1</v>
      </c>
      <c r="E1492" s="117" t="s">
        <v>40</v>
      </c>
      <c r="F1492" s="117"/>
      <c r="G1492" s="117"/>
      <c r="H1492" s="42">
        <v>1</v>
      </c>
      <c r="I1492" s="118" t="s">
        <v>27</v>
      </c>
      <c r="J1492" s="118"/>
      <c r="K1492" s="118" t="s">
        <v>21</v>
      </c>
      <c r="L1492" s="118"/>
      <c r="M1492" s="118"/>
    </row>
    <row r="1493" spans="1:13" ht="45">
      <c r="A1493" s="3" t="s">
        <v>9</v>
      </c>
      <c r="B1493" s="3" t="s">
        <v>10</v>
      </c>
      <c r="C1493" s="3" t="s">
        <v>11</v>
      </c>
      <c r="D1493" s="3" t="s">
        <v>3</v>
      </c>
      <c r="E1493" s="4" t="s">
        <v>41</v>
      </c>
      <c r="F1493" s="4" t="s">
        <v>12</v>
      </c>
      <c r="G1493" s="3" t="s">
        <v>13</v>
      </c>
      <c r="H1493" s="3" t="s">
        <v>14</v>
      </c>
      <c r="I1493" s="3" t="s">
        <v>15</v>
      </c>
      <c r="J1493" s="3" t="s">
        <v>16</v>
      </c>
      <c r="K1493" s="3" t="s">
        <v>17</v>
      </c>
      <c r="L1493" s="3" t="s">
        <v>18</v>
      </c>
      <c r="M1493" s="3" t="s">
        <v>19</v>
      </c>
    </row>
    <row r="1494" spans="1:13">
      <c r="A1494" s="18">
        <v>1</v>
      </c>
      <c r="B1494" s="19">
        <v>0</v>
      </c>
      <c r="C1494" s="18"/>
      <c r="D1494" s="18">
        <v>1</v>
      </c>
      <c r="E1494" s="20">
        <v>1000</v>
      </c>
      <c r="F1494" s="20">
        <v>137</v>
      </c>
      <c r="G1494" s="18"/>
      <c r="H1494" s="18">
        <v>1</v>
      </c>
      <c r="I1494" s="21" t="s">
        <v>743</v>
      </c>
      <c r="J1494" s="18">
        <v>1</v>
      </c>
      <c r="K1494" s="18">
        <v>837</v>
      </c>
      <c r="L1494" s="22"/>
      <c r="M1494" s="18"/>
    </row>
    <row r="1495" spans="1:13">
      <c r="A1495" s="18"/>
      <c r="B1495" s="18"/>
      <c r="C1495" s="18"/>
      <c r="D1495" s="18"/>
      <c r="E1495" s="20"/>
      <c r="F1495" s="20"/>
      <c r="G1495" s="18"/>
      <c r="H1495" s="18"/>
      <c r="I1495" s="21"/>
      <c r="J1495" s="18"/>
      <c r="K1495" s="18"/>
      <c r="L1495" s="22"/>
      <c r="M1495" s="18"/>
    </row>
    <row r="1496" spans="1:13">
      <c r="A1496" s="117" t="s">
        <v>4</v>
      </c>
      <c r="B1496" s="117"/>
      <c r="C1496" s="117"/>
      <c r="D1496" s="117"/>
      <c r="E1496" s="117"/>
      <c r="F1496" s="117"/>
      <c r="G1496" s="117"/>
      <c r="H1496" s="117"/>
      <c r="I1496" s="118" t="s">
        <v>8</v>
      </c>
      <c r="J1496" s="118"/>
      <c r="K1496" s="89" t="s">
        <v>70</v>
      </c>
      <c r="L1496" s="119"/>
      <c r="M1496" s="120"/>
    </row>
    <row r="1497" spans="1:13">
      <c r="A1497" s="117"/>
      <c r="B1497" s="117"/>
      <c r="C1497" s="117"/>
      <c r="D1497" s="117"/>
      <c r="E1497" s="117"/>
      <c r="F1497" s="117"/>
      <c r="G1497" s="117"/>
      <c r="H1497" s="117"/>
      <c r="I1497" s="118" t="s">
        <v>25</v>
      </c>
      <c r="J1497" s="118"/>
      <c r="K1497" s="121" t="s">
        <v>665</v>
      </c>
      <c r="L1497" s="118"/>
      <c r="M1497" s="118"/>
    </row>
    <row r="1498" spans="1:13">
      <c r="A1498" s="117"/>
      <c r="B1498" s="117"/>
      <c r="C1498" s="117"/>
      <c r="D1498" s="117"/>
      <c r="E1498" s="117"/>
      <c r="F1498" s="117"/>
      <c r="G1498" s="117"/>
      <c r="H1498" s="117"/>
      <c r="I1498" s="87" t="s">
        <v>26</v>
      </c>
      <c r="J1498" s="88"/>
      <c r="K1498" s="95" t="s">
        <v>563</v>
      </c>
      <c r="L1498" s="104"/>
      <c r="M1498" s="88"/>
    </row>
    <row r="1499" spans="1:13">
      <c r="A1499" s="118" t="s">
        <v>31</v>
      </c>
      <c r="B1499" s="118"/>
      <c r="C1499" s="118" t="s">
        <v>32</v>
      </c>
      <c r="D1499" s="118"/>
      <c r="E1499" s="118"/>
      <c r="F1499" s="118"/>
      <c r="G1499" s="118"/>
      <c r="H1499" s="118"/>
      <c r="I1499" s="40" t="s">
        <v>29</v>
      </c>
      <c r="J1499" s="41"/>
      <c r="K1499" s="118" t="s">
        <v>666</v>
      </c>
      <c r="L1499" s="118"/>
      <c r="M1499" s="118"/>
    </row>
    <row r="1500" spans="1:13">
      <c r="A1500" s="118"/>
      <c r="B1500" s="118"/>
      <c r="C1500" s="118"/>
      <c r="D1500" s="118"/>
      <c r="E1500" s="118"/>
      <c r="F1500" s="118"/>
      <c r="G1500" s="118"/>
      <c r="H1500" s="118"/>
      <c r="I1500" s="118" t="s">
        <v>30</v>
      </c>
      <c r="J1500" s="118"/>
      <c r="K1500" s="118" t="s">
        <v>742</v>
      </c>
      <c r="L1500" s="118"/>
      <c r="M1500" s="118"/>
    </row>
    <row r="1501" spans="1:13">
      <c r="A1501" s="122" t="s">
        <v>24</v>
      </c>
      <c r="B1501" s="122"/>
      <c r="C1501" s="122"/>
      <c r="D1501" s="42">
        <v>1</v>
      </c>
      <c r="E1501" s="117" t="s">
        <v>40</v>
      </c>
      <c r="F1501" s="117"/>
      <c r="G1501" s="117"/>
      <c r="H1501" s="42">
        <v>2</v>
      </c>
      <c r="I1501" s="118" t="s">
        <v>27</v>
      </c>
      <c r="J1501" s="118"/>
      <c r="K1501" s="118" t="s">
        <v>21</v>
      </c>
      <c r="L1501" s="118"/>
      <c r="M1501" s="118"/>
    </row>
    <row r="1502" spans="1:13" ht="45">
      <c r="A1502" s="3" t="s">
        <v>9</v>
      </c>
      <c r="B1502" s="3" t="s">
        <v>10</v>
      </c>
      <c r="C1502" s="3" t="s">
        <v>11</v>
      </c>
      <c r="D1502" s="3" t="s">
        <v>3</v>
      </c>
      <c r="E1502" s="4" t="s">
        <v>41</v>
      </c>
      <c r="F1502" s="4" t="s">
        <v>12</v>
      </c>
      <c r="G1502" s="3" t="s">
        <v>13</v>
      </c>
      <c r="H1502" s="3" t="s">
        <v>14</v>
      </c>
      <c r="I1502" s="3" t="s">
        <v>15</v>
      </c>
      <c r="J1502" s="3" t="s">
        <v>16</v>
      </c>
      <c r="K1502" s="3" t="s">
        <v>17</v>
      </c>
      <c r="L1502" s="3" t="s">
        <v>18</v>
      </c>
      <c r="M1502" s="3" t="s">
        <v>19</v>
      </c>
    </row>
    <row r="1503" spans="1:13">
      <c r="A1503" s="18">
        <v>1</v>
      </c>
      <c r="B1503" s="19">
        <v>0</v>
      </c>
      <c r="C1503" s="18"/>
      <c r="D1503" s="18">
        <v>1</v>
      </c>
      <c r="E1503" s="20">
        <v>600</v>
      </c>
      <c r="F1503" s="20">
        <v>12</v>
      </c>
      <c r="G1503" s="18"/>
      <c r="H1503" s="18">
        <v>1</v>
      </c>
      <c r="I1503" s="21" t="s">
        <v>740</v>
      </c>
      <c r="J1503" s="18">
        <v>1</v>
      </c>
      <c r="K1503" s="18">
        <v>293</v>
      </c>
      <c r="L1503" s="22"/>
      <c r="M1503" s="18"/>
    </row>
    <row r="1504" spans="1:13">
      <c r="A1504" s="18"/>
      <c r="B1504" s="18"/>
      <c r="C1504" s="18"/>
      <c r="D1504" s="18"/>
      <c r="E1504" s="20"/>
      <c r="F1504" s="20"/>
      <c r="G1504" s="18"/>
      <c r="H1504" s="18">
        <v>1</v>
      </c>
      <c r="I1504" s="21" t="s">
        <v>741</v>
      </c>
      <c r="J1504" s="18">
        <v>1</v>
      </c>
      <c r="K1504" s="18">
        <v>243</v>
      </c>
      <c r="L1504" s="22"/>
      <c r="M1504" s="18"/>
    </row>
    <row r="1505" spans="1:13">
      <c r="A1505" s="18"/>
      <c r="B1505" s="18"/>
      <c r="C1505" s="18"/>
      <c r="D1505" s="18"/>
      <c r="E1505" s="20"/>
      <c r="F1505" s="20"/>
      <c r="G1505" s="18"/>
      <c r="H1505" s="18"/>
      <c r="I1505" s="21"/>
      <c r="J1505" s="18"/>
      <c r="K1505" s="18"/>
      <c r="L1505" s="22"/>
      <c r="M1505" s="18"/>
    </row>
    <row r="1506" spans="1:13">
      <c r="A1506" s="117" t="s">
        <v>4</v>
      </c>
      <c r="B1506" s="117"/>
      <c r="C1506" s="117"/>
      <c r="D1506" s="117"/>
      <c r="E1506" s="117"/>
      <c r="F1506" s="117"/>
      <c r="G1506" s="117"/>
      <c r="H1506" s="117"/>
      <c r="I1506" s="118" t="s">
        <v>8</v>
      </c>
      <c r="J1506" s="118"/>
      <c r="K1506" s="89" t="s">
        <v>70</v>
      </c>
      <c r="L1506" s="119"/>
      <c r="M1506" s="120"/>
    </row>
    <row r="1507" spans="1:13">
      <c r="A1507" s="117"/>
      <c r="B1507" s="117"/>
      <c r="C1507" s="117"/>
      <c r="D1507" s="117"/>
      <c r="E1507" s="117"/>
      <c r="F1507" s="117"/>
      <c r="G1507" s="117"/>
      <c r="H1507" s="117"/>
      <c r="I1507" s="118" t="s">
        <v>25</v>
      </c>
      <c r="J1507" s="118"/>
      <c r="K1507" s="121" t="s">
        <v>665</v>
      </c>
      <c r="L1507" s="118"/>
      <c r="M1507" s="118"/>
    </row>
    <row r="1508" spans="1:13">
      <c r="A1508" s="117"/>
      <c r="B1508" s="117"/>
      <c r="C1508" s="117"/>
      <c r="D1508" s="117"/>
      <c r="E1508" s="117"/>
      <c r="F1508" s="117"/>
      <c r="G1508" s="117"/>
      <c r="H1508" s="117"/>
      <c r="I1508" s="87" t="s">
        <v>26</v>
      </c>
      <c r="J1508" s="88"/>
      <c r="K1508" s="95" t="s">
        <v>53</v>
      </c>
      <c r="L1508" s="104"/>
      <c r="M1508" s="88"/>
    </row>
    <row r="1509" spans="1:13">
      <c r="A1509" s="118" t="s">
        <v>31</v>
      </c>
      <c r="B1509" s="118"/>
      <c r="C1509" s="118" t="s">
        <v>32</v>
      </c>
      <c r="D1509" s="118"/>
      <c r="E1509" s="118"/>
      <c r="F1509" s="118"/>
      <c r="G1509" s="118"/>
      <c r="H1509" s="118"/>
      <c r="I1509" s="40" t="s">
        <v>29</v>
      </c>
      <c r="J1509" s="41"/>
      <c r="K1509" s="118" t="s">
        <v>666</v>
      </c>
      <c r="L1509" s="118"/>
      <c r="M1509" s="118"/>
    </row>
    <row r="1510" spans="1:13">
      <c r="A1510" s="118"/>
      <c r="B1510" s="118"/>
      <c r="C1510" s="118"/>
      <c r="D1510" s="118"/>
      <c r="E1510" s="118"/>
      <c r="F1510" s="118"/>
      <c r="G1510" s="118"/>
      <c r="H1510" s="118"/>
      <c r="I1510" s="118" t="s">
        <v>30</v>
      </c>
      <c r="J1510" s="118"/>
      <c r="K1510" s="118" t="s">
        <v>739</v>
      </c>
      <c r="L1510" s="118"/>
      <c r="M1510" s="118"/>
    </row>
    <row r="1511" spans="1:13">
      <c r="A1511" s="122" t="s">
        <v>24</v>
      </c>
      <c r="B1511" s="122"/>
      <c r="C1511" s="122"/>
      <c r="D1511" s="42">
        <v>1</v>
      </c>
      <c r="E1511" s="117" t="s">
        <v>40</v>
      </c>
      <c r="F1511" s="117"/>
      <c r="G1511" s="117"/>
      <c r="H1511" s="42">
        <v>1</v>
      </c>
      <c r="I1511" s="118" t="s">
        <v>27</v>
      </c>
      <c r="J1511" s="118"/>
      <c r="K1511" s="118" t="s">
        <v>21</v>
      </c>
      <c r="L1511" s="118"/>
      <c r="M1511" s="118"/>
    </row>
    <row r="1512" spans="1:13" ht="45">
      <c r="A1512" s="3" t="s">
        <v>9</v>
      </c>
      <c r="B1512" s="3" t="s">
        <v>10</v>
      </c>
      <c r="C1512" s="3" t="s">
        <v>11</v>
      </c>
      <c r="D1512" s="3" t="s">
        <v>3</v>
      </c>
      <c r="E1512" s="4" t="s">
        <v>41</v>
      </c>
      <c r="F1512" s="4" t="s">
        <v>12</v>
      </c>
      <c r="G1512" s="3" t="s">
        <v>13</v>
      </c>
      <c r="H1512" s="3" t="s">
        <v>14</v>
      </c>
      <c r="I1512" s="3" t="s">
        <v>15</v>
      </c>
      <c r="J1512" s="3" t="s">
        <v>16</v>
      </c>
      <c r="K1512" s="3" t="s">
        <v>17</v>
      </c>
      <c r="L1512" s="3" t="s">
        <v>18</v>
      </c>
      <c r="M1512" s="3" t="s">
        <v>19</v>
      </c>
    </row>
    <row r="1513" spans="1:13">
      <c r="A1513" s="18">
        <v>1</v>
      </c>
      <c r="B1513" s="19">
        <v>0</v>
      </c>
      <c r="C1513" s="18"/>
      <c r="D1513" s="18">
        <v>1</v>
      </c>
      <c r="E1513" s="20">
        <v>11500</v>
      </c>
      <c r="F1513" s="20"/>
      <c r="G1513" s="18"/>
      <c r="H1513" s="18">
        <v>1</v>
      </c>
      <c r="I1513" s="21" t="s">
        <v>738</v>
      </c>
      <c r="J1513" s="18">
        <v>1</v>
      </c>
      <c r="K1513" s="18">
        <v>11496</v>
      </c>
      <c r="L1513" s="22"/>
      <c r="M1513" s="18"/>
    </row>
    <row r="1514" spans="1:13">
      <c r="A1514" s="18"/>
      <c r="B1514" s="18"/>
      <c r="C1514" s="18"/>
      <c r="D1514" s="18"/>
      <c r="E1514" s="20"/>
      <c r="F1514" s="20"/>
      <c r="G1514" s="18"/>
      <c r="H1514" s="18"/>
      <c r="I1514" s="21"/>
      <c r="J1514" s="18"/>
      <c r="K1514" s="18"/>
      <c r="L1514" s="22"/>
      <c r="M1514" s="18"/>
    </row>
    <row r="1515" spans="1:13">
      <c r="A1515" s="117" t="s">
        <v>4</v>
      </c>
      <c r="B1515" s="117"/>
      <c r="C1515" s="117"/>
      <c r="D1515" s="117"/>
      <c r="E1515" s="117"/>
      <c r="F1515" s="117"/>
      <c r="G1515" s="117"/>
      <c r="H1515" s="117"/>
      <c r="I1515" s="118" t="s">
        <v>8</v>
      </c>
      <c r="J1515" s="118"/>
      <c r="K1515" s="89" t="s">
        <v>70</v>
      </c>
      <c r="L1515" s="119"/>
      <c r="M1515" s="120"/>
    </row>
    <row r="1516" spans="1:13">
      <c r="A1516" s="117"/>
      <c r="B1516" s="117"/>
      <c r="C1516" s="117"/>
      <c r="D1516" s="117"/>
      <c r="E1516" s="117"/>
      <c r="F1516" s="117"/>
      <c r="G1516" s="117"/>
      <c r="H1516" s="117"/>
      <c r="I1516" s="118" t="s">
        <v>25</v>
      </c>
      <c r="J1516" s="118"/>
      <c r="K1516" s="121" t="s">
        <v>665</v>
      </c>
      <c r="L1516" s="118"/>
      <c r="M1516" s="118"/>
    </row>
    <row r="1517" spans="1:13">
      <c r="A1517" s="117"/>
      <c r="B1517" s="117"/>
      <c r="C1517" s="117"/>
      <c r="D1517" s="117"/>
      <c r="E1517" s="117"/>
      <c r="F1517" s="117"/>
      <c r="G1517" s="117"/>
      <c r="H1517" s="117"/>
      <c r="I1517" s="87" t="s">
        <v>26</v>
      </c>
      <c r="J1517" s="88"/>
      <c r="K1517" s="95" t="s">
        <v>736</v>
      </c>
      <c r="L1517" s="104"/>
      <c r="M1517" s="88"/>
    </row>
    <row r="1518" spans="1:13">
      <c r="A1518" s="118" t="s">
        <v>31</v>
      </c>
      <c r="B1518" s="118"/>
      <c r="C1518" s="118" t="s">
        <v>32</v>
      </c>
      <c r="D1518" s="118"/>
      <c r="E1518" s="118"/>
      <c r="F1518" s="118"/>
      <c r="G1518" s="118"/>
      <c r="H1518" s="118"/>
      <c r="I1518" s="40" t="s">
        <v>29</v>
      </c>
      <c r="J1518" s="41"/>
      <c r="K1518" s="118" t="s">
        <v>666</v>
      </c>
      <c r="L1518" s="118"/>
      <c r="M1518" s="118"/>
    </row>
    <row r="1519" spans="1:13">
      <c r="A1519" s="118"/>
      <c r="B1519" s="118"/>
      <c r="C1519" s="118"/>
      <c r="D1519" s="118"/>
      <c r="E1519" s="118"/>
      <c r="F1519" s="118"/>
      <c r="G1519" s="118"/>
      <c r="H1519" s="118"/>
      <c r="I1519" s="118" t="s">
        <v>30</v>
      </c>
      <c r="J1519" s="118"/>
      <c r="K1519" s="118" t="s">
        <v>737</v>
      </c>
      <c r="L1519" s="118"/>
      <c r="M1519" s="118"/>
    </row>
    <row r="1520" spans="1:13">
      <c r="A1520" s="122" t="s">
        <v>24</v>
      </c>
      <c r="B1520" s="122"/>
      <c r="C1520" s="122"/>
      <c r="D1520" s="42">
        <v>1</v>
      </c>
      <c r="E1520" s="117" t="s">
        <v>40</v>
      </c>
      <c r="F1520" s="117"/>
      <c r="G1520" s="117"/>
      <c r="H1520" s="42">
        <v>6</v>
      </c>
      <c r="I1520" s="118" t="s">
        <v>27</v>
      </c>
      <c r="J1520" s="118"/>
      <c r="K1520" s="118" t="s">
        <v>21</v>
      </c>
      <c r="L1520" s="118"/>
      <c r="M1520" s="118"/>
    </row>
    <row r="1521" spans="1:13" ht="45">
      <c r="A1521" s="3" t="s">
        <v>9</v>
      </c>
      <c r="B1521" s="3" t="s">
        <v>10</v>
      </c>
      <c r="C1521" s="3" t="s">
        <v>11</v>
      </c>
      <c r="D1521" s="3" t="s">
        <v>3</v>
      </c>
      <c r="E1521" s="4" t="s">
        <v>41</v>
      </c>
      <c r="F1521" s="4" t="s">
        <v>12</v>
      </c>
      <c r="G1521" s="3" t="s">
        <v>13</v>
      </c>
      <c r="H1521" s="3" t="s">
        <v>14</v>
      </c>
      <c r="I1521" s="3" t="s">
        <v>15</v>
      </c>
      <c r="J1521" s="3" t="s">
        <v>16</v>
      </c>
      <c r="K1521" s="3" t="s">
        <v>17</v>
      </c>
      <c r="L1521" s="3" t="s">
        <v>18</v>
      </c>
      <c r="M1521" s="3" t="s">
        <v>19</v>
      </c>
    </row>
    <row r="1522" spans="1:13">
      <c r="A1522" s="18">
        <v>1</v>
      </c>
      <c r="B1522" s="19">
        <v>0</v>
      </c>
      <c r="C1522" s="18"/>
      <c r="D1522" s="18">
        <v>1</v>
      </c>
      <c r="E1522" s="20">
        <v>11500</v>
      </c>
      <c r="F1522" s="20">
        <v>7810</v>
      </c>
      <c r="G1522" s="18"/>
      <c r="H1522" s="18">
        <v>1</v>
      </c>
      <c r="I1522" s="21" t="s">
        <v>735</v>
      </c>
      <c r="J1522" s="18">
        <v>1</v>
      </c>
      <c r="K1522" s="18">
        <v>589</v>
      </c>
      <c r="L1522" s="22"/>
      <c r="M1522" s="18"/>
    </row>
    <row r="1523" spans="1:13">
      <c r="A1523" s="18"/>
      <c r="B1523" s="18"/>
      <c r="C1523" s="18"/>
      <c r="D1523" s="18"/>
      <c r="E1523" s="20"/>
      <c r="F1523" s="20"/>
      <c r="G1523" s="18"/>
      <c r="H1523" s="18">
        <v>1</v>
      </c>
      <c r="I1523" s="21" t="s">
        <v>733</v>
      </c>
      <c r="J1523" s="18">
        <v>1</v>
      </c>
      <c r="K1523" s="18">
        <v>589</v>
      </c>
      <c r="L1523" s="22"/>
      <c r="M1523" s="18"/>
    </row>
    <row r="1524" spans="1:13">
      <c r="A1524" s="18"/>
      <c r="B1524" s="18"/>
      <c r="C1524" s="18"/>
      <c r="D1524" s="18"/>
      <c r="E1524" s="20"/>
      <c r="F1524" s="20"/>
      <c r="G1524" s="18"/>
      <c r="H1524" s="18">
        <v>1</v>
      </c>
      <c r="I1524" s="21" t="s">
        <v>730</v>
      </c>
      <c r="J1524" s="18">
        <v>1</v>
      </c>
      <c r="K1524" s="18">
        <v>589</v>
      </c>
      <c r="L1524" s="22"/>
      <c r="M1524" s="18"/>
    </row>
    <row r="1525" spans="1:13">
      <c r="A1525" s="18"/>
      <c r="B1525" s="24"/>
      <c r="C1525" s="18"/>
      <c r="D1525" s="18"/>
      <c r="E1525" s="20"/>
      <c r="F1525" s="20"/>
      <c r="G1525" s="18"/>
      <c r="H1525" s="18">
        <v>1</v>
      </c>
      <c r="I1525" s="21" t="s">
        <v>734</v>
      </c>
      <c r="J1525" s="18">
        <v>1</v>
      </c>
      <c r="K1525" s="18">
        <v>589</v>
      </c>
      <c r="L1525" s="22"/>
      <c r="M1525" s="18"/>
    </row>
    <row r="1526" spans="1:13">
      <c r="A1526" s="18"/>
      <c r="B1526" s="18"/>
      <c r="C1526" s="18"/>
      <c r="D1526" s="18"/>
      <c r="E1526" s="20"/>
      <c r="F1526" s="20"/>
      <c r="G1526" s="18"/>
      <c r="H1526" s="18">
        <v>1</v>
      </c>
      <c r="I1526" s="21" t="s">
        <v>731</v>
      </c>
      <c r="J1526" s="18">
        <v>1</v>
      </c>
      <c r="K1526" s="18">
        <v>589</v>
      </c>
      <c r="L1526" s="22"/>
      <c r="M1526" s="18"/>
    </row>
    <row r="1527" spans="1:13">
      <c r="A1527" s="18"/>
      <c r="B1527" s="24"/>
      <c r="C1527" s="18"/>
      <c r="D1527" s="18"/>
      <c r="E1527" s="20"/>
      <c r="F1527" s="20"/>
      <c r="G1527" s="18"/>
      <c r="H1527" s="18">
        <v>1</v>
      </c>
      <c r="I1527" s="21" t="s">
        <v>732</v>
      </c>
      <c r="J1527" s="18">
        <v>1</v>
      </c>
      <c r="K1527" s="18">
        <v>589</v>
      </c>
      <c r="L1527" s="22"/>
      <c r="M1527" s="18"/>
    </row>
    <row r="1528" spans="1:13">
      <c r="A1528" s="18"/>
      <c r="B1528" s="19"/>
      <c r="C1528" s="18"/>
      <c r="D1528" s="18"/>
      <c r="E1528" s="20"/>
      <c r="F1528" s="20"/>
      <c r="G1528" s="18"/>
      <c r="H1528" s="18"/>
      <c r="I1528" s="21"/>
      <c r="J1528" s="18"/>
      <c r="K1528" s="18"/>
      <c r="L1528" s="22"/>
      <c r="M1528" s="18"/>
    </row>
    <row r="1529" spans="1:13">
      <c r="A1529" s="117" t="s">
        <v>4</v>
      </c>
      <c r="B1529" s="117"/>
      <c r="C1529" s="117"/>
      <c r="D1529" s="117"/>
      <c r="E1529" s="117"/>
      <c r="F1529" s="117"/>
      <c r="G1529" s="117"/>
      <c r="H1529" s="117"/>
      <c r="I1529" s="118" t="s">
        <v>8</v>
      </c>
      <c r="J1529" s="118"/>
      <c r="K1529" s="89" t="s">
        <v>70</v>
      </c>
      <c r="L1529" s="119"/>
      <c r="M1529" s="120"/>
    </row>
    <row r="1530" spans="1:13">
      <c r="A1530" s="117"/>
      <c r="B1530" s="117"/>
      <c r="C1530" s="117"/>
      <c r="D1530" s="117"/>
      <c r="E1530" s="117"/>
      <c r="F1530" s="117"/>
      <c r="G1530" s="117"/>
      <c r="H1530" s="117"/>
      <c r="I1530" s="118" t="s">
        <v>25</v>
      </c>
      <c r="J1530" s="118"/>
      <c r="K1530" s="121" t="s">
        <v>665</v>
      </c>
      <c r="L1530" s="118"/>
      <c r="M1530" s="118"/>
    </row>
    <row r="1531" spans="1:13">
      <c r="A1531" s="117"/>
      <c r="B1531" s="117"/>
      <c r="C1531" s="117"/>
      <c r="D1531" s="117"/>
      <c r="E1531" s="117"/>
      <c r="F1531" s="117"/>
      <c r="G1531" s="117"/>
      <c r="H1531" s="117"/>
      <c r="I1531" s="87" t="s">
        <v>26</v>
      </c>
      <c r="J1531" s="88"/>
      <c r="K1531" s="95" t="s">
        <v>530</v>
      </c>
      <c r="L1531" s="104"/>
      <c r="M1531" s="88"/>
    </row>
    <row r="1532" spans="1:13">
      <c r="A1532" s="118" t="s">
        <v>31</v>
      </c>
      <c r="B1532" s="118"/>
      <c r="C1532" s="118" t="s">
        <v>32</v>
      </c>
      <c r="D1532" s="118"/>
      <c r="E1532" s="118"/>
      <c r="F1532" s="118"/>
      <c r="G1532" s="118"/>
      <c r="H1532" s="118"/>
      <c r="I1532" s="40" t="s">
        <v>29</v>
      </c>
      <c r="J1532" s="41"/>
      <c r="K1532" s="118" t="s">
        <v>666</v>
      </c>
      <c r="L1532" s="118"/>
      <c r="M1532" s="118"/>
    </row>
    <row r="1533" spans="1:13">
      <c r="A1533" s="118"/>
      <c r="B1533" s="118"/>
      <c r="C1533" s="118"/>
      <c r="D1533" s="118"/>
      <c r="E1533" s="118"/>
      <c r="F1533" s="118"/>
      <c r="G1533" s="118"/>
      <c r="H1533" s="118"/>
      <c r="I1533" s="118" t="s">
        <v>30</v>
      </c>
      <c r="J1533" s="118"/>
      <c r="K1533" s="118" t="s">
        <v>729</v>
      </c>
      <c r="L1533" s="118"/>
      <c r="M1533" s="118"/>
    </row>
    <row r="1534" spans="1:13">
      <c r="A1534" s="122" t="s">
        <v>24</v>
      </c>
      <c r="B1534" s="122"/>
      <c r="C1534" s="122"/>
      <c r="D1534" s="42">
        <v>6</v>
      </c>
      <c r="E1534" s="117" t="s">
        <v>40</v>
      </c>
      <c r="F1534" s="117"/>
      <c r="G1534" s="117"/>
      <c r="H1534" s="42">
        <v>13</v>
      </c>
      <c r="I1534" s="118" t="s">
        <v>27</v>
      </c>
      <c r="J1534" s="118"/>
      <c r="K1534" s="118" t="s">
        <v>21</v>
      </c>
      <c r="L1534" s="118"/>
      <c r="M1534" s="118"/>
    </row>
    <row r="1535" spans="1:13" ht="45">
      <c r="A1535" s="3" t="s">
        <v>9</v>
      </c>
      <c r="B1535" s="3" t="s">
        <v>10</v>
      </c>
      <c r="C1535" s="3" t="s">
        <v>11</v>
      </c>
      <c r="D1535" s="3" t="s">
        <v>3</v>
      </c>
      <c r="E1535" s="4" t="s">
        <v>41</v>
      </c>
      <c r="F1535" s="4" t="s">
        <v>12</v>
      </c>
      <c r="G1535" s="3" t="s">
        <v>13</v>
      </c>
      <c r="H1535" s="3" t="s">
        <v>14</v>
      </c>
      <c r="I1535" s="3" t="s">
        <v>15</v>
      </c>
      <c r="J1535" s="3" t="s">
        <v>16</v>
      </c>
      <c r="K1535" s="3" t="s">
        <v>17</v>
      </c>
      <c r="L1535" s="3" t="s">
        <v>18</v>
      </c>
      <c r="M1535" s="3" t="s">
        <v>19</v>
      </c>
    </row>
    <row r="1536" spans="1:13">
      <c r="A1536" s="18">
        <v>1</v>
      </c>
      <c r="B1536" s="19">
        <v>0</v>
      </c>
      <c r="C1536" s="18"/>
      <c r="D1536" s="18">
        <v>1</v>
      </c>
      <c r="E1536" s="20">
        <v>11500</v>
      </c>
      <c r="F1536" s="20">
        <v>5</v>
      </c>
      <c r="G1536" s="18"/>
      <c r="H1536" s="18">
        <v>1</v>
      </c>
      <c r="I1536" s="21" t="s">
        <v>716</v>
      </c>
      <c r="J1536" s="18">
        <v>1</v>
      </c>
      <c r="K1536" s="18">
        <v>7989</v>
      </c>
      <c r="L1536" s="22"/>
      <c r="M1536" s="18"/>
    </row>
    <row r="1537" spans="1:13">
      <c r="A1537" s="18"/>
      <c r="B1537" s="18"/>
      <c r="C1537" s="18"/>
      <c r="D1537" s="18"/>
      <c r="E1537" s="20"/>
      <c r="F1537" s="20"/>
      <c r="G1537" s="18"/>
      <c r="H1537" s="18">
        <v>1</v>
      </c>
      <c r="I1537" s="21" t="s">
        <v>723</v>
      </c>
      <c r="J1537" s="18">
        <v>1</v>
      </c>
      <c r="K1537" s="18">
        <v>1989</v>
      </c>
      <c r="L1537" s="22"/>
      <c r="M1537" s="18"/>
    </row>
    <row r="1538" spans="1:13">
      <c r="A1538" s="18"/>
      <c r="B1538" s="18"/>
      <c r="C1538" s="18"/>
      <c r="D1538" s="18"/>
      <c r="E1538" s="20"/>
      <c r="F1538" s="20"/>
      <c r="G1538" s="18"/>
      <c r="H1538" s="18">
        <v>1</v>
      </c>
      <c r="I1538" s="21" t="s">
        <v>724</v>
      </c>
      <c r="J1538" s="18">
        <v>1</v>
      </c>
      <c r="K1538" s="18">
        <v>1439</v>
      </c>
      <c r="L1538" s="22"/>
      <c r="M1538" s="18"/>
    </row>
    <row r="1539" spans="1:13">
      <c r="A1539" s="18">
        <v>2</v>
      </c>
      <c r="B1539" s="24">
        <v>0</v>
      </c>
      <c r="C1539" s="18"/>
      <c r="D1539" s="18">
        <v>1</v>
      </c>
      <c r="E1539" s="20">
        <v>11500</v>
      </c>
      <c r="F1539" s="20">
        <v>191</v>
      </c>
      <c r="G1539" s="18"/>
      <c r="H1539" s="18">
        <v>1</v>
      </c>
      <c r="I1539" s="21" t="s">
        <v>728</v>
      </c>
      <c r="J1539" s="18">
        <v>1</v>
      </c>
      <c r="K1539" s="18">
        <v>7029</v>
      </c>
      <c r="L1539" s="22"/>
      <c r="M1539" s="18"/>
    </row>
    <row r="1540" spans="1:13">
      <c r="A1540" s="18"/>
      <c r="B1540" s="18"/>
      <c r="C1540" s="18"/>
      <c r="D1540" s="18"/>
      <c r="E1540" s="20"/>
      <c r="F1540" s="20"/>
      <c r="G1540" s="18"/>
      <c r="H1540" s="18">
        <v>1</v>
      </c>
      <c r="I1540" s="21" t="s">
        <v>720</v>
      </c>
      <c r="J1540" s="18">
        <v>1</v>
      </c>
      <c r="K1540" s="18">
        <v>1539</v>
      </c>
      <c r="L1540" s="22"/>
      <c r="M1540" s="18"/>
    </row>
    <row r="1541" spans="1:13">
      <c r="A1541" s="18"/>
      <c r="B1541" s="24"/>
      <c r="C1541" s="18"/>
      <c r="D1541" s="18"/>
      <c r="E1541" s="20"/>
      <c r="F1541" s="20"/>
      <c r="G1541" s="18"/>
      <c r="H1541" s="18">
        <v>1</v>
      </c>
      <c r="I1541" s="21" t="s">
        <v>717</v>
      </c>
      <c r="J1541" s="18">
        <v>1</v>
      </c>
      <c r="K1541" s="18">
        <v>1068</v>
      </c>
      <c r="L1541" s="22"/>
      <c r="M1541" s="18"/>
    </row>
    <row r="1542" spans="1:13">
      <c r="A1542" s="18"/>
      <c r="B1542" s="19"/>
      <c r="C1542" s="18"/>
      <c r="D1542" s="18"/>
      <c r="E1542" s="20"/>
      <c r="F1542" s="20"/>
      <c r="G1542" s="18"/>
      <c r="H1542" s="18">
        <v>1</v>
      </c>
      <c r="I1542" s="21" t="s">
        <v>719</v>
      </c>
      <c r="J1542" s="18">
        <v>1</v>
      </c>
      <c r="K1542" s="18">
        <v>639</v>
      </c>
      <c r="L1542" s="22"/>
      <c r="M1542" s="18"/>
    </row>
    <row r="1543" spans="1:13">
      <c r="A1543" s="18"/>
      <c r="B1543" s="18"/>
      <c r="C1543" s="18"/>
      <c r="D1543" s="18"/>
      <c r="E1543" s="20"/>
      <c r="F1543" s="20"/>
      <c r="G1543" s="18"/>
      <c r="H1543" s="18">
        <v>1</v>
      </c>
      <c r="I1543" s="21" t="s">
        <v>722</v>
      </c>
      <c r="J1543" s="18">
        <v>1</v>
      </c>
      <c r="K1543" s="18">
        <v>539</v>
      </c>
      <c r="L1543" s="22"/>
      <c r="M1543" s="18"/>
    </row>
    <row r="1544" spans="1:13">
      <c r="A1544" s="18"/>
      <c r="B1544" s="18"/>
      <c r="C1544" s="18"/>
      <c r="D1544" s="18"/>
      <c r="E1544" s="20"/>
      <c r="F1544" s="20"/>
      <c r="G1544" s="18"/>
      <c r="H1544" s="18">
        <v>1</v>
      </c>
      <c r="I1544" s="21" t="s">
        <v>725</v>
      </c>
      <c r="J1544" s="18">
        <v>1</v>
      </c>
      <c r="K1544" s="18">
        <v>339</v>
      </c>
      <c r="L1544" s="22"/>
      <c r="M1544" s="18"/>
    </row>
    <row r="1545" spans="1:13">
      <c r="A1545" s="18">
        <v>3</v>
      </c>
      <c r="B1545" s="18">
        <v>0</v>
      </c>
      <c r="C1545" s="18"/>
      <c r="D1545" s="18">
        <v>1</v>
      </c>
      <c r="E1545" s="20">
        <v>11500</v>
      </c>
      <c r="F1545" s="20"/>
      <c r="G1545" s="18"/>
      <c r="H1545" s="18">
        <v>1</v>
      </c>
      <c r="I1545" s="21" t="s">
        <v>718</v>
      </c>
      <c r="J1545" s="18">
        <v>1</v>
      </c>
      <c r="K1545" s="18">
        <v>11496</v>
      </c>
      <c r="L1545" s="22"/>
      <c r="M1545" s="18"/>
    </row>
    <row r="1546" spans="1:13">
      <c r="A1546" s="18">
        <v>4</v>
      </c>
      <c r="B1546" s="18">
        <v>0</v>
      </c>
      <c r="C1546" s="18"/>
      <c r="D1546" s="18">
        <v>1</v>
      </c>
      <c r="E1546" s="20">
        <v>11500</v>
      </c>
      <c r="F1546" s="20"/>
      <c r="G1546" s="18"/>
      <c r="H1546" s="18">
        <v>1</v>
      </c>
      <c r="I1546" s="21" t="s">
        <v>721</v>
      </c>
      <c r="J1546" s="18">
        <v>1</v>
      </c>
      <c r="K1546" s="18">
        <v>11496</v>
      </c>
      <c r="L1546" s="22"/>
      <c r="M1546" s="18"/>
    </row>
    <row r="1547" spans="1:13">
      <c r="A1547" s="18">
        <v>5</v>
      </c>
      <c r="B1547" s="18">
        <v>0</v>
      </c>
      <c r="C1547" s="18"/>
      <c r="D1547" s="18">
        <v>1</v>
      </c>
      <c r="E1547" s="20">
        <v>11500</v>
      </c>
      <c r="F1547" s="20"/>
      <c r="G1547" s="18"/>
      <c r="H1547" s="18">
        <v>1</v>
      </c>
      <c r="I1547" s="21" t="s">
        <v>726</v>
      </c>
      <c r="J1547" s="18">
        <v>1</v>
      </c>
      <c r="K1547" s="18">
        <v>11496</v>
      </c>
      <c r="L1547" s="22"/>
      <c r="M1547" s="18"/>
    </row>
    <row r="1548" spans="1:13">
      <c r="A1548" s="18">
        <v>6</v>
      </c>
      <c r="B1548" s="18">
        <v>0</v>
      </c>
      <c r="C1548" s="18"/>
      <c r="D1548" s="18">
        <v>1</v>
      </c>
      <c r="E1548" s="20">
        <v>11500</v>
      </c>
      <c r="F1548" s="20"/>
      <c r="G1548" s="18"/>
      <c r="H1548" s="18">
        <v>1</v>
      </c>
      <c r="I1548" s="21" t="s">
        <v>727</v>
      </c>
      <c r="J1548" s="18">
        <v>1</v>
      </c>
      <c r="K1548" s="18">
        <v>11496</v>
      </c>
      <c r="L1548" s="22"/>
      <c r="M1548" s="18"/>
    </row>
    <row r="1549" spans="1:13">
      <c r="A1549" s="18"/>
      <c r="B1549" s="18"/>
      <c r="C1549" s="18"/>
      <c r="D1549" s="18"/>
      <c r="E1549" s="20"/>
      <c r="F1549" s="20"/>
      <c r="G1549" s="18"/>
      <c r="H1549" s="18"/>
      <c r="I1549" s="21"/>
      <c r="J1549" s="18"/>
      <c r="K1549" s="18"/>
      <c r="L1549" s="22"/>
      <c r="M1549" s="18"/>
    </row>
    <row r="1550" spans="1:13">
      <c r="A1550" s="117" t="s">
        <v>4</v>
      </c>
      <c r="B1550" s="117"/>
      <c r="C1550" s="117"/>
      <c r="D1550" s="117"/>
      <c r="E1550" s="117"/>
      <c r="F1550" s="117"/>
      <c r="G1550" s="117"/>
      <c r="H1550" s="117"/>
      <c r="I1550" s="118" t="s">
        <v>8</v>
      </c>
      <c r="J1550" s="118"/>
      <c r="K1550" s="89" t="s">
        <v>70</v>
      </c>
      <c r="L1550" s="119"/>
      <c r="M1550" s="120"/>
    </row>
    <row r="1551" spans="1:13">
      <c r="A1551" s="117"/>
      <c r="B1551" s="117"/>
      <c r="C1551" s="117"/>
      <c r="D1551" s="117"/>
      <c r="E1551" s="117"/>
      <c r="F1551" s="117"/>
      <c r="G1551" s="117"/>
      <c r="H1551" s="117"/>
      <c r="I1551" s="118" t="s">
        <v>25</v>
      </c>
      <c r="J1551" s="118"/>
      <c r="K1551" s="121" t="s">
        <v>665</v>
      </c>
      <c r="L1551" s="118"/>
      <c r="M1551" s="118"/>
    </row>
    <row r="1552" spans="1:13">
      <c r="A1552" s="117"/>
      <c r="B1552" s="117"/>
      <c r="C1552" s="117"/>
      <c r="D1552" s="117"/>
      <c r="E1552" s="117"/>
      <c r="F1552" s="117"/>
      <c r="G1552" s="117"/>
      <c r="H1552" s="117"/>
      <c r="I1552" s="87" t="s">
        <v>26</v>
      </c>
      <c r="J1552" s="88"/>
      <c r="K1552" s="95" t="s">
        <v>47</v>
      </c>
      <c r="L1552" s="104"/>
      <c r="M1552" s="88"/>
    </row>
    <row r="1553" spans="1:13">
      <c r="A1553" s="118" t="s">
        <v>31</v>
      </c>
      <c r="B1553" s="118"/>
      <c r="C1553" s="118" t="s">
        <v>32</v>
      </c>
      <c r="D1553" s="118"/>
      <c r="E1553" s="118"/>
      <c r="F1553" s="118"/>
      <c r="G1553" s="118"/>
      <c r="H1553" s="118"/>
      <c r="I1553" s="40" t="s">
        <v>29</v>
      </c>
      <c r="J1553" s="41"/>
      <c r="K1553" s="118" t="s">
        <v>666</v>
      </c>
      <c r="L1553" s="118"/>
      <c r="M1553" s="118"/>
    </row>
    <row r="1554" spans="1:13">
      <c r="A1554" s="118"/>
      <c r="B1554" s="118"/>
      <c r="C1554" s="118"/>
      <c r="D1554" s="118"/>
      <c r="E1554" s="118"/>
      <c r="F1554" s="118"/>
      <c r="G1554" s="118"/>
      <c r="H1554" s="118"/>
      <c r="I1554" s="118" t="s">
        <v>30</v>
      </c>
      <c r="J1554" s="118"/>
      <c r="K1554" s="118" t="s">
        <v>715</v>
      </c>
      <c r="L1554" s="118"/>
      <c r="M1554" s="118"/>
    </row>
    <row r="1555" spans="1:13">
      <c r="A1555" s="122" t="s">
        <v>24</v>
      </c>
      <c r="B1555" s="122"/>
      <c r="C1555" s="122"/>
      <c r="D1555" s="42">
        <v>6</v>
      </c>
      <c r="E1555" s="117" t="s">
        <v>40</v>
      </c>
      <c r="F1555" s="117"/>
      <c r="G1555" s="117"/>
      <c r="H1555" s="42">
        <v>16</v>
      </c>
      <c r="I1555" s="118" t="s">
        <v>27</v>
      </c>
      <c r="J1555" s="118"/>
      <c r="K1555" s="118" t="s">
        <v>21</v>
      </c>
      <c r="L1555" s="118"/>
      <c r="M1555" s="118"/>
    </row>
    <row r="1556" spans="1:13" ht="45">
      <c r="A1556" s="3" t="s">
        <v>9</v>
      </c>
      <c r="B1556" s="3" t="s">
        <v>10</v>
      </c>
      <c r="C1556" s="3" t="s">
        <v>11</v>
      </c>
      <c r="D1556" s="3" t="s">
        <v>3</v>
      </c>
      <c r="E1556" s="4" t="s">
        <v>41</v>
      </c>
      <c r="F1556" s="4" t="s">
        <v>12</v>
      </c>
      <c r="G1556" s="3" t="s">
        <v>13</v>
      </c>
      <c r="H1556" s="3" t="s">
        <v>14</v>
      </c>
      <c r="I1556" s="3" t="s">
        <v>15</v>
      </c>
      <c r="J1556" s="3" t="s">
        <v>16</v>
      </c>
      <c r="K1556" s="3" t="s">
        <v>17</v>
      </c>
      <c r="L1556" s="3" t="s">
        <v>18</v>
      </c>
      <c r="M1556" s="3" t="s">
        <v>19</v>
      </c>
    </row>
    <row r="1557" spans="1:13">
      <c r="A1557" s="18">
        <v>1</v>
      </c>
      <c r="B1557" s="19">
        <v>0</v>
      </c>
      <c r="C1557" s="18"/>
      <c r="D1557" s="18">
        <v>1</v>
      </c>
      <c r="E1557" s="20">
        <v>11500</v>
      </c>
      <c r="F1557" s="20">
        <v>225</v>
      </c>
      <c r="G1557" s="18"/>
      <c r="H1557" s="18">
        <v>1</v>
      </c>
      <c r="I1557" s="21" t="s">
        <v>708</v>
      </c>
      <c r="J1557" s="18">
        <v>1</v>
      </c>
      <c r="K1557" s="18">
        <v>5586</v>
      </c>
      <c r="L1557" s="22"/>
      <c r="M1557" s="18"/>
    </row>
    <row r="1558" spans="1:13">
      <c r="A1558" s="18"/>
      <c r="B1558" s="18"/>
      <c r="C1558" s="18"/>
      <c r="D1558" s="18"/>
      <c r="E1558" s="20"/>
      <c r="F1558" s="20"/>
      <c r="G1558" s="18"/>
      <c r="H1558" s="18">
        <v>1</v>
      </c>
      <c r="I1558" s="21" t="s">
        <v>713</v>
      </c>
      <c r="J1558" s="18">
        <v>1</v>
      </c>
      <c r="K1558" s="18">
        <v>5336</v>
      </c>
      <c r="L1558" s="22"/>
      <c r="M1558" s="18"/>
    </row>
    <row r="1559" spans="1:13">
      <c r="A1559" s="18"/>
      <c r="B1559" s="18"/>
      <c r="C1559" s="18"/>
      <c r="D1559" s="18"/>
      <c r="E1559" s="20"/>
      <c r="F1559" s="20"/>
      <c r="G1559" s="18"/>
      <c r="H1559" s="18">
        <v>1</v>
      </c>
      <c r="I1559" s="21" t="s">
        <v>705</v>
      </c>
      <c r="J1559" s="18">
        <v>1</v>
      </c>
      <c r="K1559" s="18">
        <v>275</v>
      </c>
      <c r="L1559" s="22"/>
      <c r="M1559" s="18"/>
    </row>
    <row r="1560" spans="1:13">
      <c r="A1560" s="18">
        <v>2</v>
      </c>
      <c r="B1560" s="24">
        <v>0</v>
      </c>
      <c r="C1560" s="18"/>
      <c r="D1560" s="18">
        <v>1</v>
      </c>
      <c r="E1560" s="20">
        <v>11500</v>
      </c>
      <c r="F1560" s="20">
        <v>187</v>
      </c>
      <c r="G1560" s="18"/>
      <c r="H1560" s="18">
        <v>1</v>
      </c>
      <c r="I1560" s="21" t="s">
        <v>700</v>
      </c>
      <c r="J1560" s="18">
        <v>1</v>
      </c>
      <c r="K1560" s="18">
        <v>5336</v>
      </c>
      <c r="L1560" s="22"/>
      <c r="M1560" s="18"/>
    </row>
    <row r="1561" spans="1:13">
      <c r="A1561" s="18"/>
      <c r="B1561" s="18"/>
      <c r="C1561" s="18"/>
      <c r="D1561" s="18"/>
      <c r="E1561" s="20"/>
      <c r="F1561" s="20"/>
      <c r="G1561" s="18"/>
      <c r="H1561" s="18">
        <v>1</v>
      </c>
      <c r="I1561" s="21" t="s">
        <v>707</v>
      </c>
      <c r="J1561" s="18">
        <v>1</v>
      </c>
      <c r="K1561" s="18">
        <v>3013</v>
      </c>
      <c r="L1561" s="22"/>
      <c r="M1561" s="18"/>
    </row>
    <row r="1562" spans="1:13">
      <c r="A1562" s="18"/>
      <c r="B1562" s="24"/>
      <c r="C1562" s="18"/>
      <c r="D1562" s="18"/>
      <c r="E1562" s="20"/>
      <c r="F1562" s="20"/>
      <c r="G1562" s="18"/>
      <c r="H1562" s="18">
        <v>1</v>
      </c>
      <c r="I1562" s="21" t="s">
        <v>711</v>
      </c>
      <c r="J1562" s="18">
        <v>1</v>
      </c>
      <c r="K1562" s="18">
        <v>2886</v>
      </c>
      <c r="L1562" s="22"/>
      <c r="M1562" s="18"/>
    </row>
    <row r="1563" spans="1:13">
      <c r="A1563" s="18">
        <v>3</v>
      </c>
      <c r="B1563" s="19">
        <v>0</v>
      </c>
      <c r="C1563" s="18"/>
      <c r="D1563" s="18">
        <v>1</v>
      </c>
      <c r="E1563" s="20">
        <v>11500</v>
      </c>
      <c r="F1563" s="20">
        <v>3535</v>
      </c>
      <c r="G1563" s="18"/>
      <c r="H1563" s="18">
        <v>1</v>
      </c>
      <c r="I1563" s="21" t="s">
        <v>701</v>
      </c>
      <c r="J1563" s="18">
        <v>1</v>
      </c>
      <c r="K1563" s="18">
        <v>2886</v>
      </c>
      <c r="L1563" s="22"/>
      <c r="M1563" s="18"/>
    </row>
    <row r="1564" spans="1:13">
      <c r="A1564" s="18"/>
      <c r="B1564" s="18"/>
      <c r="C1564" s="18"/>
      <c r="D1564" s="18"/>
      <c r="E1564" s="20"/>
      <c r="F1564" s="20"/>
      <c r="G1564" s="18"/>
      <c r="H1564" s="18">
        <v>1</v>
      </c>
      <c r="I1564" s="21" t="s">
        <v>706</v>
      </c>
      <c r="J1564" s="18">
        <v>1</v>
      </c>
      <c r="K1564" s="18">
        <v>1507</v>
      </c>
      <c r="L1564" s="22"/>
      <c r="M1564" s="18"/>
    </row>
    <row r="1565" spans="1:13">
      <c r="A1565" s="18"/>
      <c r="B1565" s="18"/>
      <c r="C1565" s="18"/>
      <c r="D1565" s="18"/>
      <c r="E1565" s="20"/>
      <c r="F1565" s="20"/>
      <c r="G1565" s="18"/>
      <c r="H1565" s="18">
        <v>1</v>
      </c>
      <c r="I1565" s="21" t="s">
        <v>704</v>
      </c>
      <c r="J1565" s="18">
        <v>1</v>
      </c>
      <c r="K1565" s="18">
        <v>1380</v>
      </c>
      <c r="L1565" s="22"/>
      <c r="M1565" s="18"/>
    </row>
    <row r="1566" spans="1:13">
      <c r="A1566" s="18"/>
      <c r="B1566" s="18"/>
      <c r="C1566" s="18"/>
      <c r="D1566" s="18"/>
      <c r="E1566" s="20"/>
      <c r="F1566" s="20"/>
      <c r="G1566" s="18"/>
      <c r="H1566" s="18">
        <v>1</v>
      </c>
      <c r="I1566" s="21" t="s">
        <v>702</v>
      </c>
      <c r="J1566" s="18">
        <v>1</v>
      </c>
      <c r="K1566" s="18">
        <v>736</v>
      </c>
      <c r="L1566" s="22"/>
      <c r="M1566" s="18"/>
    </row>
    <row r="1567" spans="1:13">
      <c r="A1567" s="18"/>
      <c r="B1567" s="18"/>
      <c r="C1567" s="18"/>
      <c r="D1567" s="18"/>
      <c r="E1567" s="20"/>
      <c r="F1567" s="20"/>
      <c r="G1567" s="18"/>
      <c r="H1567" s="18">
        <v>1</v>
      </c>
      <c r="I1567" s="21" t="s">
        <v>712</v>
      </c>
      <c r="J1567" s="18">
        <v>1</v>
      </c>
      <c r="K1567" s="18">
        <v>736</v>
      </c>
      <c r="L1567" s="22"/>
      <c r="M1567" s="18"/>
    </row>
    <row r="1568" spans="1:13">
      <c r="A1568" s="18"/>
      <c r="B1568" s="18"/>
      <c r="C1568" s="18"/>
      <c r="D1568" s="18"/>
      <c r="E1568" s="20"/>
      <c r="F1568" s="20"/>
      <c r="G1568" s="18"/>
      <c r="H1568" s="18">
        <v>1</v>
      </c>
      <c r="I1568" s="21" t="s">
        <v>703</v>
      </c>
      <c r="J1568" s="18">
        <v>1</v>
      </c>
      <c r="K1568" s="18">
        <v>275</v>
      </c>
      <c r="L1568" s="22"/>
      <c r="M1568" s="18"/>
    </row>
    <row r="1569" spans="1:13">
      <c r="A1569" s="18"/>
      <c r="B1569" s="18"/>
      <c r="C1569" s="18"/>
      <c r="D1569" s="18"/>
      <c r="E1569" s="20"/>
      <c r="F1569" s="20"/>
      <c r="G1569" s="18"/>
      <c r="H1569" s="18">
        <v>1</v>
      </c>
      <c r="I1569" s="21" t="s">
        <v>714</v>
      </c>
      <c r="J1569" s="18">
        <v>1</v>
      </c>
      <c r="K1569" s="18">
        <v>263</v>
      </c>
      <c r="L1569" s="22"/>
      <c r="M1569" s="18"/>
    </row>
    <row r="1570" spans="1:13">
      <c r="A1570" s="18">
        <v>4</v>
      </c>
      <c r="B1570" s="18">
        <v>0</v>
      </c>
      <c r="C1570" s="18"/>
      <c r="D1570" s="18">
        <v>1</v>
      </c>
      <c r="E1570" s="20">
        <v>11500</v>
      </c>
      <c r="F1570" s="20"/>
      <c r="G1570" s="18"/>
      <c r="H1570" s="18">
        <v>1</v>
      </c>
      <c r="I1570" s="21" t="s">
        <v>709</v>
      </c>
      <c r="J1570" s="18">
        <v>1</v>
      </c>
      <c r="K1570" s="18">
        <v>11496</v>
      </c>
      <c r="L1570" s="22"/>
      <c r="M1570" s="18"/>
    </row>
    <row r="1571" spans="1:13">
      <c r="A1571" s="18">
        <v>5</v>
      </c>
      <c r="B1571" s="18">
        <v>0</v>
      </c>
      <c r="C1571" s="18"/>
      <c r="D1571" s="18">
        <v>1</v>
      </c>
      <c r="E1571" s="20">
        <v>11500</v>
      </c>
      <c r="F1571" s="20"/>
      <c r="G1571" s="18"/>
      <c r="H1571" s="18">
        <v>1</v>
      </c>
      <c r="I1571" s="58" t="s">
        <v>695</v>
      </c>
      <c r="J1571" s="18">
        <v>1</v>
      </c>
      <c r="K1571" s="18">
        <v>11496</v>
      </c>
      <c r="L1571" s="140" t="s">
        <v>768</v>
      </c>
      <c r="M1571" s="141"/>
    </row>
    <row r="1572" spans="1:13">
      <c r="A1572" s="5">
        <v>6</v>
      </c>
      <c r="B1572" s="5">
        <v>0</v>
      </c>
      <c r="C1572" s="5"/>
      <c r="D1572" s="5">
        <v>1</v>
      </c>
      <c r="E1572" s="6">
        <v>11500</v>
      </c>
      <c r="F1572" s="6"/>
      <c r="G1572" s="5"/>
      <c r="H1572" s="5">
        <v>1</v>
      </c>
      <c r="I1572" s="7" t="s">
        <v>710</v>
      </c>
      <c r="J1572" s="5">
        <v>1</v>
      </c>
      <c r="K1572" s="5">
        <v>11496</v>
      </c>
      <c r="L1572" s="144"/>
      <c r="M1572" s="145"/>
    </row>
    <row r="1573" spans="1:13">
      <c r="A1573" s="5"/>
      <c r="B1573" s="5"/>
      <c r="C1573" s="5"/>
      <c r="D1573" s="5"/>
      <c r="E1573" s="6"/>
      <c r="F1573" s="6"/>
      <c r="G1573" s="5"/>
      <c r="H1573" s="5"/>
      <c r="I1573" s="7"/>
      <c r="J1573" s="5"/>
      <c r="K1573" s="5"/>
      <c r="L1573" s="8"/>
      <c r="M1573" s="18"/>
    </row>
    <row r="1574" spans="1:13">
      <c r="A1574" s="117" t="s">
        <v>4</v>
      </c>
      <c r="B1574" s="117"/>
      <c r="C1574" s="117"/>
      <c r="D1574" s="117"/>
      <c r="E1574" s="117"/>
      <c r="F1574" s="117"/>
      <c r="G1574" s="117"/>
      <c r="H1574" s="117"/>
      <c r="I1574" s="118" t="s">
        <v>8</v>
      </c>
      <c r="J1574" s="118"/>
      <c r="K1574" s="89" t="s">
        <v>70</v>
      </c>
      <c r="L1574" s="119"/>
      <c r="M1574" s="120"/>
    </row>
    <row r="1575" spans="1:13">
      <c r="A1575" s="117"/>
      <c r="B1575" s="117"/>
      <c r="C1575" s="117"/>
      <c r="D1575" s="117"/>
      <c r="E1575" s="117"/>
      <c r="F1575" s="117"/>
      <c r="G1575" s="117"/>
      <c r="H1575" s="117"/>
      <c r="I1575" s="118" t="s">
        <v>25</v>
      </c>
      <c r="J1575" s="118"/>
      <c r="K1575" s="121" t="s">
        <v>665</v>
      </c>
      <c r="L1575" s="118"/>
      <c r="M1575" s="118"/>
    </row>
    <row r="1576" spans="1:13">
      <c r="A1576" s="117"/>
      <c r="B1576" s="117"/>
      <c r="C1576" s="117"/>
      <c r="D1576" s="117"/>
      <c r="E1576" s="117"/>
      <c r="F1576" s="117"/>
      <c r="G1576" s="117"/>
      <c r="H1576" s="117"/>
      <c r="I1576" s="87" t="s">
        <v>26</v>
      </c>
      <c r="J1576" s="88"/>
      <c r="K1576" s="95" t="s">
        <v>43</v>
      </c>
      <c r="L1576" s="104"/>
      <c r="M1576" s="88"/>
    </row>
    <row r="1577" spans="1:13">
      <c r="A1577" s="118" t="s">
        <v>31</v>
      </c>
      <c r="B1577" s="118"/>
      <c r="C1577" s="118" t="s">
        <v>32</v>
      </c>
      <c r="D1577" s="118"/>
      <c r="E1577" s="118"/>
      <c r="F1577" s="118"/>
      <c r="G1577" s="118"/>
      <c r="H1577" s="118"/>
      <c r="I1577" s="40" t="s">
        <v>29</v>
      </c>
      <c r="J1577" s="41"/>
      <c r="K1577" s="118" t="s">
        <v>666</v>
      </c>
      <c r="L1577" s="118"/>
      <c r="M1577" s="118"/>
    </row>
    <row r="1578" spans="1:13">
      <c r="A1578" s="118"/>
      <c r="B1578" s="118"/>
      <c r="C1578" s="118"/>
      <c r="D1578" s="118"/>
      <c r="E1578" s="118"/>
      <c r="F1578" s="118"/>
      <c r="G1578" s="118"/>
      <c r="H1578" s="118"/>
      <c r="I1578" s="118" t="s">
        <v>30</v>
      </c>
      <c r="J1578" s="118"/>
      <c r="K1578" s="118" t="s">
        <v>699</v>
      </c>
      <c r="L1578" s="118"/>
      <c r="M1578" s="118"/>
    </row>
    <row r="1579" spans="1:13">
      <c r="A1579" s="122" t="s">
        <v>24</v>
      </c>
      <c r="B1579" s="122"/>
      <c r="C1579" s="122"/>
      <c r="D1579" s="42">
        <v>15</v>
      </c>
      <c r="E1579" s="117" t="s">
        <v>40</v>
      </c>
      <c r="F1579" s="117"/>
      <c r="G1579" s="117"/>
      <c r="H1579" s="42">
        <v>22</v>
      </c>
      <c r="I1579" s="118" t="s">
        <v>27</v>
      </c>
      <c r="J1579" s="118"/>
      <c r="K1579" s="118" t="s">
        <v>21</v>
      </c>
      <c r="L1579" s="118"/>
      <c r="M1579" s="118"/>
    </row>
    <row r="1580" spans="1:13" ht="45">
      <c r="A1580" s="3" t="s">
        <v>9</v>
      </c>
      <c r="B1580" s="3" t="s">
        <v>10</v>
      </c>
      <c r="C1580" s="3" t="s">
        <v>11</v>
      </c>
      <c r="D1580" s="3" t="s">
        <v>3</v>
      </c>
      <c r="E1580" s="4" t="s">
        <v>41</v>
      </c>
      <c r="F1580" s="4" t="s">
        <v>12</v>
      </c>
      <c r="G1580" s="3" t="s">
        <v>13</v>
      </c>
      <c r="H1580" s="3" t="s">
        <v>14</v>
      </c>
      <c r="I1580" s="3" t="s">
        <v>15</v>
      </c>
      <c r="J1580" s="3" t="s">
        <v>16</v>
      </c>
      <c r="K1580" s="3" t="s">
        <v>17</v>
      </c>
      <c r="L1580" s="3" t="s">
        <v>18</v>
      </c>
      <c r="M1580" s="3" t="s">
        <v>19</v>
      </c>
    </row>
    <row r="1581" spans="1:13">
      <c r="A1581" s="18">
        <v>1</v>
      </c>
      <c r="B1581" s="19">
        <v>0</v>
      </c>
      <c r="C1581" s="18"/>
      <c r="D1581" s="18">
        <v>1</v>
      </c>
      <c r="E1581" s="20">
        <v>11500</v>
      </c>
      <c r="F1581" s="20">
        <v>500</v>
      </c>
      <c r="G1581" s="18"/>
      <c r="H1581" s="18">
        <v>1</v>
      </c>
      <c r="I1581" s="21" t="s">
        <v>690</v>
      </c>
      <c r="J1581" s="18">
        <v>1</v>
      </c>
      <c r="K1581" s="18">
        <v>7655</v>
      </c>
      <c r="L1581" s="22"/>
      <c r="M1581" s="18"/>
    </row>
    <row r="1582" spans="1:13">
      <c r="A1582" s="18"/>
      <c r="B1582" s="18"/>
      <c r="C1582" s="18"/>
      <c r="D1582" s="18"/>
      <c r="E1582" s="20"/>
      <c r="F1582" s="20"/>
      <c r="G1582" s="18"/>
      <c r="H1582" s="18">
        <v>1</v>
      </c>
      <c r="I1582" s="21" t="s">
        <v>679</v>
      </c>
      <c r="J1582" s="18">
        <v>1</v>
      </c>
      <c r="K1582" s="18">
        <v>2465</v>
      </c>
      <c r="L1582" s="22"/>
      <c r="M1582" s="18"/>
    </row>
    <row r="1583" spans="1:13">
      <c r="A1583" s="18"/>
      <c r="B1583" s="18"/>
      <c r="C1583" s="18"/>
      <c r="D1583" s="18"/>
      <c r="E1583" s="20"/>
      <c r="F1583" s="20"/>
      <c r="G1583" s="18"/>
      <c r="H1583" s="18">
        <v>1</v>
      </c>
      <c r="I1583" s="58" t="s">
        <v>695</v>
      </c>
      <c r="J1583" s="18">
        <v>1</v>
      </c>
      <c r="K1583" s="18">
        <v>802</v>
      </c>
      <c r="L1583" s="140" t="s">
        <v>767</v>
      </c>
      <c r="M1583" s="141"/>
    </row>
    <row r="1584" spans="1:13">
      <c r="A1584" s="18">
        <v>2</v>
      </c>
      <c r="B1584" s="24">
        <v>0</v>
      </c>
      <c r="C1584" s="18"/>
      <c r="D1584" s="18">
        <v>1</v>
      </c>
      <c r="E1584" s="20">
        <v>11500</v>
      </c>
      <c r="F1584" s="20">
        <v>12</v>
      </c>
      <c r="G1584" s="18"/>
      <c r="H1584" s="18">
        <v>1</v>
      </c>
      <c r="I1584" s="21" t="s">
        <v>686</v>
      </c>
      <c r="J1584" s="18">
        <v>1</v>
      </c>
      <c r="K1584" s="18">
        <v>7575</v>
      </c>
      <c r="L1584" s="142"/>
      <c r="M1584" s="143"/>
    </row>
    <row r="1585" spans="1:13">
      <c r="A1585" s="18"/>
      <c r="B1585" s="18"/>
      <c r="C1585" s="18"/>
      <c r="D1585" s="18"/>
      <c r="E1585" s="20"/>
      <c r="F1585" s="20"/>
      <c r="G1585" s="18"/>
      <c r="H1585" s="18">
        <v>1</v>
      </c>
      <c r="I1585" s="21" t="s">
        <v>687</v>
      </c>
      <c r="J1585" s="18">
        <v>1</v>
      </c>
      <c r="K1585" s="18">
        <v>3861</v>
      </c>
      <c r="L1585" s="22"/>
      <c r="M1585" s="18"/>
    </row>
    <row r="1586" spans="1:13">
      <c r="A1586" s="18">
        <v>3</v>
      </c>
      <c r="B1586" s="24">
        <v>0</v>
      </c>
      <c r="C1586" s="18"/>
      <c r="D1586" s="18">
        <v>1</v>
      </c>
      <c r="E1586" s="20">
        <v>11500</v>
      </c>
      <c r="F1586" s="20">
        <v>105</v>
      </c>
      <c r="G1586" s="18"/>
      <c r="H1586" s="18">
        <v>1</v>
      </c>
      <c r="I1586" s="21" t="s">
        <v>691</v>
      </c>
      <c r="J1586" s="18">
        <v>1</v>
      </c>
      <c r="K1586" s="18">
        <v>4211</v>
      </c>
      <c r="L1586" s="22"/>
      <c r="M1586" s="18"/>
    </row>
    <row r="1587" spans="1:13">
      <c r="A1587" s="18"/>
      <c r="B1587" s="19"/>
      <c r="C1587" s="18"/>
      <c r="D1587" s="18"/>
      <c r="E1587" s="20"/>
      <c r="F1587" s="20"/>
      <c r="G1587" s="18"/>
      <c r="H1587" s="18">
        <v>1</v>
      </c>
      <c r="I1587" s="21" t="s">
        <v>684</v>
      </c>
      <c r="J1587" s="18">
        <v>1</v>
      </c>
      <c r="K1587" s="18">
        <v>4211</v>
      </c>
      <c r="L1587" s="22"/>
      <c r="M1587" s="18"/>
    </row>
    <row r="1588" spans="1:13">
      <c r="A1588" s="18"/>
      <c r="B1588" s="18"/>
      <c r="C1588" s="18"/>
      <c r="D1588" s="18"/>
      <c r="E1588" s="20"/>
      <c r="F1588" s="20"/>
      <c r="G1588" s="18"/>
      <c r="H1588" s="18">
        <v>1</v>
      </c>
      <c r="I1588" s="21" t="s">
        <v>698</v>
      </c>
      <c r="J1588" s="18">
        <v>1</v>
      </c>
      <c r="K1588" s="18">
        <v>1475</v>
      </c>
      <c r="L1588" s="22"/>
      <c r="M1588" s="18"/>
    </row>
    <row r="1589" spans="1:13">
      <c r="A1589" s="18"/>
      <c r="B1589" s="18"/>
      <c r="C1589" s="18"/>
      <c r="D1589" s="18"/>
      <c r="E1589" s="20"/>
      <c r="F1589" s="20"/>
      <c r="G1589" s="18"/>
      <c r="H1589" s="18">
        <v>1</v>
      </c>
      <c r="I1589" s="21" t="s">
        <v>681</v>
      </c>
      <c r="J1589" s="18">
        <v>1</v>
      </c>
      <c r="K1589" s="18">
        <v>1394</v>
      </c>
      <c r="L1589" s="22"/>
      <c r="M1589" s="18"/>
    </row>
    <row r="1590" spans="1:13">
      <c r="A1590" s="18">
        <v>4</v>
      </c>
      <c r="B1590" s="18">
        <v>0</v>
      </c>
      <c r="C1590" s="18"/>
      <c r="D1590" s="18">
        <v>1</v>
      </c>
      <c r="E1590" s="20">
        <v>11500</v>
      </c>
      <c r="F1590" s="20">
        <v>6965</v>
      </c>
      <c r="G1590" s="18"/>
      <c r="H1590" s="18">
        <v>1</v>
      </c>
      <c r="I1590" s="21" t="s">
        <v>685</v>
      </c>
      <c r="J1590" s="18">
        <v>1</v>
      </c>
      <c r="K1590" s="18">
        <v>3175</v>
      </c>
      <c r="L1590" s="22"/>
      <c r="M1590" s="18"/>
    </row>
    <row r="1591" spans="1:13">
      <c r="A1591" s="18"/>
      <c r="B1591" s="18"/>
      <c r="C1591" s="18"/>
      <c r="D1591" s="18"/>
      <c r="E1591" s="20"/>
      <c r="F1591" s="20"/>
      <c r="G1591" s="18"/>
      <c r="H1591" s="18">
        <v>1</v>
      </c>
      <c r="I1591" s="21" t="s">
        <v>682</v>
      </c>
      <c r="J1591" s="18">
        <v>1</v>
      </c>
      <c r="K1591" s="18">
        <v>1308</v>
      </c>
      <c r="L1591" s="22"/>
      <c r="M1591" s="18"/>
    </row>
    <row r="1592" spans="1:13">
      <c r="A1592" s="18">
        <v>5</v>
      </c>
      <c r="B1592" s="18">
        <v>0</v>
      </c>
      <c r="C1592" s="18"/>
      <c r="D1592" s="18">
        <v>1</v>
      </c>
      <c r="E1592" s="20">
        <v>11500</v>
      </c>
      <c r="F1592" s="20"/>
      <c r="G1592" s="18"/>
      <c r="H1592" s="18">
        <v>1</v>
      </c>
      <c r="I1592" s="21" t="s">
        <v>678</v>
      </c>
      <c r="J1592" s="18">
        <v>1</v>
      </c>
      <c r="K1592" s="18">
        <v>11496</v>
      </c>
      <c r="L1592" s="22"/>
      <c r="M1592" s="18"/>
    </row>
    <row r="1593" spans="1:13">
      <c r="A1593" s="18">
        <v>6</v>
      </c>
      <c r="B1593" s="18">
        <v>0</v>
      </c>
      <c r="C1593" s="18"/>
      <c r="D1593" s="18">
        <v>1</v>
      </c>
      <c r="E1593" s="20">
        <v>11500</v>
      </c>
      <c r="F1593" s="20"/>
      <c r="G1593" s="18"/>
      <c r="H1593" s="18">
        <v>1</v>
      </c>
      <c r="I1593" s="21" t="s">
        <v>680</v>
      </c>
      <c r="J1593" s="18">
        <v>1</v>
      </c>
      <c r="K1593" s="18">
        <v>11496</v>
      </c>
      <c r="L1593" s="22"/>
      <c r="M1593" s="18"/>
    </row>
    <row r="1594" spans="1:13">
      <c r="A1594" s="18">
        <v>7</v>
      </c>
      <c r="B1594" s="18">
        <v>0</v>
      </c>
      <c r="C1594" s="18"/>
      <c r="D1594" s="18">
        <v>1</v>
      </c>
      <c r="E1594" s="20">
        <v>11500</v>
      </c>
      <c r="F1594" s="20"/>
      <c r="G1594" s="18"/>
      <c r="H1594" s="18">
        <v>1</v>
      </c>
      <c r="I1594" s="21" t="s">
        <v>688</v>
      </c>
      <c r="J1594" s="18">
        <v>1</v>
      </c>
      <c r="K1594" s="18">
        <v>11496</v>
      </c>
      <c r="L1594" s="22"/>
      <c r="M1594" s="18"/>
    </row>
    <row r="1595" spans="1:13">
      <c r="A1595" s="18">
        <v>8</v>
      </c>
      <c r="B1595" s="18">
        <v>0</v>
      </c>
      <c r="C1595" s="18"/>
      <c r="D1595" s="18">
        <v>1</v>
      </c>
      <c r="E1595" s="20">
        <v>11500</v>
      </c>
      <c r="F1595" s="20"/>
      <c r="G1595" s="18"/>
      <c r="H1595" s="18">
        <v>1</v>
      </c>
      <c r="I1595" s="21" t="s">
        <v>696</v>
      </c>
      <c r="J1595" s="18">
        <v>1</v>
      </c>
      <c r="K1595" s="18">
        <v>11496</v>
      </c>
      <c r="L1595" s="22"/>
      <c r="M1595" s="18"/>
    </row>
    <row r="1596" spans="1:13">
      <c r="A1596" s="5">
        <v>9</v>
      </c>
      <c r="B1596" s="5">
        <v>0</v>
      </c>
      <c r="C1596" s="5"/>
      <c r="D1596" s="5">
        <v>1</v>
      </c>
      <c r="E1596" s="6">
        <v>11500</v>
      </c>
      <c r="F1596" s="6"/>
      <c r="G1596" s="5"/>
      <c r="H1596" s="5">
        <v>1</v>
      </c>
      <c r="I1596" s="7" t="s">
        <v>677</v>
      </c>
      <c r="J1596" s="5">
        <v>1</v>
      </c>
      <c r="K1596" s="5">
        <v>11496</v>
      </c>
      <c r="L1596" s="8"/>
      <c r="M1596" s="5"/>
    </row>
    <row r="1597" spans="1:13">
      <c r="A1597" s="5">
        <v>10</v>
      </c>
      <c r="B1597" s="5">
        <v>0</v>
      </c>
      <c r="C1597" s="5"/>
      <c r="D1597" s="5">
        <v>1</v>
      </c>
      <c r="E1597" s="6">
        <v>11500</v>
      </c>
      <c r="F1597" s="6"/>
      <c r="G1597" s="5"/>
      <c r="H1597" s="5">
        <v>1</v>
      </c>
      <c r="I1597" s="7" t="s">
        <v>693</v>
      </c>
      <c r="J1597" s="5">
        <v>1</v>
      </c>
      <c r="K1597" s="5">
        <v>11496</v>
      </c>
      <c r="L1597" s="8"/>
      <c r="M1597" s="18"/>
    </row>
    <row r="1598" spans="1:13">
      <c r="A1598" s="5">
        <v>11</v>
      </c>
      <c r="B1598" s="5">
        <v>0</v>
      </c>
      <c r="C1598" s="5"/>
      <c r="D1598" s="5">
        <v>1</v>
      </c>
      <c r="E1598" s="6">
        <v>11500</v>
      </c>
      <c r="F1598" s="6"/>
      <c r="G1598" s="5"/>
      <c r="H1598" s="5">
        <v>1</v>
      </c>
      <c r="I1598" s="7" t="s">
        <v>683</v>
      </c>
      <c r="J1598" s="5">
        <v>1</v>
      </c>
      <c r="K1598" s="5">
        <v>11496</v>
      </c>
      <c r="L1598" s="8"/>
      <c r="M1598" s="5"/>
    </row>
    <row r="1599" spans="1:13">
      <c r="A1599" s="5">
        <v>12</v>
      </c>
      <c r="B1599" s="5">
        <v>0</v>
      </c>
      <c r="C1599" s="5"/>
      <c r="D1599" s="5">
        <v>1</v>
      </c>
      <c r="E1599" s="6">
        <v>11500</v>
      </c>
      <c r="F1599" s="6"/>
      <c r="G1599" s="5"/>
      <c r="H1599" s="5">
        <v>1</v>
      </c>
      <c r="I1599" s="7" t="s">
        <v>689</v>
      </c>
      <c r="J1599" s="5">
        <v>1</v>
      </c>
      <c r="K1599" s="5">
        <v>11496</v>
      </c>
      <c r="L1599" s="8"/>
      <c r="M1599" s="5"/>
    </row>
    <row r="1600" spans="1:13">
      <c r="A1600" s="5">
        <v>13</v>
      </c>
      <c r="B1600" s="5">
        <v>0</v>
      </c>
      <c r="C1600" s="5"/>
      <c r="D1600" s="5">
        <v>1</v>
      </c>
      <c r="E1600" s="6">
        <v>11500</v>
      </c>
      <c r="F1600" s="6"/>
      <c r="G1600" s="5"/>
      <c r="H1600" s="5">
        <v>1</v>
      </c>
      <c r="I1600" s="7" t="s">
        <v>697</v>
      </c>
      <c r="J1600" s="5">
        <v>1</v>
      </c>
      <c r="K1600" s="5">
        <v>11496</v>
      </c>
      <c r="L1600" s="8"/>
      <c r="M1600" s="5"/>
    </row>
    <row r="1601" spans="1:13">
      <c r="A1601" s="5">
        <v>14</v>
      </c>
      <c r="B1601" s="5">
        <v>0</v>
      </c>
      <c r="C1601" s="5"/>
      <c r="D1601" s="5">
        <v>1</v>
      </c>
      <c r="E1601" s="6">
        <v>11500</v>
      </c>
      <c r="F1601" s="6"/>
      <c r="G1601" s="5"/>
      <c r="H1601" s="5">
        <v>1</v>
      </c>
      <c r="I1601" s="7" t="s">
        <v>692</v>
      </c>
      <c r="J1601" s="5">
        <v>1</v>
      </c>
      <c r="K1601" s="5">
        <v>11496</v>
      </c>
      <c r="L1601" s="8"/>
      <c r="M1601" s="5"/>
    </row>
    <row r="1602" spans="1:13">
      <c r="A1602" s="5">
        <v>15</v>
      </c>
      <c r="B1602" s="5">
        <v>0</v>
      </c>
      <c r="C1602" s="5"/>
      <c r="D1602" s="5">
        <v>1</v>
      </c>
      <c r="E1602" s="6">
        <v>11500</v>
      </c>
      <c r="F1602" s="6">
        <v>229</v>
      </c>
      <c r="G1602" s="5"/>
      <c r="H1602" s="5">
        <v>1</v>
      </c>
      <c r="I1602" s="7" t="s">
        <v>694</v>
      </c>
      <c r="J1602" s="5">
        <v>1</v>
      </c>
      <c r="K1602" s="5">
        <v>11245</v>
      </c>
      <c r="L1602" s="8"/>
      <c r="M1602" s="5"/>
    </row>
    <row r="1603" spans="1:13">
      <c r="A1603" s="5"/>
      <c r="B1603" s="5"/>
      <c r="C1603" s="5"/>
      <c r="D1603" s="5"/>
      <c r="E1603" s="6"/>
      <c r="F1603" s="6"/>
      <c r="G1603" s="5"/>
      <c r="H1603" s="5"/>
      <c r="I1603" s="7"/>
      <c r="J1603" s="5"/>
      <c r="K1603" s="5"/>
      <c r="L1603" s="8"/>
      <c r="M1603" s="5"/>
    </row>
    <row r="1604" spans="1:13">
      <c r="A1604" s="117" t="s">
        <v>4</v>
      </c>
      <c r="B1604" s="117"/>
      <c r="C1604" s="117"/>
      <c r="D1604" s="117"/>
      <c r="E1604" s="117"/>
      <c r="F1604" s="117"/>
      <c r="G1604" s="117"/>
      <c r="H1604" s="117"/>
      <c r="I1604" s="118" t="s">
        <v>8</v>
      </c>
      <c r="J1604" s="118"/>
      <c r="K1604" s="89" t="s">
        <v>70</v>
      </c>
      <c r="L1604" s="119"/>
      <c r="M1604" s="120"/>
    </row>
    <row r="1605" spans="1:13">
      <c r="A1605" s="117"/>
      <c r="B1605" s="117"/>
      <c r="C1605" s="117"/>
      <c r="D1605" s="117"/>
      <c r="E1605" s="117"/>
      <c r="F1605" s="117"/>
      <c r="G1605" s="117"/>
      <c r="H1605" s="117"/>
      <c r="I1605" s="118" t="s">
        <v>25</v>
      </c>
      <c r="J1605" s="118"/>
      <c r="K1605" s="121" t="s">
        <v>665</v>
      </c>
      <c r="L1605" s="118"/>
      <c r="M1605" s="118"/>
    </row>
    <row r="1606" spans="1:13">
      <c r="A1606" s="117"/>
      <c r="B1606" s="117"/>
      <c r="C1606" s="117"/>
      <c r="D1606" s="117"/>
      <c r="E1606" s="117"/>
      <c r="F1606" s="117"/>
      <c r="G1606" s="117"/>
      <c r="H1606" s="117"/>
      <c r="I1606" s="87" t="s">
        <v>26</v>
      </c>
      <c r="J1606" s="88"/>
      <c r="K1606" s="95" t="s">
        <v>423</v>
      </c>
      <c r="L1606" s="104"/>
      <c r="M1606" s="88"/>
    </row>
    <row r="1607" spans="1:13">
      <c r="A1607" s="118" t="s">
        <v>31</v>
      </c>
      <c r="B1607" s="118"/>
      <c r="C1607" s="118" t="s">
        <v>32</v>
      </c>
      <c r="D1607" s="118"/>
      <c r="E1607" s="118"/>
      <c r="F1607" s="118"/>
      <c r="G1607" s="118"/>
      <c r="H1607" s="118"/>
      <c r="I1607" s="40" t="s">
        <v>29</v>
      </c>
      <c r="J1607" s="41"/>
      <c r="K1607" s="118" t="s">
        <v>666</v>
      </c>
      <c r="L1607" s="118"/>
      <c r="M1607" s="118"/>
    </row>
    <row r="1608" spans="1:13">
      <c r="A1608" s="118"/>
      <c r="B1608" s="118"/>
      <c r="C1608" s="118"/>
      <c r="D1608" s="118"/>
      <c r="E1608" s="118"/>
      <c r="F1608" s="118"/>
      <c r="G1608" s="118"/>
      <c r="H1608" s="118"/>
      <c r="I1608" s="118" t="s">
        <v>30</v>
      </c>
      <c r="J1608" s="118"/>
      <c r="K1608" s="118" t="s">
        <v>676</v>
      </c>
      <c r="L1608" s="118"/>
      <c r="M1608" s="118"/>
    </row>
    <row r="1609" spans="1:13">
      <c r="A1609" s="122" t="s">
        <v>24</v>
      </c>
      <c r="B1609" s="122"/>
      <c r="C1609" s="122"/>
      <c r="D1609" s="42">
        <v>1</v>
      </c>
      <c r="E1609" s="117" t="s">
        <v>40</v>
      </c>
      <c r="F1609" s="117"/>
      <c r="G1609" s="117"/>
      <c r="H1609" s="42">
        <v>2</v>
      </c>
      <c r="I1609" s="118" t="s">
        <v>27</v>
      </c>
      <c r="J1609" s="118"/>
      <c r="K1609" s="118" t="s">
        <v>21</v>
      </c>
      <c r="L1609" s="118"/>
      <c r="M1609" s="118"/>
    </row>
    <row r="1610" spans="1:13" ht="45">
      <c r="A1610" s="3" t="s">
        <v>9</v>
      </c>
      <c r="B1610" s="3" t="s">
        <v>10</v>
      </c>
      <c r="C1610" s="3" t="s">
        <v>11</v>
      </c>
      <c r="D1610" s="3" t="s">
        <v>3</v>
      </c>
      <c r="E1610" s="4" t="s">
        <v>41</v>
      </c>
      <c r="F1610" s="4" t="s">
        <v>12</v>
      </c>
      <c r="G1610" s="3" t="s">
        <v>13</v>
      </c>
      <c r="H1610" s="3" t="s">
        <v>14</v>
      </c>
      <c r="I1610" s="3" t="s">
        <v>15</v>
      </c>
      <c r="J1610" s="3" t="s">
        <v>16</v>
      </c>
      <c r="K1610" s="3" t="s">
        <v>17</v>
      </c>
      <c r="L1610" s="3" t="s">
        <v>18</v>
      </c>
      <c r="M1610" s="3" t="s">
        <v>19</v>
      </c>
    </row>
    <row r="1611" spans="1:13">
      <c r="A1611" s="18">
        <v>1</v>
      </c>
      <c r="B1611" s="19">
        <v>0</v>
      </c>
      <c r="C1611" s="18"/>
      <c r="D1611" s="18">
        <v>1</v>
      </c>
      <c r="E1611" s="20">
        <v>2500</v>
      </c>
      <c r="F1611" s="20">
        <v>84</v>
      </c>
      <c r="G1611" s="18"/>
      <c r="H1611" s="18">
        <v>1</v>
      </c>
      <c r="I1611" s="21" t="s">
        <v>675</v>
      </c>
      <c r="J1611" s="18">
        <v>1</v>
      </c>
      <c r="K1611" s="18">
        <v>2067</v>
      </c>
      <c r="L1611" s="22"/>
      <c r="M1611" s="18"/>
    </row>
    <row r="1612" spans="1:13">
      <c r="A1612" s="18"/>
      <c r="B1612" s="18"/>
      <c r="C1612" s="18"/>
      <c r="D1612" s="18"/>
      <c r="E1612" s="20"/>
      <c r="F1612" s="20"/>
      <c r="G1612" s="18"/>
      <c r="H1612" s="18">
        <v>1</v>
      </c>
      <c r="I1612" s="21" t="s">
        <v>674</v>
      </c>
      <c r="J1612" s="18">
        <v>1</v>
      </c>
      <c r="K1612" s="18">
        <v>297</v>
      </c>
      <c r="L1612" s="22"/>
      <c r="M1612" s="18"/>
    </row>
    <row r="1613" spans="1:13">
      <c r="A1613" s="18"/>
      <c r="B1613" s="18"/>
      <c r="C1613" s="18"/>
      <c r="D1613" s="18"/>
      <c r="E1613" s="20"/>
      <c r="F1613" s="20"/>
      <c r="G1613" s="18"/>
      <c r="H1613" s="18"/>
      <c r="I1613" s="21"/>
      <c r="J1613" s="18"/>
      <c r="K1613" s="18"/>
      <c r="L1613" s="22"/>
      <c r="M1613" s="18"/>
    </row>
    <row r="1614" spans="1:13">
      <c r="A1614" s="117" t="s">
        <v>4</v>
      </c>
      <c r="B1614" s="117"/>
      <c r="C1614" s="117"/>
      <c r="D1614" s="117"/>
      <c r="E1614" s="117"/>
      <c r="F1614" s="117"/>
      <c r="G1614" s="117"/>
      <c r="H1614" s="117"/>
      <c r="I1614" s="118" t="s">
        <v>8</v>
      </c>
      <c r="J1614" s="118"/>
      <c r="K1614" s="89" t="s">
        <v>70</v>
      </c>
      <c r="L1614" s="119"/>
      <c r="M1614" s="120"/>
    </row>
    <row r="1615" spans="1:13">
      <c r="A1615" s="117"/>
      <c r="B1615" s="117"/>
      <c r="C1615" s="117"/>
      <c r="D1615" s="117"/>
      <c r="E1615" s="117"/>
      <c r="F1615" s="117"/>
      <c r="G1615" s="117"/>
      <c r="H1615" s="117"/>
      <c r="I1615" s="118" t="s">
        <v>25</v>
      </c>
      <c r="J1615" s="118"/>
      <c r="K1615" s="121" t="s">
        <v>665</v>
      </c>
      <c r="L1615" s="118"/>
      <c r="M1615" s="118"/>
    </row>
    <row r="1616" spans="1:13">
      <c r="A1616" s="117"/>
      <c r="B1616" s="117"/>
      <c r="C1616" s="117"/>
      <c r="D1616" s="117"/>
      <c r="E1616" s="117"/>
      <c r="F1616" s="117"/>
      <c r="G1616" s="117"/>
      <c r="H1616" s="117"/>
      <c r="I1616" s="87" t="s">
        <v>26</v>
      </c>
      <c r="J1616" s="88"/>
      <c r="K1616" s="95" t="s">
        <v>672</v>
      </c>
      <c r="L1616" s="104"/>
      <c r="M1616" s="88"/>
    </row>
    <row r="1617" spans="1:13">
      <c r="A1617" s="118" t="s">
        <v>31</v>
      </c>
      <c r="B1617" s="118"/>
      <c r="C1617" s="118" t="s">
        <v>32</v>
      </c>
      <c r="D1617" s="118"/>
      <c r="E1617" s="118"/>
      <c r="F1617" s="118"/>
      <c r="G1617" s="118"/>
      <c r="H1617" s="118"/>
      <c r="I1617" s="40" t="s">
        <v>29</v>
      </c>
      <c r="J1617" s="41"/>
      <c r="K1617" s="118" t="s">
        <v>666</v>
      </c>
      <c r="L1617" s="118"/>
      <c r="M1617" s="118"/>
    </row>
    <row r="1618" spans="1:13">
      <c r="A1618" s="118"/>
      <c r="B1618" s="118"/>
      <c r="C1618" s="118"/>
      <c r="D1618" s="118"/>
      <c r="E1618" s="118"/>
      <c r="F1618" s="118"/>
      <c r="G1618" s="118"/>
      <c r="H1618" s="118"/>
      <c r="I1618" s="118" t="s">
        <v>30</v>
      </c>
      <c r="J1618" s="118"/>
      <c r="K1618" s="118" t="s">
        <v>673</v>
      </c>
      <c r="L1618" s="118"/>
      <c r="M1618" s="118"/>
    </row>
    <row r="1619" spans="1:13">
      <c r="A1619" s="122" t="s">
        <v>24</v>
      </c>
      <c r="B1619" s="122"/>
      <c r="C1619" s="122"/>
      <c r="D1619" s="42">
        <v>1</v>
      </c>
      <c r="E1619" s="117" t="s">
        <v>40</v>
      </c>
      <c r="F1619" s="117"/>
      <c r="G1619" s="117"/>
      <c r="H1619" s="42">
        <v>1</v>
      </c>
      <c r="I1619" s="118" t="s">
        <v>27</v>
      </c>
      <c r="J1619" s="118"/>
      <c r="K1619" s="118" t="s">
        <v>21</v>
      </c>
      <c r="L1619" s="118"/>
      <c r="M1619" s="118"/>
    </row>
    <row r="1620" spans="1:13" ht="45">
      <c r="A1620" s="3" t="s">
        <v>9</v>
      </c>
      <c r="B1620" s="3" t="s">
        <v>10</v>
      </c>
      <c r="C1620" s="3" t="s">
        <v>11</v>
      </c>
      <c r="D1620" s="3" t="s">
        <v>3</v>
      </c>
      <c r="E1620" s="4" t="s">
        <v>41</v>
      </c>
      <c r="F1620" s="4" t="s">
        <v>12</v>
      </c>
      <c r="G1620" s="3" t="s">
        <v>13</v>
      </c>
      <c r="H1620" s="3" t="s">
        <v>14</v>
      </c>
      <c r="I1620" s="3" t="s">
        <v>15</v>
      </c>
      <c r="J1620" s="3" t="s">
        <v>16</v>
      </c>
      <c r="K1620" s="3" t="s">
        <v>17</v>
      </c>
      <c r="L1620" s="3" t="s">
        <v>18</v>
      </c>
      <c r="M1620" s="3" t="s">
        <v>19</v>
      </c>
    </row>
    <row r="1621" spans="1:13">
      <c r="A1621" s="18">
        <v>1</v>
      </c>
      <c r="B1621" s="19">
        <v>0</v>
      </c>
      <c r="C1621" s="18"/>
      <c r="D1621" s="18">
        <v>1</v>
      </c>
      <c r="E1621" s="20">
        <v>500</v>
      </c>
      <c r="F1621" s="20">
        <v>128</v>
      </c>
      <c r="G1621" s="18"/>
      <c r="H1621" s="18">
        <v>1</v>
      </c>
      <c r="I1621" s="21" t="s">
        <v>671</v>
      </c>
      <c r="J1621" s="18">
        <v>1</v>
      </c>
      <c r="K1621" s="18">
        <v>346</v>
      </c>
      <c r="L1621" s="22"/>
      <c r="M1621" s="18"/>
    </row>
    <row r="1622" spans="1:13">
      <c r="A1622" s="18"/>
      <c r="B1622" s="18"/>
      <c r="C1622" s="18"/>
      <c r="D1622" s="18"/>
      <c r="E1622" s="20"/>
      <c r="F1622" s="20"/>
      <c r="G1622" s="18"/>
      <c r="H1622" s="18"/>
      <c r="I1622" s="21"/>
      <c r="J1622" s="18"/>
      <c r="K1622" s="18"/>
      <c r="L1622" s="22"/>
      <c r="M1622" s="18"/>
    </row>
    <row r="1623" spans="1:13">
      <c r="A1623" s="117" t="s">
        <v>4</v>
      </c>
      <c r="B1623" s="117"/>
      <c r="C1623" s="117"/>
      <c r="D1623" s="117"/>
      <c r="E1623" s="117"/>
      <c r="F1623" s="117"/>
      <c r="G1623" s="117"/>
      <c r="H1623" s="117"/>
      <c r="I1623" s="118" t="s">
        <v>8</v>
      </c>
      <c r="J1623" s="118"/>
      <c r="K1623" s="89" t="s">
        <v>70</v>
      </c>
      <c r="L1623" s="119"/>
      <c r="M1623" s="120"/>
    </row>
    <row r="1624" spans="1:13">
      <c r="A1624" s="117"/>
      <c r="B1624" s="117"/>
      <c r="C1624" s="117"/>
      <c r="D1624" s="117"/>
      <c r="E1624" s="117"/>
      <c r="F1624" s="117"/>
      <c r="G1624" s="117"/>
      <c r="H1624" s="117"/>
      <c r="I1624" s="118" t="s">
        <v>25</v>
      </c>
      <c r="J1624" s="118"/>
      <c r="K1624" s="121" t="s">
        <v>665</v>
      </c>
      <c r="L1624" s="118"/>
      <c r="M1624" s="118"/>
    </row>
    <row r="1625" spans="1:13">
      <c r="A1625" s="117"/>
      <c r="B1625" s="117"/>
      <c r="C1625" s="117"/>
      <c r="D1625" s="117"/>
      <c r="E1625" s="117"/>
      <c r="F1625" s="117"/>
      <c r="G1625" s="117"/>
      <c r="H1625" s="117"/>
      <c r="I1625" s="87" t="s">
        <v>26</v>
      </c>
      <c r="J1625" s="88"/>
      <c r="K1625" s="95" t="s">
        <v>355</v>
      </c>
      <c r="L1625" s="104"/>
      <c r="M1625" s="88"/>
    </row>
    <row r="1626" spans="1:13">
      <c r="A1626" s="118" t="s">
        <v>31</v>
      </c>
      <c r="B1626" s="118"/>
      <c r="C1626" s="118" t="s">
        <v>32</v>
      </c>
      <c r="D1626" s="118"/>
      <c r="E1626" s="118"/>
      <c r="F1626" s="118"/>
      <c r="G1626" s="118"/>
      <c r="H1626" s="118"/>
      <c r="I1626" s="40" t="s">
        <v>29</v>
      </c>
      <c r="J1626" s="41"/>
      <c r="K1626" s="118" t="s">
        <v>666</v>
      </c>
      <c r="L1626" s="118"/>
      <c r="M1626" s="118"/>
    </row>
    <row r="1627" spans="1:13">
      <c r="A1627" s="118"/>
      <c r="B1627" s="118"/>
      <c r="C1627" s="118"/>
      <c r="D1627" s="118"/>
      <c r="E1627" s="118"/>
      <c r="F1627" s="118"/>
      <c r="G1627" s="118"/>
      <c r="H1627" s="118"/>
      <c r="I1627" s="118" t="s">
        <v>30</v>
      </c>
      <c r="J1627" s="118"/>
      <c r="K1627" s="118" t="s">
        <v>670</v>
      </c>
      <c r="L1627" s="118"/>
      <c r="M1627" s="118"/>
    </row>
    <row r="1628" spans="1:13">
      <c r="A1628" s="122" t="s">
        <v>24</v>
      </c>
      <c r="B1628" s="122"/>
      <c r="C1628" s="122"/>
      <c r="D1628" s="42">
        <v>1</v>
      </c>
      <c r="E1628" s="117" t="s">
        <v>40</v>
      </c>
      <c r="F1628" s="117"/>
      <c r="G1628" s="117"/>
      <c r="H1628" s="42">
        <v>1</v>
      </c>
      <c r="I1628" s="118" t="s">
        <v>27</v>
      </c>
      <c r="J1628" s="118"/>
      <c r="K1628" s="118" t="s">
        <v>21</v>
      </c>
      <c r="L1628" s="118"/>
      <c r="M1628" s="118"/>
    </row>
    <row r="1629" spans="1:13" ht="45">
      <c r="A1629" s="3" t="s">
        <v>9</v>
      </c>
      <c r="B1629" s="3" t="s">
        <v>10</v>
      </c>
      <c r="C1629" s="3" t="s">
        <v>11</v>
      </c>
      <c r="D1629" s="3" t="s">
        <v>3</v>
      </c>
      <c r="E1629" s="4" t="s">
        <v>41</v>
      </c>
      <c r="F1629" s="4" t="s">
        <v>12</v>
      </c>
      <c r="G1629" s="3" t="s">
        <v>13</v>
      </c>
      <c r="H1629" s="3" t="s">
        <v>14</v>
      </c>
      <c r="I1629" s="3" t="s">
        <v>15</v>
      </c>
      <c r="J1629" s="3" t="s">
        <v>16</v>
      </c>
      <c r="K1629" s="3" t="s">
        <v>17</v>
      </c>
      <c r="L1629" s="3" t="s">
        <v>18</v>
      </c>
      <c r="M1629" s="3" t="s">
        <v>19</v>
      </c>
    </row>
    <row r="1630" spans="1:13">
      <c r="A1630" s="18">
        <v>1</v>
      </c>
      <c r="B1630" s="19">
        <v>0</v>
      </c>
      <c r="C1630" s="18"/>
      <c r="D1630" s="18">
        <v>1</v>
      </c>
      <c r="E1630" s="20">
        <v>500</v>
      </c>
      <c r="F1630" s="20">
        <v>195</v>
      </c>
      <c r="G1630" s="18"/>
      <c r="H1630" s="18">
        <v>1</v>
      </c>
      <c r="I1630" s="21" t="s">
        <v>669</v>
      </c>
      <c r="J1630" s="18">
        <v>1</v>
      </c>
      <c r="K1630" s="18">
        <v>279</v>
      </c>
      <c r="L1630" s="22"/>
      <c r="M1630" s="18"/>
    </row>
    <row r="1631" spans="1:13">
      <c r="A1631" s="18"/>
      <c r="B1631" s="18"/>
      <c r="C1631" s="18"/>
      <c r="D1631" s="18"/>
      <c r="E1631" s="20"/>
      <c r="F1631" s="20"/>
      <c r="G1631" s="18"/>
      <c r="H1631" s="18"/>
      <c r="I1631" s="21"/>
      <c r="J1631" s="18"/>
      <c r="K1631" s="18"/>
      <c r="L1631" s="22"/>
      <c r="M1631" s="18"/>
    </row>
    <row r="1632" spans="1:13">
      <c r="A1632" s="117" t="s">
        <v>4</v>
      </c>
      <c r="B1632" s="117"/>
      <c r="C1632" s="117"/>
      <c r="D1632" s="117"/>
      <c r="E1632" s="117"/>
      <c r="F1632" s="117"/>
      <c r="G1632" s="117"/>
      <c r="H1632" s="117"/>
      <c r="I1632" s="118" t="s">
        <v>8</v>
      </c>
      <c r="J1632" s="118"/>
      <c r="K1632" s="89" t="s">
        <v>70</v>
      </c>
      <c r="L1632" s="119"/>
      <c r="M1632" s="120"/>
    </row>
    <row r="1633" spans="1:13">
      <c r="A1633" s="117"/>
      <c r="B1633" s="117"/>
      <c r="C1633" s="117"/>
      <c r="D1633" s="117"/>
      <c r="E1633" s="117"/>
      <c r="F1633" s="117"/>
      <c r="G1633" s="117"/>
      <c r="H1633" s="117"/>
      <c r="I1633" s="118" t="s">
        <v>25</v>
      </c>
      <c r="J1633" s="118"/>
      <c r="K1633" s="121" t="s">
        <v>665</v>
      </c>
      <c r="L1633" s="118"/>
      <c r="M1633" s="118"/>
    </row>
    <row r="1634" spans="1:13">
      <c r="A1634" s="117"/>
      <c r="B1634" s="117"/>
      <c r="C1634" s="117"/>
      <c r="D1634" s="117"/>
      <c r="E1634" s="117"/>
      <c r="F1634" s="117"/>
      <c r="G1634" s="117"/>
      <c r="H1634" s="117"/>
      <c r="I1634" s="87" t="s">
        <v>26</v>
      </c>
      <c r="J1634" s="88"/>
      <c r="K1634" s="95" t="s">
        <v>338</v>
      </c>
      <c r="L1634" s="104"/>
      <c r="M1634" s="88"/>
    </row>
    <row r="1635" spans="1:13">
      <c r="A1635" s="118" t="s">
        <v>31</v>
      </c>
      <c r="B1635" s="118"/>
      <c r="C1635" s="118" t="s">
        <v>32</v>
      </c>
      <c r="D1635" s="118"/>
      <c r="E1635" s="118"/>
      <c r="F1635" s="118"/>
      <c r="G1635" s="118"/>
      <c r="H1635" s="118"/>
      <c r="I1635" s="40" t="s">
        <v>29</v>
      </c>
      <c r="J1635" s="41"/>
      <c r="K1635" s="118" t="s">
        <v>666</v>
      </c>
      <c r="L1635" s="118"/>
      <c r="M1635" s="118"/>
    </row>
    <row r="1636" spans="1:13">
      <c r="A1636" s="118"/>
      <c r="B1636" s="118"/>
      <c r="C1636" s="118"/>
      <c r="D1636" s="118"/>
      <c r="E1636" s="118"/>
      <c r="F1636" s="118"/>
      <c r="G1636" s="118"/>
      <c r="H1636" s="118"/>
      <c r="I1636" s="118" t="s">
        <v>30</v>
      </c>
      <c r="J1636" s="118"/>
      <c r="K1636" s="118" t="s">
        <v>668</v>
      </c>
      <c r="L1636" s="118"/>
      <c r="M1636" s="118"/>
    </row>
    <row r="1637" spans="1:13">
      <c r="A1637" s="122" t="s">
        <v>24</v>
      </c>
      <c r="B1637" s="122"/>
      <c r="C1637" s="122"/>
      <c r="D1637" s="42">
        <v>12</v>
      </c>
      <c r="E1637" s="117" t="s">
        <v>40</v>
      </c>
      <c r="F1637" s="117"/>
      <c r="G1637" s="117"/>
      <c r="H1637" s="42">
        <v>17</v>
      </c>
      <c r="I1637" s="118" t="s">
        <v>27</v>
      </c>
      <c r="J1637" s="118"/>
      <c r="K1637" s="118" t="s">
        <v>21</v>
      </c>
      <c r="L1637" s="118"/>
      <c r="M1637" s="118"/>
    </row>
    <row r="1638" spans="1:13" ht="45">
      <c r="A1638" s="3" t="s">
        <v>9</v>
      </c>
      <c r="B1638" s="3" t="s">
        <v>10</v>
      </c>
      <c r="C1638" s="3" t="s">
        <v>11</v>
      </c>
      <c r="D1638" s="3" t="s">
        <v>3</v>
      </c>
      <c r="E1638" s="4" t="s">
        <v>41</v>
      </c>
      <c r="F1638" s="4" t="s">
        <v>12</v>
      </c>
      <c r="G1638" s="3" t="s">
        <v>13</v>
      </c>
      <c r="H1638" s="3" t="s">
        <v>14</v>
      </c>
      <c r="I1638" s="3" t="s">
        <v>15</v>
      </c>
      <c r="J1638" s="3" t="s">
        <v>16</v>
      </c>
      <c r="K1638" s="3" t="s">
        <v>17</v>
      </c>
      <c r="L1638" s="3" t="s">
        <v>18</v>
      </c>
      <c r="M1638" s="3" t="s">
        <v>19</v>
      </c>
    </row>
    <row r="1639" spans="1:13">
      <c r="A1639" s="18">
        <v>1</v>
      </c>
      <c r="B1639" s="19">
        <v>0</v>
      </c>
      <c r="C1639" s="18"/>
      <c r="D1639" s="18">
        <v>1</v>
      </c>
      <c r="E1639" s="20">
        <v>11500</v>
      </c>
      <c r="F1639" s="20">
        <v>3362</v>
      </c>
      <c r="G1639" s="18"/>
      <c r="H1639" s="18">
        <v>1</v>
      </c>
      <c r="I1639" s="21" t="s">
        <v>608</v>
      </c>
      <c r="J1639" s="18">
        <v>1</v>
      </c>
      <c r="K1639" s="18">
        <v>4043</v>
      </c>
      <c r="L1639" s="22"/>
      <c r="M1639" s="18"/>
    </row>
    <row r="1640" spans="1:13">
      <c r="A1640" s="18"/>
      <c r="B1640" s="18"/>
      <c r="C1640" s="18"/>
      <c r="D1640" s="18"/>
      <c r="E1640" s="20"/>
      <c r="F1640" s="20"/>
      <c r="G1640" s="18"/>
      <c r="H1640" s="18">
        <v>1</v>
      </c>
      <c r="I1640" s="21" t="s">
        <v>607</v>
      </c>
      <c r="J1640" s="18">
        <v>1</v>
      </c>
      <c r="K1640" s="18">
        <v>4043</v>
      </c>
      <c r="L1640" s="22"/>
      <c r="M1640" s="18"/>
    </row>
    <row r="1641" spans="1:13">
      <c r="A1641" s="18">
        <v>2</v>
      </c>
      <c r="B1641" s="18">
        <v>0</v>
      </c>
      <c r="C1641" s="18"/>
      <c r="D1641" s="18">
        <v>1</v>
      </c>
      <c r="E1641" s="20">
        <v>11500</v>
      </c>
      <c r="F1641" s="20">
        <v>3447</v>
      </c>
      <c r="G1641" s="18"/>
      <c r="H1641" s="18">
        <v>1</v>
      </c>
      <c r="I1641" s="21" t="s">
        <v>609</v>
      </c>
      <c r="J1641" s="18">
        <v>1</v>
      </c>
      <c r="K1641" s="18">
        <v>4013</v>
      </c>
      <c r="L1641" s="22"/>
      <c r="M1641" s="18"/>
    </row>
    <row r="1642" spans="1:13">
      <c r="A1642" s="18"/>
      <c r="B1642" s="24"/>
      <c r="C1642" s="18"/>
      <c r="D1642" s="18"/>
      <c r="E1642" s="20"/>
      <c r="F1642" s="20"/>
      <c r="G1642" s="18"/>
      <c r="H1642" s="18">
        <v>1</v>
      </c>
      <c r="I1642" s="21" t="s">
        <v>603</v>
      </c>
      <c r="J1642" s="18">
        <v>1</v>
      </c>
      <c r="K1642" s="18">
        <v>3988</v>
      </c>
      <c r="L1642" s="22"/>
      <c r="M1642" s="18"/>
    </row>
    <row r="1643" spans="1:13">
      <c r="A1643" s="18">
        <v>3</v>
      </c>
      <c r="B1643" s="18">
        <v>0</v>
      </c>
      <c r="C1643" s="18"/>
      <c r="D1643" s="18">
        <v>1</v>
      </c>
      <c r="E1643" s="20">
        <v>11500</v>
      </c>
      <c r="F1643" s="20">
        <v>3422</v>
      </c>
      <c r="G1643" s="18"/>
      <c r="H1643" s="18">
        <v>1</v>
      </c>
      <c r="I1643" s="21" t="s">
        <v>611</v>
      </c>
      <c r="J1643" s="18">
        <v>1</v>
      </c>
      <c r="K1643" s="18">
        <v>4013</v>
      </c>
      <c r="L1643" s="22"/>
      <c r="M1643" s="18"/>
    </row>
    <row r="1644" spans="1:13">
      <c r="A1644" s="18"/>
      <c r="B1644" s="24"/>
      <c r="C1644" s="18"/>
      <c r="D1644" s="18"/>
      <c r="E1644" s="20"/>
      <c r="F1644" s="20"/>
      <c r="G1644" s="18"/>
      <c r="H1644" s="18">
        <v>1</v>
      </c>
      <c r="I1644" s="21" t="s">
        <v>610</v>
      </c>
      <c r="J1644" s="18">
        <v>1</v>
      </c>
      <c r="K1644" s="18">
        <v>4013</v>
      </c>
      <c r="L1644" s="22"/>
      <c r="M1644" s="18"/>
    </row>
    <row r="1645" spans="1:13">
      <c r="A1645" s="18">
        <v>4</v>
      </c>
      <c r="B1645" s="19">
        <v>0</v>
      </c>
      <c r="C1645" s="18"/>
      <c r="D1645" s="18">
        <v>1</v>
      </c>
      <c r="E1645" s="20">
        <v>11500</v>
      </c>
      <c r="F1645" s="20">
        <v>3422</v>
      </c>
      <c r="G1645" s="18"/>
      <c r="H1645" s="18">
        <v>1</v>
      </c>
      <c r="I1645" s="21" t="s">
        <v>613</v>
      </c>
      <c r="J1645" s="18">
        <v>1</v>
      </c>
      <c r="K1645" s="18">
        <v>4013</v>
      </c>
      <c r="L1645" s="22"/>
      <c r="M1645" s="18"/>
    </row>
    <row r="1646" spans="1:13">
      <c r="A1646" s="18"/>
      <c r="B1646" s="18"/>
      <c r="C1646" s="18"/>
      <c r="D1646" s="18"/>
      <c r="E1646" s="20"/>
      <c r="F1646" s="20"/>
      <c r="G1646" s="18"/>
      <c r="H1646" s="18">
        <v>1</v>
      </c>
      <c r="I1646" s="21" t="s">
        <v>612</v>
      </c>
      <c r="J1646" s="18">
        <v>1</v>
      </c>
      <c r="K1646" s="18">
        <v>4013</v>
      </c>
      <c r="L1646" s="22"/>
      <c r="M1646" s="18"/>
    </row>
    <row r="1647" spans="1:13">
      <c r="A1647" s="18">
        <v>5</v>
      </c>
      <c r="B1647" s="18">
        <v>0</v>
      </c>
      <c r="C1647" s="18"/>
      <c r="D1647" s="18">
        <v>1</v>
      </c>
      <c r="E1647" s="20">
        <v>11500</v>
      </c>
      <c r="F1647" s="20">
        <v>3474</v>
      </c>
      <c r="G1647" s="18"/>
      <c r="H1647" s="18">
        <v>1</v>
      </c>
      <c r="I1647" s="21" t="s">
        <v>615</v>
      </c>
      <c r="J1647" s="18">
        <v>1</v>
      </c>
      <c r="K1647" s="18">
        <v>3988</v>
      </c>
      <c r="L1647" s="22"/>
      <c r="M1647" s="18"/>
    </row>
    <row r="1648" spans="1:13">
      <c r="A1648" s="18"/>
      <c r="B1648" s="18"/>
      <c r="C1648" s="18"/>
      <c r="D1648" s="18"/>
      <c r="E1648" s="20"/>
      <c r="F1648" s="20"/>
      <c r="G1648" s="18"/>
      <c r="H1648" s="18">
        <v>1</v>
      </c>
      <c r="I1648" s="21" t="s">
        <v>599</v>
      </c>
      <c r="J1648" s="18">
        <v>1</v>
      </c>
      <c r="K1648" s="18">
        <v>3986</v>
      </c>
      <c r="L1648" s="22"/>
      <c r="M1648" s="18"/>
    </row>
    <row r="1649" spans="1:13">
      <c r="A1649" s="18">
        <v>6</v>
      </c>
      <c r="B1649" s="18">
        <v>0</v>
      </c>
      <c r="C1649" s="18"/>
      <c r="D1649" s="18">
        <v>1</v>
      </c>
      <c r="E1649" s="20">
        <v>11500</v>
      </c>
      <c r="F1649" s="20">
        <v>7504</v>
      </c>
      <c r="G1649" s="18"/>
      <c r="H1649" s="18">
        <v>1</v>
      </c>
      <c r="I1649" s="21" t="s">
        <v>614</v>
      </c>
      <c r="J1649" s="18">
        <v>1</v>
      </c>
      <c r="K1649" s="18">
        <v>3970</v>
      </c>
      <c r="L1649" s="22"/>
      <c r="M1649" s="18"/>
    </row>
    <row r="1650" spans="1:13">
      <c r="A1650" s="18">
        <v>7</v>
      </c>
      <c r="B1650" s="18">
        <v>0</v>
      </c>
      <c r="C1650" s="18"/>
      <c r="D1650" s="18">
        <v>1</v>
      </c>
      <c r="E1650" s="20">
        <v>11500</v>
      </c>
      <c r="F1650" s="20"/>
      <c r="G1650" s="18"/>
      <c r="H1650" s="18">
        <v>1</v>
      </c>
      <c r="I1650" s="21" t="s">
        <v>602</v>
      </c>
      <c r="J1650" s="18">
        <v>1</v>
      </c>
      <c r="K1650" s="18">
        <v>11496</v>
      </c>
      <c r="L1650" s="22"/>
      <c r="M1650" s="18"/>
    </row>
    <row r="1651" spans="1:13">
      <c r="A1651" s="18">
        <v>8</v>
      </c>
      <c r="B1651" s="18">
        <v>0</v>
      </c>
      <c r="C1651" s="18"/>
      <c r="D1651" s="18">
        <v>1</v>
      </c>
      <c r="E1651" s="20">
        <v>11500</v>
      </c>
      <c r="F1651" s="20"/>
      <c r="G1651" s="18"/>
      <c r="H1651" s="18">
        <v>1</v>
      </c>
      <c r="I1651" s="21" t="s">
        <v>601</v>
      </c>
      <c r="J1651" s="18">
        <v>1</v>
      </c>
      <c r="K1651" s="18">
        <v>11496</v>
      </c>
      <c r="L1651" s="22"/>
      <c r="M1651" s="18"/>
    </row>
    <row r="1652" spans="1:13">
      <c r="A1652" s="18">
        <v>9</v>
      </c>
      <c r="B1652" s="18">
        <v>0</v>
      </c>
      <c r="C1652" s="18"/>
      <c r="D1652" s="18">
        <v>1</v>
      </c>
      <c r="E1652" s="20">
        <v>11500</v>
      </c>
      <c r="F1652" s="20"/>
      <c r="G1652" s="18"/>
      <c r="H1652" s="18">
        <v>1</v>
      </c>
      <c r="I1652" s="21" t="s">
        <v>605</v>
      </c>
      <c r="J1652" s="18">
        <v>1</v>
      </c>
      <c r="K1652" s="18">
        <v>11496</v>
      </c>
      <c r="L1652" s="22"/>
      <c r="M1652" s="18"/>
    </row>
    <row r="1653" spans="1:13">
      <c r="A1653" s="18">
        <v>10</v>
      </c>
      <c r="B1653" s="18">
        <v>0</v>
      </c>
      <c r="C1653" s="18"/>
      <c r="D1653" s="18">
        <v>1</v>
      </c>
      <c r="E1653" s="20">
        <v>11500</v>
      </c>
      <c r="F1653" s="20"/>
      <c r="G1653" s="18"/>
      <c r="H1653" s="18">
        <v>1</v>
      </c>
      <c r="I1653" s="21" t="s">
        <v>600</v>
      </c>
      <c r="J1653" s="18">
        <v>1</v>
      </c>
      <c r="K1653" s="18">
        <v>11496</v>
      </c>
      <c r="L1653" s="22"/>
      <c r="M1653" s="18"/>
    </row>
    <row r="1654" spans="1:13">
      <c r="A1654" s="5">
        <v>11</v>
      </c>
      <c r="B1654" s="5">
        <v>0</v>
      </c>
      <c r="C1654" s="5"/>
      <c r="D1654" s="5">
        <v>1</v>
      </c>
      <c r="E1654" s="6">
        <v>11500</v>
      </c>
      <c r="F1654" s="6"/>
      <c r="G1654" s="5"/>
      <c r="H1654" s="5">
        <v>1</v>
      </c>
      <c r="I1654" s="7" t="s">
        <v>604</v>
      </c>
      <c r="J1654" s="5">
        <v>1</v>
      </c>
      <c r="K1654" s="5">
        <v>11496</v>
      </c>
      <c r="L1654" s="8"/>
      <c r="M1654" s="5"/>
    </row>
    <row r="1655" spans="1:13">
      <c r="A1655" s="5">
        <v>12</v>
      </c>
      <c r="B1655" s="5">
        <v>0</v>
      </c>
      <c r="C1655" s="5"/>
      <c r="D1655" s="5">
        <v>1</v>
      </c>
      <c r="E1655" s="6">
        <v>11500</v>
      </c>
      <c r="F1655" s="6">
        <v>948</v>
      </c>
      <c r="G1655" s="5"/>
      <c r="H1655" s="5">
        <v>1</v>
      </c>
      <c r="I1655" s="7" t="s">
        <v>606</v>
      </c>
      <c r="J1655" s="5">
        <v>1</v>
      </c>
      <c r="K1655" s="5">
        <v>10526</v>
      </c>
      <c r="L1655" s="8"/>
      <c r="M1655" s="18"/>
    </row>
    <row r="1656" spans="1:13">
      <c r="A1656" s="5"/>
      <c r="B1656" s="5"/>
      <c r="C1656" s="5"/>
      <c r="D1656" s="5"/>
      <c r="E1656" s="6"/>
      <c r="F1656" s="6"/>
      <c r="G1656" s="5"/>
      <c r="H1656" s="5"/>
      <c r="I1656" s="7"/>
      <c r="J1656" s="5"/>
      <c r="K1656" s="5"/>
      <c r="L1656" s="8"/>
      <c r="M1656" s="5"/>
    </row>
    <row r="1657" spans="1:13">
      <c r="A1657" s="117" t="s">
        <v>4</v>
      </c>
      <c r="B1657" s="117"/>
      <c r="C1657" s="117"/>
      <c r="D1657" s="117"/>
      <c r="E1657" s="117"/>
      <c r="F1657" s="117"/>
      <c r="G1657" s="117"/>
      <c r="H1657" s="117"/>
      <c r="I1657" s="118" t="s">
        <v>8</v>
      </c>
      <c r="J1657" s="118"/>
      <c r="K1657" s="89" t="s">
        <v>70</v>
      </c>
      <c r="L1657" s="119"/>
      <c r="M1657" s="120"/>
    </row>
    <row r="1658" spans="1:13">
      <c r="A1658" s="117"/>
      <c r="B1658" s="117"/>
      <c r="C1658" s="117"/>
      <c r="D1658" s="117"/>
      <c r="E1658" s="117"/>
      <c r="F1658" s="117"/>
      <c r="G1658" s="117"/>
      <c r="H1658" s="117"/>
      <c r="I1658" s="118" t="s">
        <v>25</v>
      </c>
      <c r="J1658" s="118"/>
      <c r="K1658" s="121" t="s">
        <v>665</v>
      </c>
      <c r="L1658" s="118"/>
      <c r="M1658" s="118"/>
    </row>
    <row r="1659" spans="1:13">
      <c r="A1659" s="117"/>
      <c r="B1659" s="117"/>
      <c r="C1659" s="117"/>
      <c r="D1659" s="117"/>
      <c r="E1659" s="117"/>
      <c r="F1659" s="117"/>
      <c r="G1659" s="117"/>
      <c r="H1659" s="117"/>
      <c r="I1659" s="87" t="s">
        <v>26</v>
      </c>
      <c r="J1659" s="88"/>
      <c r="K1659" s="95" t="s">
        <v>290</v>
      </c>
      <c r="L1659" s="104"/>
      <c r="M1659" s="88"/>
    </row>
    <row r="1660" spans="1:13">
      <c r="A1660" s="118" t="s">
        <v>31</v>
      </c>
      <c r="B1660" s="118"/>
      <c r="C1660" s="118" t="s">
        <v>32</v>
      </c>
      <c r="D1660" s="118"/>
      <c r="E1660" s="118"/>
      <c r="F1660" s="118"/>
      <c r="G1660" s="118"/>
      <c r="H1660" s="118"/>
      <c r="I1660" s="40" t="s">
        <v>29</v>
      </c>
      <c r="J1660" s="41"/>
      <c r="K1660" s="118" t="s">
        <v>666</v>
      </c>
      <c r="L1660" s="118"/>
      <c r="M1660" s="118"/>
    </row>
    <row r="1661" spans="1:13">
      <c r="A1661" s="118"/>
      <c r="B1661" s="118"/>
      <c r="C1661" s="118"/>
      <c r="D1661" s="118"/>
      <c r="E1661" s="118"/>
      <c r="F1661" s="118"/>
      <c r="G1661" s="118"/>
      <c r="H1661" s="118"/>
      <c r="I1661" s="118" t="s">
        <v>30</v>
      </c>
      <c r="J1661" s="118"/>
      <c r="K1661" s="118" t="s">
        <v>667</v>
      </c>
      <c r="L1661" s="118"/>
      <c r="M1661" s="118"/>
    </row>
    <row r="1662" spans="1:13">
      <c r="A1662" s="122" t="s">
        <v>24</v>
      </c>
      <c r="B1662" s="122"/>
      <c r="C1662" s="122"/>
      <c r="D1662" s="42">
        <v>20</v>
      </c>
      <c r="E1662" s="117" t="s">
        <v>40</v>
      </c>
      <c r="F1662" s="117"/>
      <c r="G1662" s="117"/>
      <c r="H1662" s="42">
        <v>49</v>
      </c>
      <c r="I1662" s="118" t="s">
        <v>27</v>
      </c>
      <c r="J1662" s="118"/>
      <c r="K1662" s="118" t="s">
        <v>21</v>
      </c>
      <c r="L1662" s="118"/>
      <c r="M1662" s="118"/>
    </row>
    <row r="1663" spans="1:13" ht="45">
      <c r="A1663" s="3" t="s">
        <v>9</v>
      </c>
      <c r="B1663" s="3" t="s">
        <v>10</v>
      </c>
      <c r="C1663" s="3" t="s">
        <v>11</v>
      </c>
      <c r="D1663" s="3" t="s">
        <v>3</v>
      </c>
      <c r="E1663" s="4" t="s">
        <v>41</v>
      </c>
      <c r="F1663" s="4" t="s">
        <v>12</v>
      </c>
      <c r="G1663" s="3" t="s">
        <v>13</v>
      </c>
      <c r="H1663" s="3" t="s">
        <v>14</v>
      </c>
      <c r="I1663" s="3" t="s">
        <v>15</v>
      </c>
      <c r="J1663" s="3" t="s">
        <v>16</v>
      </c>
      <c r="K1663" s="3" t="s">
        <v>17</v>
      </c>
      <c r="L1663" s="3" t="s">
        <v>18</v>
      </c>
      <c r="M1663" s="3" t="s">
        <v>19</v>
      </c>
    </row>
    <row r="1664" spans="1:13">
      <c r="A1664" s="18">
        <v>1</v>
      </c>
      <c r="B1664" s="19">
        <v>0</v>
      </c>
      <c r="C1664" s="18"/>
      <c r="D1664" s="18">
        <v>1</v>
      </c>
      <c r="E1664" s="20">
        <v>11500</v>
      </c>
      <c r="F1664" s="20">
        <v>20</v>
      </c>
      <c r="G1664" s="18"/>
      <c r="H1664" s="18">
        <v>1</v>
      </c>
      <c r="I1664" s="21" t="s">
        <v>650</v>
      </c>
      <c r="J1664" s="18">
        <v>1</v>
      </c>
      <c r="K1664" s="18">
        <v>7734</v>
      </c>
      <c r="L1664" s="22"/>
      <c r="M1664" s="18"/>
    </row>
    <row r="1665" spans="1:13">
      <c r="A1665" s="18"/>
      <c r="B1665" s="18"/>
      <c r="C1665" s="18"/>
      <c r="D1665" s="18"/>
      <c r="E1665" s="20"/>
      <c r="F1665" s="20"/>
      <c r="G1665" s="18"/>
      <c r="H1665" s="18">
        <v>1</v>
      </c>
      <c r="I1665" s="21" t="s">
        <v>623</v>
      </c>
      <c r="J1665" s="18">
        <v>1</v>
      </c>
      <c r="K1665" s="18">
        <v>3284</v>
      </c>
      <c r="L1665" s="22"/>
      <c r="M1665" s="18"/>
    </row>
    <row r="1666" spans="1:13">
      <c r="A1666" s="18"/>
      <c r="B1666" s="18"/>
      <c r="C1666" s="18"/>
      <c r="D1666" s="18"/>
      <c r="E1666" s="20"/>
      <c r="F1666" s="20"/>
      <c r="G1666" s="18"/>
      <c r="H1666" s="18">
        <v>1</v>
      </c>
      <c r="I1666" s="21" t="s">
        <v>621</v>
      </c>
      <c r="J1666" s="18">
        <v>1</v>
      </c>
      <c r="K1666" s="18">
        <v>384</v>
      </c>
      <c r="L1666" s="22"/>
      <c r="M1666" s="18"/>
    </row>
    <row r="1667" spans="1:13">
      <c r="A1667" s="18">
        <v>2</v>
      </c>
      <c r="B1667" s="24">
        <v>0</v>
      </c>
      <c r="C1667" s="18"/>
      <c r="D1667" s="18">
        <v>1</v>
      </c>
      <c r="E1667" s="20">
        <v>11500</v>
      </c>
      <c r="F1667" s="20">
        <v>121</v>
      </c>
      <c r="G1667" s="18"/>
      <c r="H1667" s="18">
        <v>1</v>
      </c>
      <c r="I1667" s="21" t="s">
        <v>644</v>
      </c>
      <c r="J1667" s="18">
        <v>1</v>
      </c>
      <c r="K1667" s="18">
        <v>6839</v>
      </c>
      <c r="L1667" s="22"/>
      <c r="M1667" s="18"/>
    </row>
    <row r="1668" spans="1:13">
      <c r="A1668" s="18"/>
      <c r="B1668" s="18"/>
      <c r="C1668" s="18"/>
      <c r="D1668" s="18"/>
      <c r="E1668" s="20"/>
      <c r="F1668" s="20"/>
      <c r="G1668" s="18"/>
      <c r="H1668" s="18">
        <v>1</v>
      </c>
      <c r="I1668" s="21" t="s">
        <v>625</v>
      </c>
      <c r="J1668" s="18">
        <v>1</v>
      </c>
      <c r="K1668" s="18">
        <v>4101</v>
      </c>
      <c r="L1668" s="22"/>
      <c r="M1668" s="18"/>
    </row>
    <row r="1669" spans="1:13">
      <c r="A1669" s="18"/>
      <c r="B1669" s="24"/>
      <c r="C1669" s="18"/>
      <c r="D1669" s="18"/>
      <c r="E1669" s="20"/>
      <c r="F1669" s="20"/>
      <c r="G1669" s="18"/>
      <c r="H1669" s="18">
        <v>1</v>
      </c>
      <c r="I1669" s="21" t="s">
        <v>637</v>
      </c>
      <c r="J1669" s="18">
        <v>1</v>
      </c>
      <c r="K1669" s="18">
        <v>361</v>
      </c>
      <c r="L1669" s="22"/>
      <c r="M1669" s="18"/>
    </row>
    <row r="1670" spans="1:13">
      <c r="A1670" s="18">
        <v>3</v>
      </c>
      <c r="B1670" s="19">
        <v>0</v>
      </c>
      <c r="C1670" s="18"/>
      <c r="D1670" s="18">
        <v>1</v>
      </c>
      <c r="E1670" s="20">
        <v>11500</v>
      </c>
      <c r="F1670" s="20">
        <v>0</v>
      </c>
      <c r="G1670" s="18"/>
      <c r="H1670" s="18">
        <v>1</v>
      </c>
      <c r="I1670" s="21" t="s">
        <v>659</v>
      </c>
      <c r="J1670" s="18">
        <v>1</v>
      </c>
      <c r="K1670" s="18">
        <v>4749</v>
      </c>
      <c r="L1670" s="22"/>
      <c r="M1670" s="18"/>
    </row>
    <row r="1671" spans="1:13">
      <c r="A1671" s="18"/>
      <c r="B1671" s="18"/>
      <c r="C1671" s="18"/>
      <c r="D1671" s="18"/>
      <c r="E1671" s="20"/>
      <c r="F1671" s="20"/>
      <c r="G1671" s="18"/>
      <c r="H1671" s="18">
        <v>1</v>
      </c>
      <c r="I1671" s="21" t="s">
        <v>639</v>
      </c>
      <c r="J1671" s="18">
        <v>1</v>
      </c>
      <c r="K1671" s="18">
        <v>3179</v>
      </c>
      <c r="L1671" s="22"/>
      <c r="M1671" s="18"/>
    </row>
    <row r="1672" spans="1:13">
      <c r="A1672" s="18"/>
      <c r="B1672" s="18"/>
      <c r="C1672" s="18"/>
      <c r="D1672" s="18"/>
      <c r="E1672" s="20"/>
      <c r="F1672" s="20"/>
      <c r="G1672" s="18"/>
      <c r="H1672" s="18">
        <v>1</v>
      </c>
      <c r="I1672" s="21" t="s">
        <v>647</v>
      </c>
      <c r="J1672" s="18">
        <v>1</v>
      </c>
      <c r="K1672" s="18">
        <v>2734</v>
      </c>
      <c r="L1672" s="22"/>
      <c r="M1672" s="18"/>
    </row>
    <row r="1673" spans="1:13">
      <c r="A1673" s="18"/>
      <c r="B1673" s="18"/>
      <c r="C1673" s="18"/>
      <c r="D1673" s="18"/>
      <c r="E1673" s="20"/>
      <c r="F1673" s="20"/>
      <c r="G1673" s="18"/>
      <c r="H1673" s="18">
        <v>1</v>
      </c>
      <c r="I1673" s="21" t="s">
        <v>661</v>
      </c>
      <c r="J1673" s="18">
        <v>1</v>
      </c>
      <c r="K1673" s="18">
        <v>734</v>
      </c>
      <c r="L1673" s="22"/>
      <c r="M1673" s="18"/>
    </row>
    <row r="1674" spans="1:13">
      <c r="A1674" s="18">
        <v>4</v>
      </c>
      <c r="B1674" s="18">
        <v>0</v>
      </c>
      <c r="C1674" s="18"/>
      <c r="D1674" s="18">
        <v>1</v>
      </c>
      <c r="E1674" s="20">
        <v>11500</v>
      </c>
      <c r="F1674" s="20">
        <v>66</v>
      </c>
      <c r="G1674" s="18"/>
      <c r="H1674" s="18">
        <v>1</v>
      </c>
      <c r="I1674" s="21" t="s">
        <v>627</v>
      </c>
      <c r="J1674" s="18">
        <v>1</v>
      </c>
      <c r="K1674" s="18">
        <v>2405</v>
      </c>
      <c r="L1674" s="22"/>
      <c r="M1674" s="18"/>
    </row>
    <row r="1675" spans="1:13">
      <c r="A1675" s="18"/>
      <c r="B1675" s="18"/>
      <c r="C1675" s="18"/>
      <c r="D1675" s="18"/>
      <c r="E1675" s="20"/>
      <c r="F1675" s="20"/>
      <c r="G1675" s="18"/>
      <c r="H1675" s="18">
        <v>1</v>
      </c>
      <c r="I1675" s="21" t="s">
        <v>626</v>
      </c>
      <c r="J1675" s="18">
        <v>1</v>
      </c>
      <c r="K1675" s="18">
        <v>2234</v>
      </c>
      <c r="L1675" s="22"/>
      <c r="M1675" s="18"/>
    </row>
    <row r="1676" spans="1:13">
      <c r="A1676" s="18"/>
      <c r="B1676" s="18"/>
      <c r="C1676" s="18"/>
      <c r="D1676" s="18"/>
      <c r="E1676" s="20"/>
      <c r="F1676" s="20"/>
      <c r="G1676" s="18"/>
      <c r="H1676" s="18">
        <v>1</v>
      </c>
      <c r="I1676" s="21" t="s">
        <v>654</v>
      </c>
      <c r="J1676" s="18">
        <v>1</v>
      </c>
      <c r="K1676" s="18">
        <v>2224</v>
      </c>
      <c r="L1676" s="22"/>
      <c r="M1676" s="18"/>
    </row>
    <row r="1677" spans="1:13">
      <c r="A1677" s="18"/>
      <c r="B1677" s="18"/>
      <c r="C1677" s="18"/>
      <c r="D1677" s="18"/>
      <c r="E1677" s="20"/>
      <c r="F1677" s="20"/>
      <c r="G1677" s="18"/>
      <c r="H1677" s="18">
        <v>1</v>
      </c>
      <c r="I1677" s="21" t="s">
        <v>660</v>
      </c>
      <c r="J1677" s="18">
        <v>1</v>
      </c>
      <c r="K1677" s="18">
        <v>2114</v>
      </c>
      <c r="L1677" s="22"/>
      <c r="M1677" s="18"/>
    </row>
    <row r="1678" spans="1:13">
      <c r="A1678" s="18"/>
      <c r="B1678" s="18"/>
      <c r="C1678" s="18"/>
      <c r="D1678" s="18"/>
      <c r="E1678" s="20"/>
      <c r="F1678" s="20"/>
      <c r="G1678" s="18"/>
      <c r="H1678" s="18">
        <v>1</v>
      </c>
      <c r="I1678" s="21" t="s">
        <v>622</v>
      </c>
      <c r="J1678" s="18">
        <v>1</v>
      </c>
      <c r="K1678" s="18">
        <v>2034</v>
      </c>
      <c r="L1678" s="22"/>
      <c r="M1678" s="18"/>
    </row>
    <row r="1679" spans="1:13">
      <c r="A1679" s="5"/>
      <c r="B1679" s="5"/>
      <c r="C1679" s="5"/>
      <c r="D1679" s="5"/>
      <c r="E1679" s="6"/>
      <c r="F1679" s="6"/>
      <c r="G1679" s="5"/>
      <c r="H1679" s="5">
        <v>1</v>
      </c>
      <c r="I1679" s="7" t="s">
        <v>662</v>
      </c>
      <c r="J1679" s="5">
        <v>1</v>
      </c>
      <c r="K1679" s="5">
        <v>267</v>
      </c>
      <c r="L1679" s="8"/>
      <c r="M1679" s="5"/>
    </row>
    <row r="1680" spans="1:13">
      <c r="A1680" s="5">
        <v>5</v>
      </c>
      <c r="B1680" s="5">
        <v>0</v>
      </c>
      <c r="C1680" s="5"/>
      <c r="D1680" s="5">
        <v>1</v>
      </c>
      <c r="E1680" s="6">
        <v>11500</v>
      </c>
      <c r="F1680" s="6">
        <v>75</v>
      </c>
      <c r="G1680" s="5"/>
      <c r="H1680" s="5">
        <v>1</v>
      </c>
      <c r="I1680" s="7" t="s">
        <v>624</v>
      </c>
      <c r="J1680" s="5">
        <v>1</v>
      </c>
      <c r="K1680" s="5">
        <v>1863</v>
      </c>
      <c r="L1680" s="8"/>
      <c r="M1680" s="18"/>
    </row>
    <row r="1681" spans="1:13">
      <c r="A1681" s="5"/>
      <c r="B1681" s="5"/>
      <c r="C1681" s="5"/>
      <c r="D1681" s="5"/>
      <c r="E1681" s="6"/>
      <c r="F1681" s="6"/>
      <c r="G1681" s="5"/>
      <c r="H1681" s="5">
        <v>1</v>
      </c>
      <c r="I1681" s="7" t="s">
        <v>632</v>
      </c>
      <c r="J1681" s="5">
        <v>1</v>
      </c>
      <c r="K1681" s="5">
        <v>1659</v>
      </c>
      <c r="L1681" s="8"/>
      <c r="M1681" s="5"/>
    </row>
    <row r="1682" spans="1:13">
      <c r="A1682" s="5"/>
      <c r="B1682" s="5"/>
      <c r="C1682" s="5"/>
      <c r="D1682" s="5"/>
      <c r="E1682" s="6"/>
      <c r="F1682" s="6"/>
      <c r="G1682" s="5"/>
      <c r="H1682" s="5">
        <v>1</v>
      </c>
      <c r="I1682" s="7" t="s">
        <v>616</v>
      </c>
      <c r="J1682" s="5">
        <v>1</v>
      </c>
      <c r="K1682" s="5">
        <v>1559</v>
      </c>
      <c r="L1682" s="8"/>
      <c r="M1682" s="5"/>
    </row>
    <row r="1683" spans="1:13">
      <c r="A1683" s="5"/>
      <c r="B1683" s="5"/>
      <c r="C1683" s="5"/>
      <c r="D1683" s="5"/>
      <c r="E1683" s="6"/>
      <c r="F1683" s="6"/>
      <c r="G1683" s="5"/>
      <c r="H1683" s="5">
        <v>1</v>
      </c>
      <c r="I1683" s="7" t="s">
        <v>636</v>
      </c>
      <c r="J1683" s="5">
        <v>1</v>
      </c>
      <c r="K1683" s="5">
        <v>1494</v>
      </c>
      <c r="L1683" s="8"/>
      <c r="M1683" s="5"/>
    </row>
    <row r="1684" spans="1:13">
      <c r="A1684" s="5"/>
      <c r="B1684" s="5"/>
      <c r="C1684" s="5"/>
      <c r="D1684" s="5"/>
      <c r="E1684" s="6"/>
      <c r="F1684" s="6"/>
      <c r="G1684" s="5"/>
      <c r="H1684" s="5">
        <v>1</v>
      </c>
      <c r="I1684" s="7" t="s">
        <v>634</v>
      </c>
      <c r="J1684" s="5">
        <v>1</v>
      </c>
      <c r="K1684" s="5">
        <v>1234</v>
      </c>
      <c r="L1684" s="8"/>
      <c r="M1684" s="5"/>
    </row>
    <row r="1685" spans="1:13">
      <c r="A1685" s="5"/>
      <c r="B1685" s="5"/>
      <c r="C1685" s="5"/>
      <c r="D1685" s="5"/>
      <c r="E1685" s="6"/>
      <c r="F1685" s="6"/>
      <c r="G1685" s="5"/>
      <c r="H1685" s="5">
        <v>1</v>
      </c>
      <c r="I1685" s="7" t="s">
        <v>617</v>
      </c>
      <c r="J1685" s="5">
        <v>1</v>
      </c>
      <c r="K1685" s="5">
        <v>1134</v>
      </c>
      <c r="L1685" s="8"/>
      <c r="M1685" s="5"/>
    </row>
    <row r="1686" spans="1:13">
      <c r="A1686" s="5"/>
      <c r="B1686" s="5"/>
      <c r="C1686" s="5"/>
      <c r="D1686" s="5"/>
      <c r="E1686" s="6"/>
      <c r="F1686" s="6"/>
      <c r="G1686" s="5"/>
      <c r="H1686" s="5">
        <v>1</v>
      </c>
      <c r="I1686" s="7" t="s">
        <v>649</v>
      </c>
      <c r="J1686" s="5">
        <v>1</v>
      </c>
      <c r="K1686" s="5">
        <v>996</v>
      </c>
      <c r="L1686" s="8"/>
      <c r="M1686" s="5"/>
    </row>
    <row r="1687" spans="1:13">
      <c r="A1687" s="5"/>
      <c r="B1687" s="5"/>
      <c r="C1687" s="5"/>
      <c r="D1687" s="5"/>
      <c r="E1687" s="6"/>
      <c r="F1687" s="6"/>
      <c r="G1687" s="5"/>
      <c r="H1687" s="5">
        <v>1</v>
      </c>
      <c r="I1687" s="7" t="s">
        <v>648</v>
      </c>
      <c r="J1687" s="5">
        <v>1</v>
      </c>
      <c r="K1687" s="5">
        <v>996</v>
      </c>
      <c r="L1687" s="8"/>
      <c r="M1687" s="5"/>
    </row>
    <row r="1688" spans="1:13">
      <c r="A1688" s="5"/>
      <c r="B1688" s="5"/>
      <c r="C1688" s="5"/>
      <c r="D1688" s="5"/>
      <c r="E1688" s="6"/>
      <c r="F1688" s="6"/>
      <c r="G1688" s="5"/>
      <c r="H1688" s="5">
        <v>1</v>
      </c>
      <c r="I1688" s="7" t="s">
        <v>663</v>
      </c>
      <c r="J1688" s="5">
        <v>1</v>
      </c>
      <c r="K1688" s="5">
        <v>256</v>
      </c>
      <c r="L1688" s="8"/>
      <c r="M1688" s="5"/>
    </row>
    <row r="1689" spans="1:13">
      <c r="A1689" s="5">
        <v>6</v>
      </c>
      <c r="B1689" s="5">
        <v>0</v>
      </c>
      <c r="C1689" s="5"/>
      <c r="D1689" s="5">
        <v>1</v>
      </c>
      <c r="E1689" s="6">
        <v>11500</v>
      </c>
      <c r="F1689" s="6"/>
      <c r="G1689" s="5"/>
      <c r="H1689" s="5">
        <v>1</v>
      </c>
      <c r="I1689" s="7" t="s">
        <v>630</v>
      </c>
      <c r="J1689" s="5">
        <v>1</v>
      </c>
      <c r="K1689" s="5">
        <v>11496</v>
      </c>
      <c r="L1689" s="8"/>
      <c r="M1689" s="5"/>
    </row>
    <row r="1690" spans="1:13">
      <c r="A1690" s="5">
        <v>7</v>
      </c>
      <c r="B1690" s="5">
        <v>0</v>
      </c>
      <c r="C1690" s="5"/>
      <c r="D1690" s="5">
        <v>1</v>
      </c>
      <c r="E1690" s="6">
        <v>11500</v>
      </c>
      <c r="F1690" s="6"/>
      <c r="G1690" s="5"/>
      <c r="H1690" s="5">
        <v>1</v>
      </c>
      <c r="I1690" s="7" t="s">
        <v>628</v>
      </c>
      <c r="J1690" s="5">
        <v>1</v>
      </c>
      <c r="K1690" s="5">
        <v>11496</v>
      </c>
      <c r="L1690" s="8"/>
      <c r="M1690" s="5"/>
    </row>
    <row r="1691" spans="1:13">
      <c r="A1691" s="5">
        <v>8</v>
      </c>
      <c r="B1691" s="5">
        <v>0</v>
      </c>
      <c r="C1691" s="5"/>
      <c r="D1691" s="5">
        <v>1</v>
      </c>
      <c r="E1691" s="6">
        <v>11500</v>
      </c>
      <c r="F1691" s="6"/>
      <c r="G1691" s="5"/>
      <c r="H1691" s="5">
        <v>1</v>
      </c>
      <c r="I1691" s="7" t="s">
        <v>642</v>
      </c>
      <c r="J1691" s="5">
        <v>1</v>
      </c>
      <c r="K1691" s="5">
        <v>11496</v>
      </c>
      <c r="L1691" s="8"/>
      <c r="M1691" s="5"/>
    </row>
    <row r="1692" spans="1:13">
      <c r="A1692" s="5">
        <v>9</v>
      </c>
      <c r="B1692" s="5">
        <v>0</v>
      </c>
      <c r="C1692" s="5"/>
      <c r="D1692" s="5">
        <v>1</v>
      </c>
      <c r="E1692" s="6">
        <v>11500</v>
      </c>
      <c r="F1692" s="6"/>
      <c r="G1692" s="5"/>
      <c r="H1692" s="5">
        <v>1</v>
      </c>
      <c r="I1692" s="7" t="s">
        <v>620</v>
      </c>
      <c r="J1692" s="5">
        <v>1</v>
      </c>
      <c r="K1692" s="5">
        <v>11496</v>
      </c>
      <c r="L1692" s="8"/>
      <c r="M1692" s="5"/>
    </row>
    <row r="1693" spans="1:13">
      <c r="A1693" s="5">
        <v>10</v>
      </c>
      <c r="B1693" s="5">
        <v>0</v>
      </c>
      <c r="C1693" s="5"/>
      <c r="D1693" s="5">
        <v>1</v>
      </c>
      <c r="E1693" s="6">
        <v>11500</v>
      </c>
      <c r="F1693" s="6"/>
      <c r="G1693" s="5"/>
      <c r="H1693" s="5">
        <v>1</v>
      </c>
      <c r="I1693" s="7" t="s">
        <v>640</v>
      </c>
      <c r="J1693" s="5">
        <v>1</v>
      </c>
      <c r="K1693" s="5">
        <v>11496</v>
      </c>
      <c r="L1693" s="8"/>
      <c r="M1693" s="5"/>
    </row>
    <row r="1694" spans="1:13">
      <c r="A1694" s="5">
        <v>11</v>
      </c>
      <c r="B1694" s="5">
        <v>0</v>
      </c>
      <c r="C1694" s="5"/>
      <c r="D1694" s="5">
        <v>1</v>
      </c>
      <c r="E1694" s="6">
        <v>11500</v>
      </c>
      <c r="F1694" s="6"/>
      <c r="G1694" s="5"/>
      <c r="H1694" s="5">
        <v>1</v>
      </c>
      <c r="I1694" s="7" t="s">
        <v>643</v>
      </c>
      <c r="J1694" s="5">
        <v>1</v>
      </c>
      <c r="K1694" s="5">
        <v>11496</v>
      </c>
      <c r="L1694" s="8"/>
      <c r="M1694" s="5"/>
    </row>
    <row r="1695" spans="1:13">
      <c r="A1695" s="5">
        <v>12</v>
      </c>
      <c r="B1695" s="5">
        <v>0</v>
      </c>
      <c r="C1695" s="5"/>
      <c r="D1695" s="5">
        <v>1</v>
      </c>
      <c r="E1695" s="6">
        <v>11500</v>
      </c>
      <c r="F1695" s="6"/>
      <c r="G1695" s="5"/>
      <c r="H1695" s="5">
        <v>1</v>
      </c>
      <c r="I1695" s="7" t="s">
        <v>645</v>
      </c>
      <c r="J1695" s="5">
        <v>1</v>
      </c>
      <c r="K1695" s="5">
        <v>11496</v>
      </c>
      <c r="L1695" s="8"/>
      <c r="M1695" s="5"/>
    </row>
    <row r="1696" spans="1:13">
      <c r="A1696" s="5">
        <v>13</v>
      </c>
      <c r="B1696" s="5">
        <v>0</v>
      </c>
      <c r="C1696" s="5"/>
      <c r="D1696" s="5">
        <v>1</v>
      </c>
      <c r="E1696" s="6">
        <v>11500</v>
      </c>
      <c r="F1696" s="6"/>
      <c r="G1696" s="5"/>
      <c r="H1696" s="5">
        <v>1</v>
      </c>
      <c r="I1696" s="7" t="s">
        <v>646</v>
      </c>
      <c r="J1696" s="5">
        <v>1</v>
      </c>
      <c r="K1696" s="5">
        <v>11496</v>
      </c>
      <c r="L1696" s="8"/>
      <c r="M1696" s="5"/>
    </row>
    <row r="1697" spans="1:13">
      <c r="A1697" s="5">
        <v>14</v>
      </c>
      <c r="B1697" s="5">
        <v>0</v>
      </c>
      <c r="C1697" s="5"/>
      <c r="D1697" s="5">
        <v>1</v>
      </c>
      <c r="E1697" s="6">
        <v>11500</v>
      </c>
      <c r="F1697" s="6"/>
      <c r="G1697" s="5"/>
      <c r="H1697" s="5">
        <v>1</v>
      </c>
      <c r="I1697" s="7" t="s">
        <v>651</v>
      </c>
      <c r="J1697" s="5">
        <v>1</v>
      </c>
      <c r="K1697" s="5">
        <v>11496</v>
      </c>
      <c r="L1697" s="8"/>
      <c r="M1697" s="5"/>
    </row>
    <row r="1698" spans="1:13">
      <c r="A1698" s="5">
        <v>15</v>
      </c>
      <c r="B1698" s="5">
        <v>0</v>
      </c>
      <c r="C1698" s="5"/>
      <c r="D1698" s="5">
        <v>1</v>
      </c>
      <c r="E1698" s="6">
        <v>11500</v>
      </c>
      <c r="F1698" s="6"/>
      <c r="G1698" s="5"/>
      <c r="H1698" s="5">
        <v>1</v>
      </c>
      <c r="I1698" s="7" t="s">
        <v>653</v>
      </c>
      <c r="J1698" s="5">
        <v>1</v>
      </c>
      <c r="K1698" s="5">
        <v>11496</v>
      </c>
      <c r="L1698" s="8"/>
      <c r="M1698" s="5"/>
    </row>
    <row r="1699" spans="1:13">
      <c r="A1699" s="5">
        <v>16</v>
      </c>
      <c r="B1699" s="5">
        <v>0</v>
      </c>
      <c r="C1699" s="5"/>
      <c r="D1699" s="5">
        <v>1</v>
      </c>
      <c r="E1699" s="6">
        <v>11500</v>
      </c>
      <c r="F1699" s="6"/>
      <c r="G1699" s="5"/>
      <c r="H1699" s="5">
        <v>1</v>
      </c>
      <c r="I1699" s="7" t="s">
        <v>656</v>
      </c>
      <c r="J1699" s="5">
        <v>1</v>
      </c>
      <c r="K1699" s="5">
        <v>11496</v>
      </c>
      <c r="L1699" s="8"/>
      <c r="M1699" s="5"/>
    </row>
    <row r="1700" spans="1:13">
      <c r="A1700" s="5">
        <v>17</v>
      </c>
      <c r="B1700" s="5">
        <v>0</v>
      </c>
      <c r="C1700" s="5"/>
      <c r="D1700" s="5">
        <v>1</v>
      </c>
      <c r="E1700" s="6">
        <v>11500</v>
      </c>
      <c r="F1700" s="6"/>
      <c r="G1700" s="5"/>
      <c r="H1700" s="5">
        <v>1</v>
      </c>
      <c r="I1700" s="7" t="s">
        <v>657</v>
      </c>
      <c r="J1700" s="5">
        <v>1</v>
      </c>
      <c r="K1700" s="5">
        <v>11496</v>
      </c>
      <c r="L1700" s="8"/>
      <c r="M1700" s="5"/>
    </row>
    <row r="1701" spans="1:13">
      <c r="A1701" s="5">
        <v>18</v>
      </c>
      <c r="B1701" s="5">
        <v>0</v>
      </c>
      <c r="C1701" s="5"/>
      <c r="D1701" s="5">
        <v>1</v>
      </c>
      <c r="E1701" s="6">
        <v>11500</v>
      </c>
      <c r="F1701" s="6"/>
      <c r="G1701" s="5"/>
      <c r="H1701" s="5">
        <v>1</v>
      </c>
      <c r="I1701" s="7" t="s">
        <v>641</v>
      </c>
      <c r="J1701" s="5">
        <v>1</v>
      </c>
      <c r="K1701" s="5">
        <v>11496</v>
      </c>
      <c r="L1701" s="8"/>
      <c r="M1701" s="5"/>
    </row>
    <row r="1702" spans="1:13">
      <c r="A1702" s="5">
        <v>19</v>
      </c>
      <c r="B1702" s="5">
        <v>0</v>
      </c>
      <c r="C1702" s="5"/>
      <c r="D1702" s="5">
        <v>1</v>
      </c>
      <c r="E1702" s="6">
        <v>11500</v>
      </c>
      <c r="F1702" s="6">
        <v>45</v>
      </c>
      <c r="G1702" s="5"/>
      <c r="H1702" s="5">
        <v>1</v>
      </c>
      <c r="I1702" s="7" t="s">
        <v>618</v>
      </c>
      <c r="J1702" s="5">
        <v>1</v>
      </c>
      <c r="K1702" s="5">
        <v>11254</v>
      </c>
      <c r="L1702" s="8"/>
      <c r="M1702" s="5"/>
    </row>
    <row r="1703" spans="1:13">
      <c r="A1703" s="5"/>
      <c r="B1703" s="5"/>
      <c r="C1703" s="5"/>
      <c r="D1703" s="5"/>
      <c r="E1703" s="6"/>
      <c r="F1703" s="6"/>
      <c r="G1703" s="5"/>
      <c r="H1703" s="5">
        <v>1</v>
      </c>
      <c r="I1703" s="7" t="s">
        <v>635</v>
      </c>
      <c r="J1703" s="5">
        <v>1</v>
      </c>
      <c r="K1703" s="5">
        <v>149</v>
      </c>
      <c r="L1703" s="8"/>
      <c r="M1703" s="5"/>
    </row>
    <row r="1704" spans="1:13">
      <c r="A1704" s="5">
        <v>20</v>
      </c>
      <c r="B1704" s="5">
        <v>0</v>
      </c>
      <c r="C1704" s="5"/>
      <c r="D1704" s="5">
        <v>1</v>
      </c>
      <c r="E1704" s="6">
        <v>11500</v>
      </c>
      <c r="F1704" s="6">
        <v>7172</v>
      </c>
      <c r="G1704" s="5"/>
      <c r="H1704" s="5">
        <v>1</v>
      </c>
      <c r="I1704" s="7" t="s">
        <v>638</v>
      </c>
      <c r="J1704" s="5">
        <v>1</v>
      </c>
      <c r="K1704" s="5">
        <v>996</v>
      </c>
      <c r="L1704" s="8"/>
      <c r="M1704" s="5"/>
    </row>
    <row r="1705" spans="1:13">
      <c r="A1705" s="5"/>
      <c r="B1705" s="5"/>
      <c r="C1705" s="5"/>
      <c r="D1705" s="5"/>
      <c r="E1705" s="6"/>
      <c r="F1705" s="6"/>
      <c r="G1705" s="5"/>
      <c r="H1705" s="5">
        <v>1</v>
      </c>
      <c r="I1705" s="7" t="s">
        <v>658</v>
      </c>
      <c r="J1705" s="5">
        <v>1</v>
      </c>
      <c r="K1705" s="5">
        <v>933</v>
      </c>
      <c r="L1705" s="8"/>
      <c r="M1705" s="5"/>
    </row>
    <row r="1706" spans="1:13">
      <c r="A1706" s="5"/>
      <c r="B1706" s="5"/>
      <c r="C1706" s="5"/>
      <c r="D1706" s="5"/>
      <c r="E1706" s="6"/>
      <c r="F1706" s="6"/>
      <c r="G1706" s="5"/>
      <c r="H1706" s="5">
        <v>1</v>
      </c>
      <c r="I1706" s="7" t="s">
        <v>664</v>
      </c>
      <c r="J1706" s="5">
        <v>1</v>
      </c>
      <c r="K1706" s="5">
        <v>634</v>
      </c>
      <c r="L1706" s="8"/>
      <c r="M1706" s="5"/>
    </row>
    <row r="1707" spans="1:13">
      <c r="A1707" s="5"/>
      <c r="B1707" s="5"/>
      <c r="C1707" s="5"/>
      <c r="D1707" s="5"/>
      <c r="E1707" s="6"/>
      <c r="F1707" s="6"/>
      <c r="G1707" s="5"/>
      <c r="H1707" s="5">
        <v>1</v>
      </c>
      <c r="I1707" s="7" t="s">
        <v>633</v>
      </c>
      <c r="J1707" s="5">
        <v>1</v>
      </c>
      <c r="K1707" s="5">
        <v>361</v>
      </c>
      <c r="L1707" s="8"/>
      <c r="M1707" s="5"/>
    </row>
    <row r="1708" spans="1:13">
      <c r="A1708" s="5"/>
      <c r="B1708" s="5"/>
      <c r="C1708" s="5"/>
      <c r="D1708" s="5"/>
      <c r="E1708" s="6"/>
      <c r="F1708" s="6"/>
      <c r="G1708" s="5"/>
      <c r="H1708" s="5">
        <v>1</v>
      </c>
      <c r="I1708" s="7" t="s">
        <v>631</v>
      </c>
      <c r="J1708" s="5">
        <v>1</v>
      </c>
      <c r="K1708" s="5">
        <v>234</v>
      </c>
      <c r="L1708" s="8"/>
      <c r="M1708" s="5"/>
    </row>
    <row r="1709" spans="1:13">
      <c r="A1709" s="5"/>
      <c r="B1709" s="5"/>
      <c r="C1709" s="5"/>
      <c r="D1709" s="5"/>
      <c r="E1709" s="6"/>
      <c r="F1709" s="6"/>
      <c r="G1709" s="5"/>
      <c r="H1709" s="5">
        <v>1</v>
      </c>
      <c r="I1709" s="7" t="s">
        <v>629</v>
      </c>
      <c r="J1709" s="5">
        <v>1</v>
      </c>
      <c r="K1709" s="5">
        <v>234</v>
      </c>
      <c r="L1709" s="8"/>
      <c r="M1709" s="5"/>
    </row>
    <row r="1710" spans="1:13">
      <c r="A1710" s="5"/>
      <c r="B1710" s="5"/>
      <c r="C1710" s="5"/>
      <c r="D1710" s="5"/>
      <c r="E1710" s="6"/>
      <c r="F1710" s="6"/>
      <c r="G1710" s="5"/>
      <c r="H1710" s="5">
        <v>1</v>
      </c>
      <c r="I1710" s="7" t="s">
        <v>619</v>
      </c>
      <c r="J1710" s="5">
        <v>1</v>
      </c>
      <c r="K1710" s="5">
        <v>234</v>
      </c>
      <c r="L1710" s="8"/>
      <c r="M1710" s="5"/>
    </row>
    <row r="1711" spans="1:13">
      <c r="A1711" s="5"/>
      <c r="B1711" s="5"/>
      <c r="C1711" s="5"/>
      <c r="D1711" s="5"/>
      <c r="E1711" s="6"/>
      <c r="F1711" s="6"/>
      <c r="G1711" s="5"/>
      <c r="H1711" s="5">
        <v>1</v>
      </c>
      <c r="I1711" s="7" t="s">
        <v>652</v>
      </c>
      <c r="J1711" s="5">
        <v>1</v>
      </c>
      <c r="K1711" s="5">
        <v>234</v>
      </c>
      <c r="L1711" s="8"/>
      <c r="M1711" s="5"/>
    </row>
    <row r="1712" spans="1:13">
      <c r="A1712" s="5"/>
      <c r="B1712" s="5"/>
      <c r="C1712" s="5"/>
      <c r="D1712" s="5"/>
      <c r="E1712" s="6"/>
      <c r="F1712" s="6"/>
      <c r="G1712" s="5"/>
      <c r="H1712" s="5">
        <v>1</v>
      </c>
      <c r="I1712" s="7" t="s">
        <v>655</v>
      </c>
      <c r="J1712" s="5">
        <v>1</v>
      </c>
      <c r="K1712" s="5">
        <v>234</v>
      </c>
      <c r="L1712" s="8"/>
      <c r="M1712" s="5"/>
    </row>
    <row r="1713" spans="1:13">
      <c r="A1713" s="5"/>
      <c r="B1713" s="5"/>
      <c r="C1713" s="5"/>
      <c r="D1713" s="5"/>
      <c r="E1713" s="6"/>
      <c r="F1713" s="6"/>
      <c r="G1713" s="5"/>
      <c r="H1713" s="5"/>
      <c r="I1713" s="7"/>
      <c r="J1713" s="5"/>
      <c r="K1713" s="5"/>
      <c r="L1713" s="8"/>
      <c r="M1713" s="5"/>
    </row>
    <row r="1714" spans="1:13">
      <c r="A1714" s="117" t="s">
        <v>4</v>
      </c>
      <c r="B1714" s="117"/>
      <c r="C1714" s="117"/>
      <c r="D1714" s="117"/>
      <c r="E1714" s="117"/>
      <c r="F1714" s="117"/>
      <c r="G1714" s="117"/>
      <c r="H1714" s="117"/>
      <c r="I1714" s="118" t="s">
        <v>8</v>
      </c>
      <c r="J1714" s="118"/>
      <c r="K1714" s="89" t="s">
        <v>70</v>
      </c>
      <c r="L1714" s="119"/>
      <c r="M1714" s="120"/>
    </row>
    <row r="1715" spans="1:13">
      <c r="A1715" s="117"/>
      <c r="B1715" s="117"/>
      <c r="C1715" s="117"/>
      <c r="D1715" s="117"/>
      <c r="E1715" s="117"/>
      <c r="F1715" s="117"/>
      <c r="G1715" s="117"/>
      <c r="H1715" s="117"/>
      <c r="I1715" s="118" t="s">
        <v>25</v>
      </c>
      <c r="J1715" s="118"/>
      <c r="K1715" s="121" t="s">
        <v>291</v>
      </c>
      <c r="L1715" s="118"/>
      <c r="M1715" s="118"/>
    </row>
    <row r="1716" spans="1:13">
      <c r="A1716" s="117"/>
      <c r="B1716" s="117"/>
      <c r="C1716" s="117"/>
      <c r="D1716" s="117"/>
      <c r="E1716" s="117"/>
      <c r="F1716" s="117"/>
      <c r="G1716" s="117"/>
      <c r="H1716" s="117"/>
      <c r="I1716" s="87" t="s">
        <v>26</v>
      </c>
      <c r="J1716" s="88"/>
      <c r="K1716" s="95" t="s">
        <v>569</v>
      </c>
      <c r="L1716" s="104"/>
      <c r="M1716" s="88"/>
    </row>
    <row r="1717" spans="1:13">
      <c r="A1717" s="118" t="s">
        <v>31</v>
      </c>
      <c r="B1717" s="118"/>
      <c r="C1717" s="118" t="s">
        <v>32</v>
      </c>
      <c r="D1717" s="118"/>
      <c r="E1717" s="118"/>
      <c r="F1717" s="118"/>
      <c r="G1717" s="118"/>
      <c r="H1717" s="118"/>
      <c r="I1717" s="40" t="s">
        <v>29</v>
      </c>
      <c r="J1717" s="41"/>
      <c r="K1717" s="118" t="s">
        <v>340</v>
      </c>
      <c r="L1717" s="118"/>
      <c r="M1717" s="118"/>
    </row>
    <row r="1718" spans="1:13">
      <c r="A1718" s="118"/>
      <c r="B1718" s="118"/>
      <c r="C1718" s="118"/>
      <c r="D1718" s="118"/>
      <c r="E1718" s="118"/>
      <c r="F1718" s="118"/>
      <c r="G1718" s="118"/>
      <c r="H1718" s="118"/>
      <c r="I1718" s="118" t="s">
        <v>30</v>
      </c>
      <c r="J1718" s="118"/>
      <c r="K1718" s="118" t="s">
        <v>598</v>
      </c>
      <c r="L1718" s="118"/>
      <c r="M1718" s="118"/>
    </row>
    <row r="1719" spans="1:13">
      <c r="A1719" s="122" t="s">
        <v>24</v>
      </c>
      <c r="B1719" s="122"/>
      <c r="C1719" s="122"/>
      <c r="D1719" s="42">
        <v>1</v>
      </c>
      <c r="E1719" s="117" t="s">
        <v>40</v>
      </c>
      <c r="F1719" s="117"/>
      <c r="G1719" s="117"/>
      <c r="H1719" s="42">
        <v>4</v>
      </c>
      <c r="I1719" s="118" t="s">
        <v>27</v>
      </c>
      <c r="J1719" s="118"/>
      <c r="K1719" s="118" t="s">
        <v>21</v>
      </c>
      <c r="L1719" s="118"/>
      <c r="M1719" s="118"/>
    </row>
    <row r="1720" spans="1:13" ht="45">
      <c r="A1720" s="3" t="s">
        <v>9</v>
      </c>
      <c r="B1720" s="3" t="s">
        <v>10</v>
      </c>
      <c r="C1720" s="3" t="s">
        <v>11</v>
      </c>
      <c r="D1720" s="3" t="s">
        <v>3</v>
      </c>
      <c r="E1720" s="4" t="s">
        <v>41</v>
      </c>
      <c r="F1720" s="4" t="s">
        <v>12</v>
      </c>
      <c r="G1720" s="3" t="s">
        <v>13</v>
      </c>
      <c r="H1720" s="3" t="s">
        <v>14</v>
      </c>
      <c r="I1720" s="3" t="s">
        <v>15</v>
      </c>
      <c r="J1720" s="3" t="s">
        <v>16</v>
      </c>
      <c r="K1720" s="3" t="s">
        <v>17</v>
      </c>
      <c r="L1720" s="3" t="s">
        <v>18</v>
      </c>
      <c r="M1720" s="3" t="s">
        <v>19</v>
      </c>
    </row>
    <row r="1721" spans="1:13">
      <c r="A1721" s="18">
        <v>1</v>
      </c>
      <c r="B1721" s="19">
        <v>0</v>
      </c>
      <c r="C1721" s="18"/>
      <c r="D1721" s="18">
        <v>1</v>
      </c>
      <c r="E1721" s="20">
        <v>11500</v>
      </c>
      <c r="F1721" s="20">
        <v>3072</v>
      </c>
      <c r="G1721" s="18"/>
      <c r="H1721" s="18">
        <v>1</v>
      </c>
      <c r="I1721" s="21" t="s">
        <v>566</v>
      </c>
      <c r="J1721" s="18">
        <v>1</v>
      </c>
      <c r="K1721" s="18">
        <v>3431</v>
      </c>
      <c r="L1721" s="22"/>
      <c r="M1721" s="18"/>
    </row>
    <row r="1722" spans="1:13">
      <c r="A1722" s="18"/>
      <c r="B1722" s="18"/>
      <c r="C1722" s="18"/>
      <c r="D1722" s="18"/>
      <c r="E1722" s="20"/>
      <c r="F1722" s="20"/>
      <c r="G1722" s="18"/>
      <c r="H1722" s="18">
        <v>1</v>
      </c>
      <c r="I1722" s="21" t="s">
        <v>567</v>
      </c>
      <c r="J1722" s="18">
        <v>1</v>
      </c>
      <c r="K1722" s="18">
        <v>1981</v>
      </c>
      <c r="L1722" s="22"/>
      <c r="M1722" s="18"/>
    </row>
    <row r="1723" spans="1:13">
      <c r="A1723" s="18"/>
      <c r="B1723" s="18"/>
      <c r="C1723" s="18"/>
      <c r="D1723" s="18"/>
      <c r="E1723" s="20"/>
      <c r="F1723" s="20"/>
      <c r="G1723" s="18"/>
      <c r="H1723" s="18">
        <v>1</v>
      </c>
      <c r="I1723" s="21" t="s">
        <v>568</v>
      </c>
      <c r="J1723" s="18">
        <v>1</v>
      </c>
      <c r="K1723" s="18">
        <v>1481</v>
      </c>
      <c r="L1723" s="22"/>
      <c r="M1723" s="18"/>
    </row>
    <row r="1724" spans="1:13">
      <c r="A1724" s="18"/>
      <c r="B1724" s="24"/>
      <c r="C1724" s="18"/>
      <c r="D1724" s="18"/>
      <c r="E1724" s="20"/>
      <c r="F1724" s="20"/>
      <c r="G1724" s="18"/>
      <c r="H1724" s="18">
        <v>1</v>
      </c>
      <c r="I1724" s="21" t="s">
        <v>565</v>
      </c>
      <c r="J1724" s="18">
        <v>1</v>
      </c>
      <c r="K1724" s="18">
        <v>1431</v>
      </c>
      <c r="L1724" s="22"/>
      <c r="M1724" s="18"/>
    </row>
    <row r="1725" spans="1:13">
      <c r="A1725" s="18"/>
      <c r="B1725" s="18"/>
      <c r="C1725" s="18"/>
      <c r="D1725" s="18"/>
      <c r="E1725" s="20"/>
      <c r="F1725" s="20"/>
      <c r="G1725" s="18"/>
      <c r="H1725" s="18"/>
      <c r="I1725" s="21"/>
      <c r="J1725" s="18"/>
      <c r="K1725" s="18"/>
      <c r="L1725" s="22"/>
      <c r="M1725" s="18"/>
    </row>
    <row r="1726" spans="1:13">
      <c r="A1726" s="117" t="s">
        <v>4</v>
      </c>
      <c r="B1726" s="117"/>
      <c r="C1726" s="117"/>
      <c r="D1726" s="117"/>
      <c r="E1726" s="117"/>
      <c r="F1726" s="117"/>
      <c r="G1726" s="117"/>
      <c r="H1726" s="117"/>
      <c r="I1726" s="118" t="s">
        <v>8</v>
      </c>
      <c r="J1726" s="118"/>
      <c r="K1726" s="89" t="s">
        <v>70</v>
      </c>
      <c r="L1726" s="119"/>
      <c r="M1726" s="120"/>
    </row>
    <row r="1727" spans="1:13">
      <c r="A1727" s="117"/>
      <c r="B1727" s="117"/>
      <c r="C1727" s="117"/>
      <c r="D1727" s="117"/>
      <c r="E1727" s="117"/>
      <c r="F1727" s="117"/>
      <c r="G1727" s="117"/>
      <c r="H1727" s="117"/>
      <c r="I1727" s="118" t="s">
        <v>25</v>
      </c>
      <c r="J1727" s="118"/>
      <c r="K1727" s="121" t="s">
        <v>291</v>
      </c>
      <c r="L1727" s="118"/>
      <c r="M1727" s="118"/>
    </row>
    <row r="1728" spans="1:13">
      <c r="A1728" s="117"/>
      <c r="B1728" s="117"/>
      <c r="C1728" s="117"/>
      <c r="D1728" s="117"/>
      <c r="E1728" s="117"/>
      <c r="F1728" s="117"/>
      <c r="G1728" s="117"/>
      <c r="H1728" s="117"/>
      <c r="I1728" s="87" t="s">
        <v>26</v>
      </c>
      <c r="J1728" s="88"/>
      <c r="K1728" s="95" t="s">
        <v>596</v>
      </c>
      <c r="L1728" s="104"/>
      <c r="M1728" s="88"/>
    </row>
    <row r="1729" spans="1:13">
      <c r="A1729" s="118" t="s">
        <v>31</v>
      </c>
      <c r="B1729" s="118"/>
      <c r="C1729" s="118" t="s">
        <v>32</v>
      </c>
      <c r="D1729" s="118"/>
      <c r="E1729" s="118"/>
      <c r="F1729" s="118"/>
      <c r="G1729" s="118"/>
      <c r="H1729" s="118"/>
      <c r="I1729" s="40" t="s">
        <v>29</v>
      </c>
      <c r="J1729" s="41"/>
      <c r="K1729" s="118" t="s">
        <v>340</v>
      </c>
      <c r="L1729" s="118"/>
      <c r="M1729" s="118"/>
    </row>
    <row r="1730" spans="1:13">
      <c r="A1730" s="118"/>
      <c r="B1730" s="118"/>
      <c r="C1730" s="118"/>
      <c r="D1730" s="118"/>
      <c r="E1730" s="118"/>
      <c r="F1730" s="118"/>
      <c r="G1730" s="118"/>
      <c r="H1730" s="118"/>
      <c r="I1730" s="118" t="s">
        <v>30</v>
      </c>
      <c r="J1730" s="118"/>
      <c r="K1730" s="118" t="s">
        <v>597</v>
      </c>
      <c r="L1730" s="118"/>
      <c r="M1730" s="118"/>
    </row>
    <row r="1731" spans="1:13">
      <c r="A1731" s="122" t="s">
        <v>24</v>
      </c>
      <c r="B1731" s="122"/>
      <c r="C1731" s="122"/>
      <c r="D1731" s="42">
        <v>9</v>
      </c>
      <c r="E1731" s="117" t="s">
        <v>40</v>
      </c>
      <c r="F1731" s="117"/>
      <c r="G1731" s="117"/>
      <c r="H1731" s="42">
        <v>15</v>
      </c>
      <c r="I1731" s="118" t="s">
        <v>27</v>
      </c>
      <c r="J1731" s="118"/>
      <c r="K1731" s="118" t="s">
        <v>21</v>
      </c>
      <c r="L1731" s="118"/>
      <c r="M1731" s="118"/>
    </row>
    <row r="1732" spans="1:13" ht="45">
      <c r="A1732" s="3" t="s">
        <v>9</v>
      </c>
      <c r="B1732" s="3" t="s">
        <v>10</v>
      </c>
      <c r="C1732" s="3" t="s">
        <v>11</v>
      </c>
      <c r="D1732" s="3" t="s">
        <v>3</v>
      </c>
      <c r="E1732" s="4" t="s">
        <v>41</v>
      </c>
      <c r="F1732" s="4" t="s">
        <v>12</v>
      </c>
      <c r="G1732" s="3" t="s">
        <v>13</v>
      </c>
      <c r="H1732" s="3" t="s">
        <v>14</v>
      </c>
      <c r="I1732" s="3" t="s">
        <v>15</v>
      </c>
      <c r="J1732" s="3" t="s">
        <v>16</v>
      </c>
      <c r="K1732" s="3" t="s">
        <v>17</v>
      </c>
      <c r="L1732" s="3" t="s">
        <v>18</v>
      </c>
      <c r="M1732" s="3" t="s">
        <v>19</v>
      </c>
    </row>
    <row r="1733" spans="1:13">
      <c r="A1733" s="18">
        <v>1</v>
      </c>
      <c r="B1733" s="19">
        <v>0</v>
      </c>
      <c r="C1733" s="18"/>
      <c r="D1733" s="18">
        <v>1</v>
      </c>
      <c r="E1733" s="20">
        <v>11500</v>
      </c>
      <c r="F1733" s="20">
        <v>55</v>
      </c>
      <c r="G1733" s="18"/>
      <c r="H1733" s="18">
        <v>1</v>
      </c>
      <c r="I1733" s="21" t="s">
        <v>583</v>
      </c>
      <c r="J1733" s="18">
        <v>1</v>
      </c>
      <c r="K1733" s="18">
        <v>9074</v>
      </c>
      <c r="L1733" s="22"/>
      <c r="M1733" s="18"/>
    </row>
    <row r="1734" spans="1:13">
      <c r="A1734" s="18"/>
      <c r="B1734" s="18"/>
      <c r="C1734" s="18"/>
      <c r="D1734" s="18"/>
      <c r="E1734" s="20"/>
      <c r="F1734" s="20"/>
      <c r="G1734" s="18"/>
      <c r="H1734" s="18">
        <v>1</v>
      </c>
      <c r="I1734" s="21" t="s">
        <v>594</v>
      </c>
      <c r="J1734" s="18">
        <v>1</v>
      </c>
      <c r="K1734" s="18">
        <v>1181</v>
      </c>
      <c r="L1734" s="22"/>
      <c r="M1734" s="18"/>
    </row>
    <row r="1735" spans="1:13">
      <c r="A1735" s="18"/>
      <c r="B1735" s="18"/>
      <c r="C1735" s="18"/>
      <c r="D1735" s="18"/>
      <c r="E1735" s="20"/>
      <c r="F1735" s="20"/>
      <c r="G1735" s="18"/>
      <c r="H1735" s="18">
        <v>1</v>
      </c>
      <c r="I1735" s="21" t="s">
        <v>594</v>
      </c>
      <c r="J1735" s="18">
        <v>1</v>
      </c>
      <c r="K1735" s="18">
        <v>1112</v>
      </c>
      <c r="L1735" s="22"/>
      <c r="M1735" s="18"/>
    </row>
    <row r="1736" spans="1:13">
      <c r="A1736" s="18">
        <v>2</v>
      </c>
      <c r="B1736" s="24">
        <v>0</v>
      </c>
      <c r="C1736" s="18"/>
      <c r="D1736" s="18">
        <v>1</v>
      </c>
      <c r="E1736" s="20">
        <v>11500</v>
      </c>
      <c r="F1736" s="20">
        <v>1060</v>
      </c>
      <c r="G1736" s="18"/>
      <c r="H1736" s="18">
        <v>1</v>
      </c>
      <c r="I1736" s="21" t="s">
        <v>591</v>
      </c>
      <c r="J1736" s="18">
        <v>1</v>
      </c>
      <c r="K1736" s="18">
        <v>7739</v>
      </c>
      <c r="L1736" s="22"/>
      <c r="M1736" s="18"/>
    </row>
    <row r="1737" spans="1:13">
      <c r="A1737" s="18"/>
      <c r="B1737" s="18"/>
      <c r="C1737" s="18"/>
      <c r="D1737" s="18"/>
      <c r="E1737" s="20"/>
      <c r="F1737" s="20"/>
      <c r="G1737" s="18"/>
      <c r="H1737" s="18">
        <v>1</v>
      </c>
      <c r="I1737" s="21" t="s">
        <v>584</v>
      </c>
      <c r="J1737" s="18">
        <v>1</v>
      </c>
      <c r="K1737" s="18">
        <v>2649</v>
      </c>
      <c r="L1737" s="22"/>
      <c r="M1737" s="18"/>
    </row>
    <row r="1738" spans="1:13">
      <c r="A1738" s="18">
        <v>3</v>
      </c>
      <c r="B1738" s="24">
        <v>0</v>
      </c>
      <c r="C1738" s="18"/>
      <c r="D1738" s="18">
        <v>1</v>
      </c>
      <c r="E1738" s="20">
        <v>11500</v>
      </c>
      <c r="F1738" s="20">
        <v>2890</v>
      </c>
      <c r="G1738" s="18"/>
      <c r="H1738" s="18">
        <v>1</v>
      </c>
      <c r="I1738" s="21" t="s">
        <v>586</v>
      </c>
      <c r="J1738" s="18">
        <v>1</v>
      </c>
      <c r="K1738" s="18">
        <v>6277</v>
      </c>
      <c r="L1738" s="22"/>
      <c r="M1738" s="18"/>
    </row>
    <row r="1739" spans="1:13">
      <c r="A1739" s="18"/>
      <c r="B1739" s="19"/>
      <c r="C1739" s="18"/>
      <c r="D1739" s="18"/>
      <c r="E1739" s="20"/>
      <c r="F1739" s="20"/>
      <c r="G1739" s="18"/>
      <c r="H1739" s="18">
        <v>1</v>
      </c>
      <c r="I1739" s="21" t="s">
        <v>595</v>
      </c>
      <c r="J1739" s="18">
        <v>1</v>
      </c>
      <c r="K1739" s="18">
        <v>1181</v>
      </c>
      <c r="L1739" s="22"/>
      <c r="M1739" s="18"/>
    </row>
    <row r="1740" spans="1:13">
      <c r="A1740" s="18"/>
      <c r="B1740" s="18"/>
      <c r="C1740" s="18"/>
      <c r="D1740" s="18"/>
      <c r="E1740" s="20"/>
      <c r="F1740" s="20"/>
      <c r="G1740" s="18"/>
      <c r="H1740" s="18">
        <v>1</v>
      </c>
      <c r="I1740" s="21" t="s">
        <v>593</v>
      </c>
      <c r="J1740" s="18">
        <v>1</v>
      </c>
      <c r="K1740" s="18">
        <v>1074</v>
      </c>
      <c r="L1740" s="22"/>
      <c r="M1740" s="18"/>
    </row>
    <row r="1741" spans="1:13">
      <c r="A1741" s="18">
        <v>4</v>
      </c>
      <c r="B1741" s="18">
        <v>0</v>
      </c>
      <c r="C1741" s="18"/>
      <c r="D1741" s="18">
        <v>1</v>
      </c>
      <c r="E1741" s="20">
        <v>11500</v>
      </c>
      <c r="F1741" s="20">
        <v>5500</v>
      </c>
      <c r="G1741" s="18"/>
      <c r="H1741" s="18">
        <v>1</v>
      </c>
      <c r="I1741" s="21" t="s">
        <v>592</v>
      </c>
      <c r="J1741" s="18">
        <v>1</v>
      </c>
      <c r="K1741" s="18">
        <v>5974</v>
      </c>
      <c r="L1741" s="22"/>
      <c r="M1741" s="18"/>
    </row>
    <row r="1742" spans="1:13">
      <c r="A1742" s="18">
        <v>5</v>
      </c>
      <c r="B1742" s="18">
        <v>0</v>
      </c>
      <c r="C1742" s="18"/>
      <c r="D1742" s="18">
        <v>1</v>
      </c>
      <c r="E1742" s="20">
        <v>11500</v>
      </c>
      <c r="F1742" s="20">
        <v>5540</v>
      </c>
      <c r="G1742" s="18"/>
      <c r="H1742" s="18">
        <v>1</v>
      </c>
      <c r="I1742" s="21" t="s">
        <v>588</v>
      </c>
      <c r="J1742" s="18">
        <v>1</v>
      </c>
      <c r="K1742" s="18">
        <v>5934</v>
      </c>
      <c r="L1742" s="22"/>
      <c r="M1742" s="18"/>
    </row>
    <row r="1743" spans="1:13">
      <c r="A1743" s="18">
        <v>6</v>
      </c>
      <c r="B1743" s="18">
        <v>0</v>
      </c>
      <c r="C1743" s="18"/>
      <c r="D1743" s="18">
        <v>1</v>
      </c>
      <c r="E1743" s="20">
        <v>11500</v>
      </c>
      <c r="F1743" s="20">
        <v>5700</v>
      </c>
      <c r="G1743" s="18"/>
      <c r="H1743" s="18">
        <v>1</v>
      </c>
      <c r="I1743" s="21" t="s">
        <v>585</v>
      </c>
      <c r="J1743" s="18">
        <v>1</v>
      </c>
      <c r="K1743" s="18">
        <v>5774</v>
      </c>
      <c r="L1743" s="22"/>
      <c r="M1743" s="18"/>
    </row>
    <row r="1744" spans="1:13">
      <c r="A1744" s="18">
        <v>7</v>
      </c>
      <c r="B1744" s="18">
        <v>0</v>
      </c>
      <c r="C1744" s="18"/>
      <c r="D1744" s="18">
        <v>1</v>
      </c>
      <c r="E1744" s="20">
        <v>11500</v>
      </c>
      <c r="F1744" s="20">
        <v>-24</v>
      </c>
      <c r="G1744" s="18"/>
      <c r="H1744" s="18">
        <v>1</v>
      </c>
      <c r="I1744" s="21" t="s">
        <v>590</v>
      </c>
      <c r="J1744" s="18">
        <v>1</v>
      </c>
      <c r="K1744" s="18">
        <v>11498</v>
      </c>
      <c r="L1744" s="22"/>
      <c r="M1744" s="18"/>
    </row>
    <row r="1745" spans="1:13">
      <c r="A1745" s="18">
        <v>8</v>
      </c>
      <c r="B1745" s="18">
        <v>0</v>
      </c>
      <c r="C1745" s="18"/>
      <c r="D1745" s="18">
        <v>1</v>
      </c>
      <c r="E1745" s="20">
        <v>11500</v>
      </c>
      <c r="F1745" s="20">
        <v>920</v>
      </c>
      <c r="G1745" s="18"/>
      <c r="H1745" s="18">
        <v>1</v>
      </c>
      <c r="I1745" s="21" t="s">
        <v>589</v>
      </c>
      <c r="J1745" s="18">
        <v>1</v>
      </c>
      <c r="K1745" s="18">
        <v>10554</v>
      </c>
      <c r="L1745" s="22"/>
      <c r="M1745" s="18"/>
    </row>
    <row r="1746" spans="1:13">
      <c r="A1746" s="18">
        <v>9</v>
      </c>
      <c r="B1746" s="18">
        <v>0</v>
      </c>
      <c r="C1746" s="18"/>
      <c r="D1746" s="18">
        <v>1</v>
      </c>
      <c r="E1746" s="20">
        <v>11500</v>
      </c>
      <c r="F1746" s="20">
        <v>20</v>
      </c>
      <c r="G1746" s="18"/>
      <c r="H1746" s="18">
        <v>1</v>
      </c>
      <c r="I1746" s="21" t="s">
        <v>587</v>
      </c>
      <c r="J1746" s="18">
        <v>1</v>
      </c>
      <c r="K1746" s="18">
        <v>10554</v>
      </c>
      <c r="L1746" s="22"/>
      <c r="M1746" s="18"/>
    </row>
    <row r="1747" spans="1:13">
      <c r="A1747" s="18"/>
      <c r="B1747" s="18"/>
      <c r="C1747" s="18"/>
      <c r="D1747" s="18"/>
      <c r="E1747" s="20"/>
      <c r="F1747" s="20"/>
      <c r="G1747" s="18"/>
      <c r="H1747" s="18">
        <v>1</v>
      </c>
      <c r="I1747" s="21" t="s">
        <v>582</v>
      </c>
      <c r="J1747" s="18">
        <v>1</v>
      </c>
      <c r="K1747" s="18">
        <v>874</v>
      </c>
      <c r="L1747" s="22"/>
      <c r="M1747" s="18"/>
    </row>
    <row r="1748" spans="1:13">
      <c r="A1748" s="5"/>
      <c r="B1748" s="5"/>
      <c r="C1748" s="5"/>
      <c r="D1748" s="5"/>
      <c r="E1748" s="6"/>
      <c r="F1748" s="6"/>
      <c r="G1748" s="5"/>
      <c r="H1748" s="5"/>
      <c r="I1748" s="7"/>
      <c r="J1748" s="5"/>
      <c r="K1748" s="5"/>
      <c r="L1748" s="8"/>
      <c r="M1748" s="5"/>
    </row>
    <row r="1749" spans="1:13">
      <c r="A1749" s="117" t="s">
        <v>4</v>
      </c>
      <c r="B1749" s="117"/>
      <c r="C1749" s="117"/>
      <c r="D1749" s="117"/>
      <c r="E1749" s="117"/>
      <c r="F1749" s="117"/>
      <c r="G1749" s="117"/>
      <c r="H1749" s="117"/>
      <c r="I1749" s="118" t="s">
        <v>8</v>
      </c>
      <c r="J1749" s="118"/>
      <c r="K1749" s="89" t="s">
        <v>70</v>
      </c>
      <c r="L1749" s="119"/>
      <c r="M1749" s="120"/>
    </row>
    <row r="1750" spans="1:13">
      <c r="A1750" s="117"/>
      <c r="B1750" s="117"/>
      <c r="C1750" s="117"/>
      <c r="D1750" s="117"/>
      <c r="E1750" s="117"/>
      <c r="F1750" s="117"/>
      <c r="G1750" s="117"/>
      <c r="H1750" s="117"/>
      <c r="I1750" s="118" t="s">
        <v>25</v>
      </c>
      <c r="J1750" s="118"/>
      <c r="K1750" s="121" t="s">
        <v>291</v>
      </c>
      <c r="L1750" s="118"/>
      <c r="M1750" s="118"/>
    </row>
    <row r="1751" spans="1:13">
      <c r="A1751" s="117"/>
      <c r="B1751" s="117"/>
      <c r="C1751" s="117"/>
      <c r="D1751" s="117"/>
      <c r="E1751" s="117"/>
      <c r="F1751" s="117"/>
      <c r="G1751" s="117"/>
      <c r="H1751" s="117"/>
      <c r="I1751" s="87" t="s">
        <v>26</v>
      </c>
      <c r="J1751" s="88"/>
      <c r="K1751" s="95" t="s">
        <v>580</v>
      </c>
      <c r="L1751" s="104"/>
      <c r="M1751" s="88"/>
    </row>
    <row r="1752" spans="1:13">
      <c r="A1752" s="118" t="s">
        <v>31</v>
      </c>
      <c r="B1752" s="118"/>
      <c r="C1752" s="118" t="s">
        <v>32</v>
      </c>
      <c r="D1752" s="118"/>
      <c r="E1752" s="118"/>
      <c r="F1752" s="118"/>
      <c r="G1752" s="118"/>
      <c r="H1752" s="118"/>
      <c r="I1752" s="40" t="s">
        <v>29</v>
      </c>
      <c r="J1752" s="41"/>
      <c r="K1752" s="118" t="s">
        <v>340</v>
      </c>
      <c r="L1752" s="118"/>
      <c r="M1752" s="118"/>
    </row>
    <row r="1753" spans="1:13">
      <c r="A1753" s="118"/>
      <c r="B1753" s="118"/>
      <c r="C1753" s="118"/>
      <c r="D1753" s="118"/>
      <c r="E1753" s="118"/>
      <c r="F1753" s="118"/>
      <c r="G1753" s="118"/>
      <c r="H1753" s="118"/>
      <c r="I1753" s="118" t="s">
        <v>30</v>
      </c>
      <c r="J1753" s="118"/>
      <c r="K1753" s="118" t="s">
        <v>581</v>
      </c>
      <c r="L1753" s="118"/>
      <c r="M1753" s="118"/>
    </row>
    <row r="1754" spans="1:13">
      <c r="A1754" s="122" t="s">
        <v>24</v>
      </c>
      <c r="B1754" s="122"/>
      <c r="C1754" s="122"/>
      <c r="D1754" s="42">
        <v>3</v>
      </c>
      <c r="E1754" s="117" t="s">
        <v>40</v>
      </c>
      <c r="F1754" s="117"/>
      <c r="G1754" s="117"/>
      <c r="H1754" s="42">
        <v>5</v>
      </c>
      <c r="I1754" s="118" t="s">
        <v>27</v>
      </c>
      <c r="J1754" s="118"/>
      <c r="K1754" s="118" t="s">
        <v>21</v>
      </c>
      <c r="L1754" s="118"/>
      <c r="M1754" s="118"/>
    </row>
    <row r="1755" spans="1:13" ht="45">
      <c r="A1755" s="3" t="s">
        <v>9</v>
      </c>
      <c r="B1755" s="3" t="s">
        <v>10</v>
      </c>
      <c r="C1755" s="3" t="s">
        <v>11</v>
      </c>
      <c r="D1755" s="3" t="s">
        <v>3</v>
      </c>
      <c r="E1755" s="4" t="s">
        <v>41</v>
      </c>
      <c r="F1755" s="4" t="s">
        <v>12</v>
      </c>
      <c r="G1755" s="3" t="s">
        <v>13</v>
      </c>
      <c r="H1755" s="3" t="s">
        <v>14</v>
      </c>
      <c r="I1755" s="3" t="s">
        <v>15</v>
      </c>
      <c r="J1755" s="3" t="s">
        <v>16</v>
      </c>
      <c r="K1755" s="3" t="s">
        <v>17</v>
      </c>
      <c r="L1755" s="3" t="s">
        <v>18</v>
      </c>
      <c r="M1755" s="3" t="s">
        <v>19</v>
      </c>
    </row>
    <row r="1756" spans="1:13">
      <c r="A1756" s="18">
        <v>1</v>
      </c>
      <c r="B1756" s="19">
        <v>0</v>
      </c>
      <c r="C1756" s="18"/>
      <c r="D1756" s="18">
        <v>1</v>
      </c>
      <c r="E1756" s="20">
        <v>11500</v>
      </c>
      <c r="F1756" s="20">
        <v>366</v>
      </c>
      <c r="G1756" s="18"/>
      <c r="H1756" s="18">
        <v>1</v>
      </c>
      <c r="I1756" s="21" t="s">
        <v>257</v>
      </c>
      <c r="J1756" s="18">
        <v>1</v>
      </c>
      <c r="K1756" s="18">
        <v>8998</v>
      </c>
      <c r="L1756" s="22"/>
      <c r="M1756" s="18"/>
    </row>
    <row r="1757" spans="1:13">
      <c r="A1757" s="18"/>
      <c r="B1757" s="18"/>
      <c r="C1757" s="18"/>
      <c r="D1757" s="18"/>
      <c r="E1757" s="20"/>
      <c r="F1757" s="20"/>
      <c r="G1757" s="18"/>
      <c r="H1757" s="18">
        <v>1</v>
      </c>
      <c r="I1757" s="21" t="s">
        <v>256</v>
      </c>
      <c r="J1757" s="18">
        <v>1</v>
      </c>
      <c r="K1757" s="18">
        <v>1870</v>
      </c>
      <c r="L1757" s="22"/>
      <c r="M1757" s="18"/>
    </row>
    <row r="1758" spans="1:13">
      <c r="A1758" s="18"/>
      <c r="B1758" s="18"/>
      <c r="C1758" s="18"/>
      <c r="D1758" s="18"/>
      <c r="E1758" s="20"/>
      <c r="F1758" s="20"/>
      <c r="G1758" s="18"/>
      <c r="H1758" s="18">
        <v>1</v>
      </c>
      <c r="I1758" s="21" t="s">
        <v>259</v>
      </c>
      <c r="J1758" s="18">
        <v>1</v>
      </c>
      <c r="K1758" s="18">
        <v>188</v>
      </c>
      <c r="L1758" s="22"/>
      <c r="M1758" s="18"/>
    </row>
    <row r="1759" spans="1:13">
      <c r="A1759" s="18">
        <v>2</v>
      </c>
      <c r="B1759" s="24">
        <v>0</v>
      </c>
      <c r="C1759" s="18"/>
      <c r="D1759" s="18">
        <v>1</v>
      </c>
      <c r="E1759" s="20">
        <v>11500</v>
      </c>
      <c r="F1759" s="20">
        <v>10608</v>
      </c>
      <c r="G1759" s="18"/>
      <c r="H1759" s="18">
        <v>1</v>
      </c>
      <c r="I1759" s="21" t="s">
        <v>579</v>
      </c>
      <c r="J1759" s="18">
        <v>1</v>
      </c>
      <c r="K1759" s="18">
        <v>866</v>
      </c>
      <c r="L1759" s="22"/>
      <c r="M1759" s="18"/>
    </row>
    <row r="1760" spans="1:13">
      <c r="A1760" s="18">
        <v>3</v>
      </c>
      <c r="B1760" s="18">
        <v>0</v>
      </c>
      <c r="C1760" s="18"/>
      <c r="D1760" s="18">
        <v>1</v>
      </c>
      <c r="E1760" s="20">
        <v>11500</v>
      </c>
      <c r="F1760" s="20"/>
      <c r="G1760" s="18"/>
      <c r="H1760" s="18">
        <v>1</v>
      </c>
      <c r="I1760" s="21" t="s">
        <v>258</v>
      </c>
      <c r="J1760" s="18">
        <v>1</v>
      </c>
      <c r="K1760" s="18">
        <v>11498</v>
      </c>
      <c r="L1760" s="22"/>
      <c r="M1760" s="18"/>
    </row>
    <row r="1761" spans="1:13">
      <c r="A1761" s="18"/>
      <c r="B1761" s="24"/>
      <c r="C1761" s="18"/>
      <c r="D1761" s="18"/>
      <c r="E1761" s="20"/>
      <c r="F1761" s="20"/>
      <c r="G1761" s="18"/>
      <c r="H1761" s="18"/>
      <c r="I1761" s="21"/>
      <c r="J1761" s="18"/>
      <c r="K1761" s="18"/>
      <c r="L1761" s="22"/>
      <c r="M1761" s="18"/>
    </row>
    <row r="1762" spans="1:13">
      <c r="A1762" s="117" t="s">
        <v>4</v>
      </c>
      <c r="B1762" s="117"/>
      <c r="C1762" s="117"/>
      <c r="D1762" s="117"/>
      <c r="E1762" s="117"/>
      <c r="F1762" s="117"/>
      <c r="G1762" s="117"/>
      <c r="H1762" s="117"/>
      <c r="I1762" s="118" t="s">
        <v>8</v>
      </c>
      <c r="J1762" s="118"/>
      <c r="K1762" s="89" t="s">
        <v>70</v>
      </c>
      <c r="L1762" s="119"/>
      <c r="M1762" s="120"/>
    </row>
    <row r="1763" spans="1:13">
      <c r="A1763" s="117"/>
      <c r="B1763" s="117"/>
      <c r="C1763" s="117"/>
      <c r="D1763" s="117"/>
      <c r="E1763" s="117"/>
      <c r="F1763" s="117"/>
      <c r="G1763" s="117"/>
      <c r="H1763" s="117"/>
      <c r="I1763" s="118" t="s">
        <v>25</v>
      </c>
      <c r="J1763" s="118"/>
      <c r="K1763" s="121" t="s">
        <v>291</v>
      </c>
      <c r="L1763" s="118"/>
      <c r="M1763" s="118"/>
    </row>
    <row r="1764" spans="1:13">
      <c r="A1764" s="117"/>
      <c r="B1764" s="117"/>
      <c r="C1764" s="117"/>
      <c r="D1764" s="117"/>
      <c r="E1764" s="117"/>
      <c r="F1764" s="117"/>
      <c r="G1764" s="117"/>
      <c r="H1764" s="117"/>
      <c r="I1764" s="87" t="s">
        <v>26</v>
      </c>
      <c r="J1764" s="88"/>
      <c r="K1764" s="95" t="s">
        <v>577</v>
      </c>
      <c r="L1764" s="104"/>
      <c r="M1764" s="88"/>
    </row>
    <row r="1765" spans="1:13">
      <c r="A1765" s="118" t="s">
        <v>31</v>
      </c>
      <c r="B1765" s="118"/>
      <c r="C1765" s="118" t="s">
        <v>32</v>
      </c>
      <c r="D1765" s="118"/>
      <c r="E1765" s="118"/>
      <c r="F1765" s="118"/>
      <c r="G1765" s="118"/>
      <c r="H1765" s="118"/>
      <c r="I1765" s="40" t="s">
        <v>29</v>
      </c>
      <c r="J1765" s="41"/>
      <c r="K1765" s="118" t="s">
        <v>340</v>
      </c>
      <c r="L1765" s="118"/>
      <c r="M1765" s="118"/>
    </row>
    <row r="1766" spans="1:13">
      <c r="A1766" s="118"/>
      <c r="B1766" s="118"/>
      <c r="C1766" s="118"/>
      <c r="D1766" s="118"/>
      <c r="E1766" s="118"/>
      <c r="F1766" s="118"/>
      <c r="G1766" s="118"/>
      <c r="H1766" s="118"/>
      <c r="I1766" s="118" t="s">
        <v>30</v>
      </c>
      <c r="J1766" s="118"/>
      <c r="K1766" s="118" t="s">
        <v>578</v>
      </c>
      <c r="L1766" s="118"/>
      <c r="M1766" s="118"/>
    </row>
    <row r="1767" spans="1:13">
      <c r="A1767" s="122" t="s">
        <v>24</v>
      </c>
      <c r="B1767" s="122"/>
      <c r="C1767" s="122"/>
      <c r="D1767" s="42">
        <v>2</v>
      </c>
      <c r="E1767" s="117" t="s">
        <v>40</v>
      </c>
      <c r="F1767" s="117"/>
      <c r="G1767" s="117"/>
      <c r="H1767" s="42">
        <v>3</v>
      </c>
      <c r="I1767" s="118" t="s">
        <v>27</v>
      </c>
      <c r="J1767" s="118"/>
      <c r="K1767" s="118" t="s">
        <v>21</v>
      </c>
      <c r="L1767" s="118"/>
      <c r="M1767" s="118"/>
    </row>
    <row r="1768" spans="1:13" ht="45">
      <c r="A1768" s="3" t="s">
        <v>9</v>
      </c>
      <c r="B1768" s="3" t="s">
        <v>10</v>
      </c>
      <c r="C1768" s="3" t="s">
        <v>11</v>
      </c>
      <c r="D1768" s="3" t="s">
        <v>3</v>
      </c>
      <c r="E1768" s="4" t="s">
        <v>41</v>
      </c>
      <c r="F1768" s="4" t="s">
        <v>12</v>
      </c>
      <c r="G1768" s="3" t="s">
        <v>13</v>
      </c>
      <c r="H1768" s="3" t="s">
        <v>14</v>
      </c>
      <c r="I1768" s="3" t="s">
        <v>15</v>
      </c>
      <c r="J1768" s="3" t="s">
        <v>16</v>
      </c>
      <c r="K1768" s="3" t="s">
        <v>17</v>
      </c>
      <c r="L1768" s="3" t="s">
        <v>18</v>
      </c>
      <c r="M1768" s="3" t="s">
        <v>19</v>
      </c>
    </row>
    <row r="1769" spans="1:13">
      <c r="A1769" s="18">
        <v>1</v>
      </c>
      <c r="B1769" s="19">
        <v>0</v>
      </c>
      <c r="C1769" s="18"/>
      <c r="D1769" s="18">
        <v>1</v>
      </c>
      <c r="E1769" s="20">
        <v>11500</v>
      </c>
      <c r="F1769" s="20">
        <v>1219</v>
      </c>
      <c r="G1769" s="18"/>
      <c r="H1769" s="18">
        <v>1</v>
      </c>
      <c r="I1769" s="21" t="s">
        <v>576</v>
      </c>
      <c r="J1769" s="18">
        <v>1</v>
      </c>
      <c r="K1769" s="18">
        <v>9055</v>
      </c>
      <c r="L1769" s="22"/>
      <c r="M1769" s="18"/>
    </row>
    <row r="1770" spans="1:13">
      <c r="A1770" s="18"/>
      <c r="B1770" s="18"/>
      <c r="C1770" s="18"/>
      <c r="D1770" s="18"/>
      <c r="E1770" s="20"/>
      <c r="F1770" s="20"/>
      <c r="G1770" s="18"/>
      <c r="H1770" s="18">
        <v>1</v>
      </c>
      <c r="I1770" s="21" t="s">
        <v>575</v>
      </c>
      <c r="J1770" s="18">
        <v>1</v>
      </c>
      <c r="K1770" s="18">
        <v>1174</v>
      </c>
      <c r="L1770" s="22"/>
      <c r="M1770" s="18"/>
    </row>
    <row r="1771" spans="1:13">
      <c r="A1771" s="18">
        <v>2</v>
      </c>
      <c r="B1771" s="18">
        <v>0</v>
      </c>
      <c r="C1771" s="18"/>
      <c r="D1771" s="18">
        <v>1</v>
      </c>
      <c r="E1771" s="20">
        <v>11500</v>
      </c>
      <c r="F1771" s="20">
        <v>7719</v>
      </c>
      <c r="G1771" s="18"/>
      <c r="H1771" s="18">
        <v>1</v>
      </c>
      <c r="I1771" s="21" t="s">
        <v>574</v>
      </c>
      <c r="J1771" s="18">
        <v>1</v>
      </c>
      <c r="K1771" s="18">
        <v>3755</v>
      </c>
      <c r="L1771" s="22"/>
      <c r="M1771" s="18"/>
    </row>
    <row r="1772" spans="1:13">
      <c r="A1772" s="18"/>
      <c r="B1772" s="24"/>
      <c r="C1772" s="18"/>
      <c r="D1772" s="18"/>
      <c r="E1772" s="20"/>
      <c r="F1772" s="20"/>
      <c r="G1772" s="18"/>
      <c r="H1772" s="18"/>
      <c r="I1772" s="21"/>
      <c r="J1772" s="18"/>
      <c r="K1772" s="18"/>
      <c r="L1772" s="22"/>
      <c r="M1772" s="18"/>
    </row>
    <row r="1773" spans="1:13">
      <c r="A1773" s="117" t="s">
        <v>4</v>
      </c>
      <c r="B1773" s="117"/>
      <c r="C1773" s="117"/>
      <c r="D1773" s="117"/>
      <c r="E1773" s="117"/>
      <c r="F1773" s="117"/>
      <c r="G1773" s="117"/>
      <c r="H1773" s="117"/>
      <c r="I1773" s="118" t="s">
        <v>8</v>
      </c>
      <c r="J1773" s="118"/>
      <c r="K1773" s="89" t="s">
        <v>70</v>
      </c>
      <c r="L1773" s="119"/>
      <c r="M1773" s="120"/>
    </row>
    <row r="1774" spans="1:13">
      <c r="A1774" s="117"/>
      <c r="B1774" s="117"/>
      <c r="C1774" s="117"/>
      <c r="D1774" s="117"/>
      <c r="E1774" s="117"/>
      <c r="F1774" s="117"/>
      <c r="G1774" s="117"/>
      <c r="H1774" s="117"/>
      <c r="I1774" s="118" t="s">
        <v>25</v>
      </c>
      <c r="J1774" s="118"/>
      <c r="K1774" s="121" t="s">
        <v>291</v>
      </c>
      <c r="L1774" s="118"/>
      <c r="M1774" s="118"/>
    </row>
    <row r="1775" spans="1:13">
      <c r="A1775" s="117"/>
      <c r="B1775" s="117"/>
      <c r="C1775" s="117"/>
      <c r="D1775" s="117"/>
      <c r="E1775" s="117"/>
      <c r="F1775" s="117"/>
      <c r="G1775" s="117"/>
      <c r="H1775" s="117"/>
      <c r="I1775" s="87" t="s">
        <v>26</v>
      </c>
      <c r="J1775" s="88"/>
      <c r="K1775" s="95" t="s">
        <v>572</v>
      </c>
      <c r="L1775" s="104"/>
      <c r="M1775" s="88"/>
    </row>
    <row r="1776" spans="1:13">
      <c r="A1776" s="118" t="s">
        <v>31</v>
      </c>
      <c r="B1776" s="118"/>
      <c r="C1776" s="118" t="s">
        <v>32</v>
      </c>
      <c r="D1776" s="118"/>
      <c r="E1776" s="118"/>
      <c r="F1776" s="118"/>
      <c r="G1776" s="118"/>
      <c r="H1776" s="118"/>
      <c r="I1776" s="40" t="s">
        <v>29</v>
      </c>
      <c r="J1776" s="41"/>
      <c r="K1776" s="118" t="s">
        <v>340</v>
      </c>
      <c r="L1776" s="118"/>
      <c r="M1776" s="118"/>
    </row>
    <row r="1777" spans="1:13">
      <c r="A1777" s="118"/>
      <c r="B1777" s="118"/>
      <c r="C1777" s="118"/>
      <c r="D1777" s="118"/>
      <c r="E1777" s="118"/>
      <c r="F1777" s="118"/>
      <c r="G1777" s="118"/>
      <c r="H1777" s="118"/>
      <c r="I1777" s="118" t="s">
        <v>30</v>
      </c>
      <c r="J1777" s="118"/>
      <c r="K1777" s="118" t="s">
        <v>573</v>
      </c>
      <c r="L1777" s="118"/>
      <c r="M1777" s="118"/>
    </row>
    <row r="1778" spans="1:13">
      <c r="A1778" s="122" t="s">
        <v>24</v>
      </c>
      <c r="B1778" s="122"/>
      <c r="C1778" s="122"/>
      <c r="D1778" s="42">
        <v>1</v>
      </c>
      <c r="E1778" s="117" t="s">
        <v>40</v>
      </c>
      <c r="F1778" s="117"/>
      <c r="G1778" s="117"/>
      <c r="H1778" s="42">
        <v>1</v>
      </c>
      <c r="I1778" s="118" t="s">
        <v>27</v>
      </c>
      <c r="J1778" s="118"/>
      <c r="K1778" s="118" t="s">
        <v>21</v>
      </c>
      <c r="L1778" s="118"/>
      <c r="M1778" s="118"/>
    </row>
    <row r="1779" spans="1:13" ht="45">
      <c r="A1779" s="3" t="s">
        <v>9</v>
      </c>
      <c r="B1779" s="3" t="s">
        <v>10</v>
      </c>
      <c r="C1779" s="3" t="s">
        <v>11</v>
      </c>
      <c r="D1779" s="3" t="s">
        <v>3</v>
      </c>
      <c r="E1779" s="4" t="s">
        <v>41</v>
      </c>
      <c r="F1779" s="4" t="s">
        <v>12</v>
      </c>
      <c r="G1779" s="3" t="s">
        <v>13</v>
      </c>
      <c r="H1779" s="3" t="s">
        <v>14</v>
      </c>
      <c r="I1779" s="3" t="s">
        <v>15</v>
      </c>
      <c r="J1779" s="3" t="s">
        <v>16</v>
      </c>
      <c r="K1779" s="3" t="s">
        <v>17</v>
      </c>
      <c r="L1779" s="3" t="s">
        <v>18</v>
      </c>
      <c r="M1779" s="3" t="s">
        <v>19</v>
      </c>
    </row>
    <row r="1780" spans="1:13">
      <c r="A1780" s="18">
        <v>1</v>
      </c>
      <c r="B1780" s="19">
        <v>0</v>
      </c>
      <c r="C1780" s="18"/>
      <c r="D1780" s="18">
        <v>1</v>
      </c>
      <c r="E1780" s="20">
        <v>11500</v>
      </c>
      <c r="F1780" s="20">
        <v>3522</v>
      </c>
      <c r="G1780" s="18"/>
      <c r="H1780" s="18">
        <v>1</v>
      </c>
      <c r="I1780" s="21" t="s">
        <v>571</v>
      </c>
      <c r="J1780" s="18">
        <v>1</v>
      </c>
      <c r="K1780" s="18">
        <v>7952</v>
      </c>
      <c r="L1780" s="22"/>
      <c r="M1780" s="18"/>
    </row>
    <row r="1781" spans="1:13">
      <c r="A1781" s="18"/>
      <c r="B1781" s="18"/>
      <c r="C1781" s="18"/>
      <c r="D1781" s="18"/>
      <c r="E1781" s="20"/>
      <c r="F1781" s="20"/>
      <c r="G1781" s="18"/>
      <c r="H1781" s="18"/>
      <c r="I1781" s="21"/>
      <c r="J1781" s="18"/>
      <c r="K1781" s="18"/>
      <c r="L1781" s="22"/>
      <c r="M1781" s="18"/>
    </row>
    <row r="1782" spans="1:13">
      <c r="A1782" s="117" t="s">
        <v>4</v>
      </c>
      <c r="B1782" s="117"/>
      <c r="C1782" s="117"/>
      <c r="D1782" s="117"/>
      <c r="E1782" s="117"/>
      <c r="F1782" s="117"/>
      <c r="G1782" s="117"/>
      <c r="H1782" s="117"/>
      <c r="I1782" s="118" t="s">
        <v>8</v>
      </c>
      <c r="J1782" s="118"/>
      <c r="K1782" s="89" t="s">
        <v>70</v>
      </c>
      <c r="L1782" s="119"/>
      <c r="M1782" s="120"/>
    </row>
    <row r="1783" spans="1:13">
      <c r="A1783" s="117"/>
      <c r="B1783" s="117"/>
      <c r="C1783" s="117"/>
      <c r="D1783" s="117"/>
      <c r="E1783" s="117"/>
      <c r="F1783" s="117"/>
      <c r="G1783" s="117"/>
      <c r="H1783" s="117"/>
      <c r="I1783" s="118" t="s">
        <v>25</v>
      </c>
      <c r="J1783" s="118"/>
      <c r="K1783" s="121" t="s">
        <v>291</v>
      </c>
      <c r="L1783" s="118"/>
      <c r="M1783" s="118"/>
    </row>
    <row r="1784" spans="1:13">
      <c r="A1784" s="117"/>
      <c r="B1784" s="117"/>
      <c r="C1784" s="117"/>
      <c r="D1784" s="117"/>
      <c r="E1784" s="117"/>
      <c r="F1784" s="117"/>
      <c r="G1784" s="117"/>
      <c r="H1784" s="117"/>
      <c r="I1784" s="87" t="s">
        <v>26</v>
      </c>
      <c r="J1784" s="88"/>
      <c r="K1784" s="95" t="s">
        <v>569</v>
      </c>
      <c r="L1784" s="104"/>
      <c r="M1784" s="88"/>
    </row>
    <row r="1785" spans="1:13">
      <c r="A1785" s="118" t="s">
        <v>31</v>
      </c>
      <c r="B1785" s="118"/>
      <c r="C1785" s="118" t="s">
        <v>32</v>
      </c>
      <c r="D1785" s="118"/>
      <c r="E1785" s="118"/>
      <c r="F1785" s="118"/>
      <c r="G1785" s="118"/>
      <c r="H1785" s="118"/>
      <c r="I1785" s="40" t="s">
        <v>29</v>
      </c>
      <c r="J1785" s="41"/>
      <c r="K1785" s="118" t="s">
        <v>340</v>
      </c>
      <c r="L1785" s="118"/>
      <c r="M1785" s="118"/>
    </row>
    <row r="1786" spans="1:13">
      <c r="A1786" s="118"/>
      <c r="B1786" s="118"/>
      <c r="C1786" s="118"/>
      <c r="D1786" s="118"/>
      <c r="E1786" s="118"/>
      <c r="F1786" s="118"/>
      <c r="G1786" s="118"/>
      <c r="H1786" s="118"/>
      <c r="I1786" s="118" t="s">
        <v>30</v>
      </c>
      <c r="J1786" s="118"/>
      <c r="K1786" s="118" t="s">
        <v>570</v>
      </c>
      <c r="L1786" s="118"/>
      <c r="M1786" s="118"/>
    </row>
    <row r="1787" spans="1:13">
      <c r="A1787" s="122" t="s">
        <v>24</v>
      </c>
      <c r="B1787" s="122"/>
      <c r="C1787" s="122"/>
      <c r="D1787" s="42">
        <v>1</v>
      </c>
      <c r="E1787" s="117" t="s">
        <v>40</v>
      </c>
      <c r="F1787" s="117"/>
      <c r="G1787" s="117"/>
      <c r="H1787" s="42">
        <v>1</v>
      </c>
      <c r="I1787" s="118" t="s">
        <v>27</v>
      </c>
      <c r="J1787" s="118"/>
      <c r="K1787" s="118" t="s">
        <v>21</v>
      </c>
      <c r="L1787" s="118"/>
      <c r="M1787" s="118"/>
    </row>
    <row r="1788" spans="1:13" ht="45">
      <c r="A1788" s="3" t="s">
        <v>9</v>
      </c>
      <c r="B1788" s="3" t="s">
        <v>10</v>
      </c>
      <c r="C1788" s="3" t="s">
        <v>11</v>
      </c>
      <c r="D1788" s="3" t="s">
        <v>3</v>
      </c>
      <c r="E1788" s="4" t="s">
        <v>41</v>
      </c>
      <c r="F1788" s="4" t="s">
        <v>12</v>
      </c>
      <c r="G1788" s="3" t="s">
        <v>13</v>
      </c>
      <c r="H1788" s="3" t="s">
        <v>14</v>
      </c>
      <c r="I1788" s="3" t="s">
        <v>15</v>
      </c>
      <c r="J1788" s="3" t="s">
        <v>16</v>
      </c>
      <c r="K1788" s="3" t="s">
        <v>17</v>
      </c>
      <c r="L1788" s="3" t="s">
        <v>18</v>
      </c>
      <c r="M1788" s="3" t="s">
        <v>19</v>
      </c>
    </row>
    <row r="1789" spans="1:13">
      <c r="A1789" s="18">
        <v>1</v>
      </c>
      <c r="B1789" s="19">
        <v>0</v>
      </c>
      <c r="C1789" s="18"/>
      <c r="D1789" s="18">
        <v>1</v>
      </c>
      <c r="E1789" s="20">
        <v>11500</v>
      </c>
      <c r="F1789" s="20">
        <v>10043</v>
      </c>
      <c r="G1789" s="18"/>
      <c r="H1789" s="18">
        <v>1</v>
      </c>
      <c r="I1789" s="21" t="s">
        <v>565</v>
      </c>
      <c r="J1789" s="18">
        <v>1</v>
      </c>
      <c r="K1789" s="18">
        <v>1431</v>
      </c>
      <c r="L1789" s="22"/>
      <c r="M1789" s="18"/>
    </row>
    <row r="1790" spans="1:13">
      <c r="A1790" s="18"/>
      <c r="B1790" s="18"/>
      <c r="C1790" s="18"/>
      <c r="D1790" s="18"/>
      <c r="E1790" s="20"/>
      <c r="F1790" s="20"/>
      <c r="G1790" s="18"/>
      <c r="H1790" s="18"/>
      <c r="I1790" s="21"/>
      <c r="J1790" s="18"/>
      <c r="K1790" s="18"/>
      <c r="L1790" s="22"/>
      <c r="M1790" s="18"/>
    </row>
    <row r="1791" spans="1:13">
      <c r="A1791" s="117" t="s">
        <v>4</v>
      </c>
      <c r="B1791" s="117"/>
      <c r="C1791" s="117"/>
      <c r="D1791" s="117"/>
      <c r="E1791" s="117"/>
      <c r="F1791" s="117"/>
      <c r="G1791" s="117"/>
      <c r="H1791" s="117"/>
      <c r="I1791" s="118" t="s">
        <v>8</v>
      </c>
      <c r="J1791" s="118"/>
      <c r="K1791" s="89" t="s">
        <v>70</v>
      </c>
      <c r="L1791" s="119"/>
      <c r="M1791" s="120"/>
    </row>
    <row r="1792" spans="1:13">
      <c r="A1792" s="117"/>
      <c r="B1792" s="117"/>
      <c r="C1792" s="117"/>
      <c r="D1792" s="117"/>
      <c r="E1792" s="117"/>
      <c r="F1792" s="117"/>
      <c r="G1792" s="117"/>
      <c r="H1792" s="117"/>
      <c r="I1792" s="118" t="s">
        <v>25</v>
      </c>
      <c r="J1792" s="118"/>
      <c r="K1792" s="121" t="s">
        <v>291</v>
      </c>
      <c r="L1792" s="118"/>
      <c r="M1792" s="118"/>
    </row>
    <row r="1793" spans="1:13">
      <c r="A1793" s="117"/>
      <c r="B1793" s="117"/>
      <c r="C1793" s="117"/>
      <c r="D1793" s="117"/>
      <c r="E1793" s="117"/>
      <c r="F1793" s="117"/>
      <c r="G1793" s="117"/>
      <c r="H1793" s="117"/>
      <c r="I1793" s="87" t="s">
        <v>26</v>
      </c>
      <c r="J1793" s="88"/>
      <c r="K1793" s="95" t="s">
        <v>563</v>
      </c>
      <c r="L1793" s="104"/>
      <c r="M1793" s="88"/>
    </row>
    <row r="1794" spans="1:13">
      <c r="A1794" s="118" t="s">
        <v>31</v>
      </c>
      <c r="B1794" s="118"/>
      <c r="C1794" s="118" t="s">
        <v>32</v>
      </c>
      <c r="D1794" s="118"/>
      <c r="E1794" s="118"/>
      <c r="F1794" s="118"/>
      <c r="G1794" s="118"/>
      <c r="H1794" s="118"/>
      <c r="I1794" s="40" t="s">
        <v>29</v>
      </c>
      <c r="J1794" s="41"/>
      <c r="K1794" s="118" t="s">
        <v>340</v>
      </c>
      <c r="L1794" s="118"/>
      <c r="M1794" s="118"/>
    </row>
    <row r="1795" spans="1:13">
      <c r="A1795" s="118"/>
      <c r="B1795" s="118"/>
      <c r="C1795" s="118"/>
      <c r="D1795" s="118"/>
      <c r="E1795" s="118"/>
      <c r="F1795" s="118"/>
      <c r="G1795" s="118"/>
      <c r="H1795" s="118"/>
      <c r="I1795" s="118" t="s">
        <v>30</v>
      </c>
      <c r="J1795" s="118"/>
      <c r="K1795" s="118" t="s">
        <v>564</v>
      </c>
      <c r="L1795" s="118"/>
      <c r="M1795" s="118"/>
    </row>
    <row r="1796" spans="1:13">
      <c r="A1796" s="122" t="s">
        <v>24</v>
      </c>
      <c r="B1796" s="122"/>
      <c r="C1796" s="122"/>
      <c r="D1796" s="42">
        <v>1</v>
      </c>
      <c r="E1796" s="117" t="s">
        <v>40</v>
      </c>
      <c r="F1796" s="117"/>
      <c r="G1796" s="117"/>
      <c r="H1796" s="42">
        <v>1</v>
      </c>
      <c r="I1796" s="118" t="s">
        <v>27</v>
      </c>
      <c r="J1796" s="118"/>
      <c r="K1796" s="118" t="s">
        <v>21</v>
      </c>
      <c r="L1796" s="118"/>
      <c r="M1796" s="118"/>
    </row>
    <row r="1797" spans="1:13" ht="45">
      <c r="A1797" s="3" t="s">
        <v>9</v>
      </c>
      <c r="B1797" s="3" t="s">
        <v>10</v>
      </c>
      <c r="C1797" s="3" t="s">
        <v>11</v>
      </c>
      <c r="D1797" s="3" t="s">
        <v>3</v>
      </c>
      <c r="E1797" s="4" t="s">
        <v>41</v>
      </c>
      <c r="F1797" s="4" t="s">
        <v>12</v>
      </c>
      <c r="G1797" s="3" t="s">
        <v>13</v>
      </c>
      <c r="H1797" s="3" t="s">
        <v>14</v>
      </c>
      <c r="I1797" s="3" t="s">
        <v>15</v>
      </c>
      <c r="J1797" s="3" t="s">
        <v>16</v>
      </c>
      <c r="K1797" s="3" t="s">
        <v>17</v>
      </c>
      <c r="L1797" s="3" t="s">
        <v>18</v>
      </c>
      <c r="M1797" s="3" t="s">
        <v>19</v>
      </c>
    </row>
    <row r="1798" spans="1:13">
      <c r="A1798" s="18">
        <v>1</v>
      </c>
      <c r="B1798" s="19">
        <v>0</v>
      </c>
      <c r="C1798" s="18"/>
      <c r="D1798" s="18">
        <v>1</v>
      </c>
      <c r="E1798" s="20">
        <v>11500</v>
      </c>
      <c r="F1798" s="20">
        <v>11230</v>
      </c>
      <c r="G1798" s="18"/>
      <c r="H1798" s="18">
        <v>1</v>
      </c>
      <c r="I1798" s="21" t="s">
        <v>562</v>
      </c>
      <c r="J1798" s="18">
        <v>1</v>
      </c>
      <c r="K1798" s="18">
        <v>244</v>
      </c>
      <c r="L1798" s="22"/>
      <c r="M1798" s="18"/>
    </row>
    <row r="1799" spans="1:13">
      <c r="A1799" s="18"/>
      <c r="B1799" s="18"/>
      <c r="C1799" s="18"/>
      <c r="D1799" s="18"/>
      <c r="E1799" s="20"/>
      <c r="F1799" s="20"/>
      <c r="G1799" s="18"/>
      <c r="H1799" s="18"/>
      <c r="I1799" s="21"/>
      <c r="J1799" s="18"/>
      <c r="K1799" s="18"/>
      <c r="L1799" s="22"/>
      <c r="M1799" s="18"/>
    </row>
    <row r="1800" spans="1:13">
      <c r="A1800" s="117" t="s">
        <v>4</v>
      </c>
      <c r="B1800" s="117"/>
      <c r="C1800" s="117"/>
      <c r="D1800" s="117"/>
      <c r="E1800" s="117"/>
      <c r="F1800" s="117"/>
      <c r="G1800" s="117"/>
      <c r="H1800" s="117"/>
      <c r="I1800" s="118" t="s">
        <v>8</v>
      </c>
      <c r="J1800" s="118"/>
      <c r="K1800" s="89" t="s">
        <v>70</v>
      </c>
      <c r="L1800" s="119"/>
      <c r="M1800" s="120"/>
    </row>
    <row r="1801" spans="1:13">
      <c r="A1801" s="117"/>
      <c r="B1801" s="117"/>
      <c r="C1801" s="117"/>
      <c r="D1801" s="117"/>
      <c r="E1801" s="117"/>
      <c r="F1801" s="117"/>
      <c r="G1801" s="117"/>
      <c r="H1801" s="117"/>
      <c r="I1801" s="118" t="s">
        <v>25</v>
      </c>
      <c r="J1801" s="118"/>
      <c r="K1801" s="121" t="s">
        <v>291</v>
      </c>
      <c r="L1801" s="118"/>
      <c r="M1801" s="118"/>
    </row>
    <row r="1802" spans="1:13">
      <c r="A1802" s="117"/>
      <c r="B1802" s="117"/>
      <c r="C1802" s="117"/>
      <c r="D1802" s="117"/>
      <c r="E1802" s="117"/>
      <c r="F1802" s="117"/>
      <c r="G1802" s="117"/>
      <c r="H1802" s="117"/>
      <c r="I1802" s="87" t="s">
        <v>26</v>
      </c>
      <c r="J1802" s="88"/>
      <c r="K1802" s="95" t="s">
        <v>53</v>
      </c>
      <c r="L1802" s="104"/>
      <c r="M1802" s="88"/>
    </row>
    <row r="1803" spans="1:13">
      <c r="A1803" s="118" t="s">
        <v>31</v>
      </c>
      <c r="B1803" s="118"/>
      <c r="C1803" s="118" t="s">
        <v>32</v>
      </c>
      <c r="D1803" s="118"/>
      <c r="E1803" s="118"/>
      <c r="F1803" s="118"/>
      <c r="G1803" s="118"/>
      <c r="H1803" s="118"/>
      <c r="I1803" s="40" t="s">
        <v>29</v>
      </c>
      <c r="J1803" s="41"/>
      <c r="K1803" s="118" t="s">
        <v>340</v>
      </c>
      <c r="L1803" s="118"/>
      <c r="M1803" s="118"/>
    </row>
    <row r="1804" spans="1:13">
      <c r="A1804" s="118"/>
      <c r="B1804" s="118"/>
      <c r="C1804" s="118"/>
      <c r="D1804" s="118"/>
      <c r="E1804" s="118"/>
      <c r="F1804" s="118"/>
      <c r="G1804" s="118"/>
      <c r="H1804" s="118"/>
      <c r="I1804" s="118" t="s">
        <v>30</v>
      </c>
      <c r="J1804" s="118"/>
      <c r="K1804" s="118" t="s">
        <v>561</v>
      </c>
      <c r="L1804" s="118"/>
      <c r="M1804" s="118"/>
    </row>
    <row r="1805" spans="1:13">
      <c r="A1805" s="122" t="s">
        <v>24</v>
      </c>
      <c r="B1805" s="122"/>
      <c r="C1805" s="122"/>
      <c r="D1805" s="42">
        <v>1</v>
      </c>
      <c r="E1805" s="117" t="s">
        <v>40</v>
      </c>
      <c r="F1805" s="117"/>
      <c r="G1805" s="117"/>
      <c r="H1805" s="42">
        <v>2</v>
      </c>
      <c r="I1805" s="118" t="s">
        <v>27</v>
      </c>
      <c r="J1805" s="118"/>
      <c r="K1805" s="118" t="s">
        <v>21</v>
      </c>
      <c r="L1805" s="118"/>
      <c r="M1805" s="118"/>
    </row>
    <row r="1806" spans="1:13" ht="45">
      <c r="A1806" s="3" t="s">
        <v>9</v>
      </c>
      <c r="B1806" s="3" t="s">
        <v>10</v>
      </c>
      <c r="C1806" s="3" t="s">
        <v>11</v>
      </c>
      <c r="D1806" s="3" t="s">
        <v>3</v>
      </c>
      <c r="E1806" s="4" t="s">
        <v>41</v>
      </c>
      <c r="F1806" s="4" t="s">
        <v>12</v>
      </c>
      <c r="G1806" s="3" t="s">
        <v>13</v>
      </c>
      <c r="H1806" s="3" t="s">
        <v>14</v>
      </c>
      <c r="I1806" s="3" t="s">
        <v>15</v>
      </c>
      <c r="J1806" s="3" t="s">
        <v>16</v>
      </c>
      <c r="K1806" s="3" t="s">
        <v>17</v>
      </c>
      <c r="L1806" s="3" t="s">
        <v>18</v>
      </c>
      <c r="M1806" s="3" t="s">
        <v>19</v>
      </c>
    </row>
    <row r="1807" spans="1:13">
      <c r="A1807" s="18">
        <v>1</v>
      </c>
      <c r="B1807" s="19">
        <v>0</v>
      </c>
      <c r="C1807" s="18"/>
      <c r="D1807" s="18">
        <v>1</v>
      </c>
      <c r="E1807" s="20">
        <v>11500</v>
      </c>
      <c r="F1807" s="20">
        <v>8691</v>
      </c>
      <c r="G1807" s="18"/>
      <c r="H1807" s="18">
        <v>1</v>
      </c>
      <c r="I1807" s="21" t="s">
        <v>559</v>
      </c>
      <c r="J1807" s="18">
        <v>1</v>
      </c>
      <c r="K1807" s="18">
        <v>1407</v>
      </c>
      <c r="L1807" s="22"/>
      <c r="M1807" s="18"/>
    </row>
    <row r="1808" spans="1:13">
      <c r="A1808" s="18"/>
      <c r="B1808" s="18"/>
      <c r="C1808" s="18"/>
      <c r="D1808" s="18"/>
      <c r="E1808" s="20"/>
      <c r="F1808" s="20"/>
      <c r="G1808" s="18"/>
      <c r="H1808" s="18">
        <v>1</v>
      </c>
      <c r="I1808" s="21" t="s">
        <v>560</v>
      </c>
      <c r="J1808" s="18">
        <v>1</v>
      </c>
      <c r="K1808" s="18">
        <v>1350</v>
      </c>
      <c r="L1808" s="22"/>
      <c r="M1808" s="18"/>
    </row>
    <row r="1809" spans="1:13">
      <c r="A1809" s="18"/>
      <c r="B1809" s="18"/>
      <c r="C1809" s="18"/>
      <c r="D1809" s="18"/>
      <c r="E1809" s="20"/>
      <c r="F1809" s="20"/>
      <c r="G1809" s="18"/>
      <c r="H1809" s="18"/>
      <c r="I1809" s="21"/>
      <c r="J1809" s="18"/>
      <c r="K1809" s="18"/>
      <c r="L1809" s="22"/>
      <c r="M1809" s="18"/>
    </row>
    <row r="1810" spans="1:13">
      <c r="A1810" s="117" t="s">
        <v>4</v>
      </c>
      <c r="B1810" s="117"/>
      <c r="C1810" s="117"/>
      <c r="D1810" s="117"/>
      <c r="E1810" s="117"/>
      <c r="F1810" s="117"/>
      <c r="G1810" s="117"/>
      <c r="H1810" s="117"/>
      <c r="I1810" s="118" t="s">
        <v>8</v>
      </c>
      <c r="J1810" s="118"/>
      <c r="K1810" s="89" t="s">
        <v>70</v>
      </c>
      <c r="L1810" s="119"/>
      <c r="M1810" s="120"/>
    </row>
    <row r="1811" spans="1:13">
      <c r="A1811" s="117"/>
      <c r="B1811" s="117"/>
      <c r="C1811" s="117"/>
      <c r="D1811" s="117"/>
      <c r="E1811" s="117"/>
      <c r="F1811" s="117"/>
      <c r="G1811" s="117"/>
      <c r="H1811" s="117"/>
      <c r="I1811" s="118" t="s">
        <v>25</v>
      </c>
      <c r="J1811" s="118"/>
      <c r="K1811" s="121" t="s">
        <v>291</v>
      </c>
      <c r="L1811" s="118"/>
      <c r="M1811" s="118"/>
    </row>
    <row r="1812" spans="1:13">
      <c r="A1812" s="117"/>
      <c r="B1812" s="117"/>
      <c r="C1812" s="117"/>
      <c r="D1812" s="117"/>
      <c r="E1812" s="117"/>
      <c r="F1812" s="117"/>
      <c r="G1812" s="117"/>
      <c r="H1812" s="117"/>
      <c r="I1812" s="87" t="s">
        <v>26</v>
      </c>
      <c r="J1812" s="88"/>
      <c r="K1812" s="95" t="s">
        <v>69</v>
      </c>
      <c r="L1812" s="104"/>
      <c r="M1812" s="88"/>
    </row>
    <row r="1813" spans="1:13">
      <c r="A1813" s="118" t="s">
        <v>31</v>
      </c>
      <c r="B1813" s="118"/>
      <c r="C1813" s="118" t="s">
        <v>32</v>
      </c>
      <c r="D1813" s="118"/>
      <c r="E1813" s="118"/>
      <c r="F1813" s="118"/>
      <c r="G1813" s="118"/>
      <c r="H1813" s="118"/>
      <c r="I1813" s="40" t="s">
        <v>29</v>
      </c>
      <c r="J1813" s="41"/>
      <c r="K1813" s="118" t="s">
        <v>340</v>
      </c>
      <c r="L1813" s="118"/>
      <c r="M1813" s="118"/>
    </row>
    <row r="1814" spans="1:13">
      <c r="A1814" s="118"/>
      <c r="B1814" s="118"/>
      <c r="C1814" s="118"/>
      <c r="D1814" s="118"/>
      <c r="E1814" s="118"/>
      <c r="F1814" s="118"/>
      <c r="G1814" s="118"/>
      <c r="H1814" s="118"/>
      <c r="I1814" s="118" t="s">
        <v>30</v>
      </c>
      <c r="J1814" s="118"/>
      <c r="K1814" s="118" t="s">
        <v>558</v>
      </c>
      <c r="L1814" s="118"/>
      <c r="M1814" s="118"/>
    </row>
    <row r="1815" spans="1:13">
      <c r="A1815" s="122" t="s">
        <v>24</v>
      </c>
      <c r="B1815" s="122"/>
      <c r="C1815" s="122"/>
      <c r="D1815" s="42">
        <v>11</v>
      </c>
      <c r="E1815" s="117" t="s">
        <v>40</v>
      </c>
      <c r="F1815" s="117"/>
      <c r="G1815" s="117"/>
      <c r="H1815" s="42">
        <v>26</v>
      </c>
      <c r="I1815" s="118" t="s">
        <v>27</v>
      </c>
      <c r="J1815" s="118"/>
      <c r="K1815" s="118" t="s">
        <v>21</v>
      </c>
      <c r="L1815" s="118"/>
      <c r="M1815" s="118"/>
    </row>
    <row r="1816" spans="1:13" ht="45">
      <c r="A1816" s="3" t="s">
        <v>9</v>
      </c>
      <c r="B1816" s="3" t="s">
        <v>10</v>
      </c>
      <c r="C1816" s="3" t="s">
        <v>11</v>
      </c>
      <c r="D1816" s="3" t="s">
        <v>3</v>
      </c>
      <c r="E1816" s="4" t="s">
        <v>41</v>
      </c>
      <c r="F1816" s="4" t="s">
        <v>12</v>
      </c>
      <c r="G1816" s="3" t="s">
        <v>13</v>
      </c>
      <c r="H1816" s="3" t="s">
        <v>14</v>
      </c>
      <c r="I1816" s="3" t="s">
        <v>15</v>
      </c>
      <c r="J1816" s="3" t="s">
        <v>16</v>
      </c>
      <c r="K1816" s="3" t="s">
        <v>17</v>
      </c>
      <c r="L1816" s="3" t="s">
        <v>18</v>
      </c>
      <c r="M1816" s="3" t="s">
        <v>19</v>
      </c>
    </row>
    <row r="1817" spans="1:13">
      <c r="A1817" s="18">
        <v>1</v>
      </c>
      <c r="B1817" s="19">
        <v>0</v>
      </c>
      <c r="C1817" s="18"/>
      <c r="D1817" s="18">
        <v>1</v>
      </c>
      <c r="E1817" s="20">
        <v>11500</v>
      </c>
      <c r="F1817" s="20">
        <v>172</v>
      </c>
      <c r="G1817" s="18"/>
      <c r="H1817" s="18">
        <v>1</v>
      </c>
      <c r="I1817" s="21" t="s">
        <v>544</v>
      </c>
      <c r="J1817" s="18">
        <v>1</v>
      </c>
      <c r="K1817" s="18">
        <v>8388</v>
      </c>
      <c r="L1817" s="22"/>
      <c r="M1817" s="18"/>
    </row>
    <row r="1818" spans="1:13">
      <c r="A1818" s="18"/>
      <c r="B1818" s="18"/>
      <c r="C1818" s="18"/>
      <c r="D1818" s="18"/>
      <c r="E1818" s="20"/>
      <c r="F1818" s="20"/>
      <c r="G1818" s="18"/>
      <c r="H1818" s="18">
        <v>1</v>
      </c>
      <c r="I1818" s="21" t="s">
        <v>553</v>
      </c>
      <c r="J1818" s="18">
        <v>1</v>
      </c>
      <c r="K1818" s="18">
        <v>2888</v>
      </c>
      <c r="L1818" s="22"/>
      <c r="M1818" s="18"/>
    </row>
    <row r="1819" spans="1:13">
      <c r="A1819" s="18">
        <v>2</v>
      </c>
      <c r="B1819" s="18">
        <v>0</v>
      </c>
      <c r="C1819" s="18"/>
      <c r="D1819" s="18">
        <v>1</v>
      </c>
      <c r="E1819" s="20">
        <v>11500</v>
      </c>
      <c r="F1819" s="20">
        <v>589</v>
      </c>
      <c r="G1819" s="18"/>
      <c r="H1819" s="18">
        <v>1</v>
      </c>
      <c r="I1819" s="21" t="s">
        <v>546</v>
      </c>
      <c r="J1819" s="18">
        <v>1</v>
      </c>
      <c r="K1819" s="18">
        <v>7508</v>
      </c>
      <c r="L1819" s="22"/>
      <c r="M1819" s="18"/>
    </row>
    <row r="1820" spans="1:13">
      <c r="A1820" s="18"/>
      <c r="B1820" s="24"/>
      <c r="C1820" s="18"/>
      <c r="D1820" s="18"/>
      <c r="E1820" s="20"/>
      <c r="F1820" s="20"/>
      <c r="G1820" s="18"/>
      <c r="H1820" s="18">
        <v>1</v>
      </c>
      <c r="I1820" s="21" t="s">
        <v>540</v>
      </c>
      <c r="J1820" s="18">
        <v>1</v>
      </c>
      <c r="K1820" s="18">
        <v>1388</v>
      </c>
      <c r="L1820" s="22"/>
      <c r="M1820" s="18"/>
    </row>
    <row r="1821" spans="1:13">
      <c r="A1821" s="18"/>
      <c r="B1821" s="18"/>
      <c r="C1821" s="18"/>
      <c r="D1821" s="18"/>
      <c r="E1821" s="20"/>
      <c r="F1821" s="20"/>
      <c r="G1821" s="18"/>
      <c r="H1821" s="18">
        <v>1</v>
      </c>
      <c r="I1821" s="21" t="s">
        <v>543</v>
      </c>
      <c r="J1821" s="18">
        <v>1</v>
      </c>
      <c r="K1821" s="18">
        <v>988</v>
      </c>
      <c r="L1821" s="22"/>
      <c r="M1821" s="18"/>
    </row>
    <row r="1822" spans="1:13">
      <c r="A1822" s="18"/>
      <c r="B1822" s="24"/>
      <c r="C1822" s="18"/>
      <c r="D1822" s="18"/>
      <c r="E1822" s="20"/>
      <c r="F1822" s="20"/>
      <c r="G1822" s="18"/>
      <c r="H1822" s="18">
        <v>1</v>
      </c>
      <c r="I1822" s="21" t="s">
        <v>541</v>
      </c>
      <c r="J1822" s="18">
        <v>1</v>
      </c>
      <c r="K1822" s="18">
        <v>923</v>
      </c>
      <c r="L1822" s="22"/>
      <c r="M1822" s="18"/>
    </row>
    <row r="1823" spans="1:13">
      <c r="A1823" s="18">
        <v>3</v>
      </c>
      <c r="B1823" s="18">
        <v>0</v>
      </c>
      <c r="C1823" s="18"/>
      <c r="D1823" s="18">
        <v>1</v>
      </c>
      <c r="E1823" s="20">
        <v>11500</v>
      </c>
      <c r="F1823" s="20">
        <v>11</v>
      </c>
      <c r="G1823" s="18"/>
      <c r="H1823" s="18">
        <v>1</v>
      </c>
      <c r="I1823" s="21" t="s">
        <v>551</v>
      </c>
      <c r="J1823" s="18">
        <v>1</v>
      </c>
      <c r="K1823" s="18">
        <v>6639</v>
      </c>
      <c r="L1823" s="22"/>
      <c r="M1823" s="18"/>
    </row>
    <row r="1824" spans="1:13">
      <c r="A1824" s="18"/>
      <c r="B1824" s="18"/>
      <c r="C1824" s="18"/>
      <c r="D1824" s="18"/>
      <c r="E1824" s="20"/>
      <c r="F1824" s="20"/>
      <c r="G1824" s="18"/>
      <c r="H1824" s="18">
        <v>1</v>
      </c>
      <c r="I1824" s="21" t="s">
        <v>537</v>
      </c>
      <c r="J1824" s="18">
        <v>1</v>
      </c>
      <c r="K1824" s="18">
        <v>4798</v>
      </c>
      <c r="L1824" s="22"/>
      <c r="M1824" s="18"/>
    </row>
    <row r="1825" spans="1:13">
      <c r="A1825" s="18">
        <v>4</v>
      </c>
      <c r="B1825" s="18">
        <v>0</v>
      </c>
      <c r="C1825" s="18"/>
      <c r="D1825" s="18">
        <v>1</v>
      </c>
      <c r="E1825" s="20">
        <v>11500</v>
      </c>
      <c r="F1825" s="20">
        <v>13</v>
      </c>
      <c r="G1825" s="18"/>
      <c r="H1825" s="18">
        <v>1</v>
      </c>
      <c r="I1825" s="21" t="s">
        <v>534</v>
      </c>
      <c r="J1825" s="18">
        <v>1</v>
      </c>
      <c r="K1825" s="18">
        <v>3733</v>
      </c>
      <c r="L1825" s="22"/>
      <c r="M1825" s="18"/>
    </row>
    <row r="1826" spans="1:13">
      <c r="A1826" s="18"/>
      <c r="B1826" s="18"/>
      <c r="C1826" s="18"/>
      <c r="D1826" s="18"/>
      <c r="E1826" s="20"/>
      <c r="F1826" s="20"/>
      <c r="G1826" s="18"/>
      <c r="H1826" s="18">
        <v>1</v>
      </c>
      <c r="I1826" s="21" t="s">
        <v>538</v>
      </c>
      <c r="J1826" s="18">
        <v>1</v>
      </c>
      <c r="K1826" s="18">
        <v>888</v>
      </c>
      <c r="L1826" s="22"/>
      <c r="M1826" s="18"/>
    </row>
    <row r="1827" spans="1:13">
      <c r="A1827" s="18"/>
      <c r="B1827" s="18"/>
      <c r="C1827" s="18"/>
      <c r="D1827" s="18"/>
      <c r="E1827" s="20"/>
      <c r="F1827" s="20"/>
      <c r="G1827" s="18"/>
      <c r="H1827" s="18">
        <v>1</v>
      </c>
      <c r="I1827" s="21" t="s">
        <v>554</v>
      </c>
      <c r="J1827" s="18">
        <v>1</v>
      </c>
      <c r="K1827" s="18">
        <v>888</v>
      </c>
      <c r="L1827" s="22"/>
      <c r="M1827" s="18"/>
    </row>
    <row r="1828" spans="1:13">
      <c r="A1828" s="18"/>
      <c r="B1828" s="18"/>
      <c r="C1828" s="18"/>
      <c r="D1828" s="18"/>
      <c r="E1828" s="20"/>
      <c r="F1828" s="20"/>
      <c r="G1828" s="18"/>
      <c r="H1828" s="18">
        <v>1</v>
      </c>
      <c r="I1828" s="21" t="s">
        <v>555</v>
      </c>
      <c r="J1828" s="18">
        <v>1</v>
      </c>
      <c r="K1828" s="18">
        <v>888</v>
      </c>
      <c r="L1828" s="22"/>
      <c r="M1828" s="18"/>
    </row>
    <row r="1829" spans="1:13">
      <c r="A1829" s="18"/>
      <c r="B1829" s="18"/>
      <c r="C1829" s="18"/>
      <c r="D1829" s="18"/>
      <c r="E1829" s="20"/>
      <c r="F1829" s="20"/>
      <c r="G1829" s="18"/>
      <c r="H1829" s="18">
        <v>1</v>
      </c>
      <c r="I1829" s="21" t="s">
        <v>549</v>
      </c>
      <c r="J1829" s="18">
        <v>1</v>
      </c>
      <c r="K1829" s="18">
        <v>888</v>
      </c>
      <c r="L1829" s="22"/>
      <c r="M1829" s="18"/>
    </row>
    <row r="1830" spans="1:13">
      <c r="A1830" s="18"/>
      <c r="B1830" s="18"/>
      <c r="C1830" s="18"/>
      <c r="D1830" s="18"/>
      <c r="E1830" s="20"/>
      <c r="F1830" s="20"/>
      <c r="G1830" s="18"/>
      <c r="H1830" s="18">
        <v>1</v>
      </c>
      <c r="I1830" s="21" t="s">
        <v>547</v>
      </c>
      <c r="J1830" s="18">
        <v>1</v>
      </c>
      <c r="K1830" s="18">
        <v>885</v>
      </c>
      <c r="L1830" s="22"/>
      <c r="M1830" s="18"/>
    </row>
    <row r="1831" spans="1:13">
      <c r="A1831" s="5"/>
      <c r="B1831" s="5"/>
      <c r="C1831" s="5"/>
      <c r="D1831" s="5"/>
      <c r="E1831" s="6"/>
      <c r="F1831" s="6"/>
      <c r="G1831" s="5"/>
      <c r="H1831" s="5">
        <v>1</v>
      </c>
      <c r="I1831" s="7" t="s">
        <v>557</v>
      </c>
      <c r="J1831" s="5">
        <v>1</v>
      </c>
      <c r="K1831" s="5">
        <v>788</v>
      </c>
      <c r="L1831" s="8"/>
      <c r="M1831" s="5"/>
    </row>
    <row r="1832" spans="1:13">
      <c r="A1832" s="5"/>
      <c r="B1832" s="5"/>
      <c r="C1832" s="5"/>
      <c r="D1832" s="5"/>
      <c r="E1832" s="6"/>
      <c r="F1832" s="6"/>
      <c r="G1832" s="5"/>
      <c r="H1832" s="5">
        <v>1</v>
      </c>
      <c r="I1832" s="7" t="s">
        <v>548</v>
      </c>
      <c r="J1832" s="5">
        <v>1</v>
      </c>
      <c r="K1832" s="5">
        <v>779</v>
      </c>
      <c r="L1832" s="8"/>
      <c r="M1832" s="18"/>
    </row>
    <row r="1833" spans="1:13">
      <c r="A1833" s="5"/>
      <c r="B1833" s="5"/>
      <c r="C1833" s="5"/>
      <c r="D1833" s="5"/>
      <c r="E1833" s="6"/>
      <c r="F1833" s="6"/>
      <c r="G1833" s="5"/>
      <c r="H1833" s="5">
        <v>1</v>
      </c>
      <c r="I1833" s="7" t="s">
        <v>552</v>
      </c>
      <c r="J1833" s="5">
        <v>1</v>
      </c>
      <c r="K1833" s="5">
        <v>688</v>
      </c>
      <c r="L1833" s="8"/>
      <c r="M1833" s="5"/>
    </row>
    <row r="1834" spans="1:13">
      <c r="A1834" s="5"/>
      <c r="B1834" s="5"/>
      <c r="C1834" s="5"/>
      <c r="D1834" s="5"/>
      <c r="E1834" s="6"/>
      <c r="F1834" s="6"/>
      <c r="G1834" s="5"/>
      <c r="H1834" s="5">
        <v>1</v>
      </c>
      <c r="I1834" s="7" t="s">
        <v>556</v>
      </c>
      <c r="J1834" s="5">
        <v>1</v>
      </c>
      <c r="K1834" s="5">
        <v>388</v>
      </c>
      <c r="L1834" s="8"/>
      <c r="M1834" s="5"/>
    </row>
    <row r="1835" spans="1:13">
      <c r="A1835" s="5"/>
      <c r="B1835" s="5"/>
      <c r="C1835" s="5"/>
      <c r="D1835" s="5"/>
      <c r="E1835" s="6"/>
      <c r="F1835" s="6"/>
      <c r="G1835" s="5"/>
      <c r="H1835" s="5">
        <v>1</v>
      </c>
      <c r="I1835" s="7" t="s">
        <v>550</v>
      </c>
      <c r="J1835" s="5">
        <v>1</v>
      </c>
      <c r="K1835" s="5">
        <v>388</v>
      </c>
      <c r="L1835" s="8"/>
      <c r="M1835" s="5"/>
    </row>
    <row r="1836" spans="1:13">
      <c r="A1836" s="5">
        <v>5</v>
      </c>
      <c r="B1836" s="5">
        <v>0</v>
      </c>
      <c r="C1836" s="5"/>
      <c r="D1836" s="5">
        <v>1</v>
      </c>
      <c r="E1836" s="6">
        <v>11500</v>
      </c>
      <c r="F1836" s="6"/>
      <c r="G1836" s="5"/>
      <c r="H1836" s="5">
        <v>1</v>
      </c>
      <c r="I1836" s="7" t="s">
        <v>532</v>
      </c>
      <c r="J1836" s="5">
        <v>1</v>
      </c>
      <c r="K1836" s="5">
        <v>11498</v>
      </c>
      <c r="L1836" s="8"/>
      <c r="M1836" s="5"/>
    </row>
    <row r="1837" spans="1:13">
      <c r="A1837" s="5">
        <v>6</v>
      </c>
      <c r="B1837" s="5">
        <v>0</v>
      </c>
      <c r="C1837" s="5"/>
      <c r="D1837" s="5">
        <v>1</v>
      </c>
      <c r="E1837" s="6">
        <v>11500</v>
      </c>
      <c r="F1837" s="6"/>
      <c r="G1837" s="5"/>
      <c r="H1837" s="5">
        <v>1</v>
      </c>
      <c r="I1837" s="7" t="s">
        <v>539</v>
      </c>
      <c r="J1837" s="5">
        <v>1</v>
      </c>
      <c r="K1837" s="5">
        <v>11498</v>
      </c>
      <c r="L1837" s="8"/>
      <c r="M1837" s="5"/>
    </row>
    <row r="1838" spans="1:13">
      <c r="A1838" s="5">
        <v>7</v>
      </c>
      <c r="B1838" s="5">
        <v>0</v>
      </c>
      <c r="C1838" s="5"/>
      <c r="D1838" s="5">
        <v>1</v>
      </c>
      <c r="E1838" s="6">
        <v>11500</v>
      </c>
      <c r="F1838" s="6"/>
      <c r="G1838" s="5"/>
      <c r="H1838" s="5">
        <v>1</v>
      </c>
      <c r="I1838" s="7" t="s">
        <v>533</v>
      </c>
      <c r="J1838" s="5">
        <v>1</v>
      </c>
      <c r="K1838" s="5">
        <v>11498</v>
      </c>
      <c r="L1838" s="8"/>
      <c r="M1838" s="5"/>
    </row>
    <row r="1839" spans="1:13">
      <c r="A1839" s="5">
        <v>8</v>
      </c>
      <c r="B1839" s="5">
        <v>0</v>
      </c>
      <c r="C1839" s="5"/>
      <c r="D1839" s="5">
        <v>1</v>
      </c>
      <c r="E1839" s="6">
        <v>11500</v>
      </c>
      <c r="F1839" s="6"/>
      <c r="G1839" s="5"/>
      <c r="H1839" s="5">
        <v>1</v>
      </c>
      <c r="I1839" s="7" t="s">
        <v>536</v>
      </c>
      <c r="J1839" s="5">
        <v>1</v>
      </c>
      <c r="K1839" s="5">
        <v>11498</v>
      </c>
      <c r="L1839" s="8"/>
      <c r="M1839" s="5"/>
    </row>
    <row r="1840" spans="1:13">
      <c r="A1840" s="5">
        <v>9</v>
      </c>
      <c r="B1840" s="5">
        <v>0</v>
      </c>
      <c r="C1840" s="5"/>
      <c r="D1840" s="5">
        <v>1</v>
      </c>
      <c r="E1840" s="6">
        <v>11500</v>
      </c>
      <c r="F1840" s="6"/>
      <c r="G1840" s="5"/>
      <c r="H1840" s="5">
        <v>1</v>
      </c>
      <c r="I1840" s="7" t="s">
        <v>542</v>
      </c>
      <c r="J1840" s="5">
        <v>1</v>
      </c>
      <c r="K1840" s="5">
        <v>11498</v>
      </c>
      <c r="L1840" s="8"/>
      <c r="M1840" s="5"/>
    </row>
    <row r="1841" spans="1:13">
      <c r="A1841" s="5">
        <v>10</v>
      </c>
      <c r="B1841" s="5">
        <v>0</v>
      </c>
      <c r="C1841" s="5"/>
      <c r="D1841" s="5">
        <v>1</v>
      </c>
      <c r="E1841" s="6">
        <v>11500</v>
      </c>
      <c r="F1841" s="6"/>
      <c r="G1841" s="5"/>
      <c r="H1841" s="5">
        <v>1</v>
      </c>
      <c r="I1841" s="7" t="s">
        <v>545</v>
      </c>
      <c r="J1841" s="5">
        <v>1</v>
      </c>
      <c r="K1841" s="5">
        <v>11498</v>
      </c>
      <c r="L1841" s="8"/>
      <c r="M1841" s="5"/>
    </row>
    <row r="1842" spans="1:13">
      <c r="A1842" s="5">
        <v>11</v>
      </c>
      <c r="B1842" s="5">
        <v>0</v>
      </c>
      <c r="C1842" s="5"/>
      <c r="D1842" s="5">
        <v>1</v>
      </c>
      <c r="E1842" s="6">
        <v>11500</v>
      </c>
      <c r="F1842" s="6">
        <v>186</v>
      </c>
      <c r="G1842" s="5"/>
      <c r="H1842" s="5">
        <v>1</v>
      </c>
      <c r="I1842" s="7" t="s">
        <v>535</v>
      </c>
      <c r="J1842" s="5">
        <v>1</v>
      </c>
      <c r="K1842" s="5">
        <v>11288</v>
      </c>
      <c r="L1842" s="8"/>
      <c r="M1842" s="5"/>
    </row>
    <row r="1843" spans="1:13">
      <c r="A1843" s="5"/>
      <c r="B1843" s="5"/>
      <c r="C1843" s="5"/>
      <c r="D1843" s="5"/>
      <c r="E1843" s="6"/>
      <c r="F1843" s="6"/>
      <c r="G1843" s="5"/>
      <c r="H1843" s="5"/>
      <c r="I1843" s="7"/>
      <c r="J1843" s="5"/>
      <c r="K1843" s="5"/>
      <c r="L1843" s="8"/>
      <c r="M1843" s="5"/>
    </row>
    <row r="1844" spans="1:13">
      <c r="A1844" s="117" t="s">
        <v>4</v>
      </c>
      <c r="B1844" s="117"/>
      <c r="C1844" s="117"/>
      <c r="D1844" s="117"/>
      <c r="E1844" s="117"/>
      <c r="F1844" s="117"/>
      <c r="G1844" s="117"/>
      <c r="H1844" s="117"/>
      <c r="I1844" s="118" t="s">
        <v>8</v>
      </c>
      <c r="J1844" s="118"/>
      <c r="K1844" s="89" t="s">
        <v>70</v>
      </c>
      <c r="L1844" s="119"/>
      <c r="M1844" s="120"/>
    </row>
    <row r="1845" spans="1:13">
      <c r="A1845" s="117"/>
      <c r="B1845" s="117"/>
      <c r="C1845" s="117"/>
      <c r="D1845" s="117"/>
      <c r="E1845" s="117"/>
      <c r="F1845" s="117"/>
      <c r="G1845" s="117"/>
      <c r="H1845" s="117"/>
      <c r="I1845" s="118" t="s">
        <v>25</v>
      </c>
      <c r="J1845" s="118"/>
      <c r="K1845" s="121" t="s">
        <v>291</v>
      </c>
      <c r="L1845" s="118"/>
      <c r="M1845" s="118"/>
    </row>
    <row r="1846" spans="1:13">
      <c r="A1846" s="117"/>
      <c r="B1846" s="117"/>
      <c r="C1846" s="117"/>
      <c r="D1846" s="117"/>
      <c r="E1846" s="117"/>
      <c r="F1846" s="117"/>
      <c r="G1846" s="117"/>
      <c r="H1846" s="117"/>
      <c r="I1846" s="87" t="s">
        <v>26</v>
      </c>
      <c r="J1846" s="88"/>
      <c r="K1846" s="95" t="s">
        <v>530</v>
      </c>
      <c r="L1846" s="104"/>
      <c r="M1846" s="88"/>
    </row>
    <row r="1847" spans="1:13">
      <c r="A1847" s="118" t="s">
        <v>31</v>
      </c>
      <c r="B1847" s="118"/>
      <c r="C1847" s="118" t="s">
        <v>32</v>
      </c>
      <c r="D1847" s="118"/>
      <c r="E1847" s="118"/>
      <c r="F1847" s="118"/>
      <c r="G1847" s="118"/>
      <c r="H1847" s="118"/>
      <c r="I1847" s="40" t="s">
        <v>29</v>
      </c>
      <c r="J1847" s="41"/>
      <c r="K1847" s="118" t="s">
        <v>340</v>
      </c>
      <c r="L1847" s="118"/>
      <c r="M1847" s="118"/>
    </row>
    <row r="1848" spans="1:13">
      <c r="A1848" s="118"/>
      <c r="B1848" s="118"/>
      <c r="C1848" s="118"/>
      <c r="D1848" s="118"/>
      <c r="E1848" s="118"/>
      <c r="F1848" s="118"/>
      <c r="G1848" s="118"/>
      <c r="H1848" s="118"/>
      <c r="I1848" s="118" t="s">
        <v>30</v>
      </c>
      <c r="J1848" s="118"/>
      <c r="K1848" s="118" t="s">
        <v>531</v>
      </c>
      <c r="L1848" s="118"/>
      <c r="M1848" s="118"/>
    </row>
    <row r="1849" spans="1:13">
      <c r="A1849" s="122" t="s">
        <v>24</v>
      </c>
      <c r="B1849" s="122"/>
      <c r="C1849" s="122"/>
      <c r="D1849" s="42">
        <v>1</v>
      </c>
      <c r="E1849" s="117" t="s">
        <v>40</v>
      </c>
      <c r="F1849" s="117"/>
      <c r="G1849" s="117"/>
      <c r="H1849" s="42">
        <v>6</v>
      </c>
      <c r="I1849" s="118" t="s">
        <v>27</v>
      </c>
      <c r="J1849" s="118"/>
      <c r="K1849" s="118" t="s">
        <v>21</v>
      </c>
      <c r="L1849" s="118"/>
      <c r="M1849" s="118"/>
    </row>
    <row r="1850" spans="1:13" ht="45">
      <c r="A1850" s="3" t="s">
        <v>9</v>
      </c>
      <c r="B1850" s="3" t="s">
        <v>10</v>
      </c>
      <c r="C1850" s="3" t="s">
        <v>11</v>
      </c>
      <c r="D1850" s="3" t="s">
        <v>3</v>
      </c>
      <c r="E1850" s="4" t="s">
        <v>41</v>
      </c>
      <c r="F1850" s="4" t="s">
        <v>12</v>
      </c>
      <c r="G1850" s="3" t="s">
        <v>13</v>
      </c>
      <c r="H1850" s="3" t="s">
        <v>14</v>
      </c>
      <c r="I1850" s="3" t="s">
        <v>15</v>
      </c>
      <c r="J1850" s="3" t="s">
        <v>16</v>
      </c>
      <c r="K1850" s="3" t="s">
        <v>17</v>
      </c>
      <c r="L1850" s="3" t="s">
        <v>18</v>
      </c>
      <c r="M1850" s="3" t="s">
        <v>19</v>
      </c>
    </row>
    <row r="1851" spans="1:13">
      <c r="A1851" s="18">
        <v>1</v>
      </c>
      <c r="B1851" s="19">
        <v>0</v>
      </c>
      <c r="C1851" s="18"/>
      <c r="D1851" s="18">
        <v>1</v>
      </c>
      <c r="E1851" s="20">
        <v>11500</v>
      </c>
      <c r="F1851" s="20">
        <v>3073</v>
      </c>
      <c r="G1851" s="18"/>
      <c r="H1851" s="18">
        <v>1</v>
      </c>
      <c r="I1851" s="21" t="s">
        <v>529</v>
      </c>
      <c r="J1851" s="18">
        <v>1</v>
      </c>
      <c r="K1851" s="18">
        <v>4597</v>
      </c>
      <c r="L1851" s="22"/>
      <c r="M1851" s="18"/>
    </row>
    <row r="1852" spans="1:13">
      <c r="A1852" s="18"/>
      <c r="B1852" s="18"/>
      <c r="C1852" s="18"/>
      <c r="D1852" s="18"/>
      <c r="E1852" s="20"/>
      <c r="F1852" s="20"/>
      <c r="G1852" s="18"/>
      <c r="H1852" s="18">
        <v>1</v>
      </c>
      <c r="I1852" s="21" t="s">
        <v>526</v>
      </c>
      <c r="J1852" s="18">
        <v>1</v>
      </c>
      <c r="K1852" s="18">
        <v>1777</v>
      </c>
      <c r="L1852" s="22"/>
      <c r="M1852" s="18"/>
    </row>
    <row r="1853" spans="1:13">
      <c r="A1853" s="18"/>
      <c r="B1853" s="18"/>
      <c r="C1853" s="18"/>
      <c r="D1853" s="18"/>
      <c r="E1853" s="20"/>
      <c r="F1853" s="20"/>
      <c r="G1853" s="18"/>
      <c r="H1853" s="18">
        <v>1</v>
      </c>
      <c r="I1853" s="21" t="s">
        <v>525</v>
      </c>
      <c r="J1853" s="18">
        <v>1</v>
      </c>
      <c r="K1853" s="18">
        <v>619</v>
      </c>
      <c r="L1853" s="22"/>
      <c r="M1853" s="18"/>
    </row>
    <row r="1854" spans="1:13">
      <c r="A1854" s="18"/>
      <c r="B1854" s="24"/>
      <c r="C1854" s="18"/>
      <c r="D1854" s="18"/>
      <c r="E1854" s="20"/>
      <c r="F1854" s="20"/>
      <c r="G1854" s="18"/>
      <c r="H1854" s="18">
        <v>1</v>
      </c>
      <c r="I1854" s="21" t="s">
        <v>528</v>
      </c>
      <c r="J1854" s="18">
        <v>1</v>
      </c>
      <c r="K1854" s="18">
        <v>511</v>
      </c>
      <c r="L1854" s="22"/>
      <c r="M1854" s="18"/>
    </row>
    <row r="1855" spans="1:13">
      <c r="A1855" s="18"/>
      <c r="B1855" s="18"/>
      <c r="C1855" s="18"/>
      <c r="D1855" s="18"/>
      <c r="E1855" s="20"/>
      <c r="F1855" s="20"/>
      <c r="G1855" s="18"/>
      <c r="H1855" s="18">
        <v>1</v>
      </c>
      <c r="I1855" s="21" t="s">
        <v>527</v>
      </c>
      <c r="J1855" s="18">
        <v>1</v>
      </c>
      <c r="K1855" s="18">
        <v>469</v>
      </c>
      <c r="L1855" s="22"/>
      <c r="M1855" s="18"/>
    </row>
    <row r="1856" spans="1:13">
      <c r="A1856" s="18"/>
      <c r="B1856" s="24"/>
      <c r="C1856" s="18"/>
      <c r="D1856" s="18"/>
      <c r="E1856" s="20"/>
      <c r="F1856" s="20"/>
      <c r="G1856" s="18"/>
      <c r="H1856" s="18">
        <v>1</v>
      </c>
      <c r="I1856" s="21" t="s">
        <v>524</v>
      </c>
      <c r="J1856" s="18">
        <v>1</v>
      </c>
      <c r="K1856" s="18">
        <v>298</v>
      </c>
      <c r="L1856" s="22"/>
      <c r="M1856" s="18"/>
    </row>
    <row r="1857" spans="1:13">
      <c r="A1857" s="18"/>
      <c r="B1857" s="19"/>
      <c r="C1857" s="18"/>
      <c r="D1857" s="18"/>
      <c r="E1857" s="20"/>
      <c r="F1857" s="20"/>
      <c r="G1857" s="18"/>
      <c r="H1857" s="18"/>
      <c r="I1857" s="21"/>
      <c r="J1857" s="18"/>
      <c r="K1857" s="18"/>
      <c r="L1857" s="22"/>
      <c r="M1857" s="18"/>
    </row>
    <row r="1858" spans="1:13">
      <c r="A1858" s="117" t="s">
        <v>4</v>
      </c>
      <c r="B1858" s="117"/>
      <c r="C1858" s="117"/>
      <c r="D1858" s="117"/>
      <c r="E1858" s="117"/>
      <c r="F1858" s="117"/>
      <c r="G1858" s="117"/>
      <c r="H1858" s="117"/>
      <c r="I1858" s="118" t="s">
        <v>8</v>
      </c>
      <c r="J1858" s="118"/>
      <c r="K1858" s="89" t="s">
        <v>70</v>
      </c>
      <c r="L1858" s="119"/>
      <c r="M1858" s="120"/>
    </row>
    <row r="1859" spans="1:13">
      <c r="A1859" s="117"/>
      <c r="B1859" s="117"/>
      <c r="C1859" s="117"/>
      <c r="D1859" s="117"/>
      <c r="E1859" s="117"/>
      <c r="F1859" s="117"/>
      <c r="G1859" s="117"/>
      <c r="H1859" s="117"/>
      <c r="I1859" s="118" t="s">
        <v>25</v>
      </c>
      <c r="J1859" s="118"/>
      <c r="K1859" s="121" t="s">
        <v>291</v>
      </c>
      <c r="L1859" s="118"/>
      <c r="M1859" s="118"/>
    </row>
    <row r="1860" spans="1:13">
      <c r="A1860" s="117"/>
      <c r="B1860" s="117"/>
      <c r="C1860" s="117"/>
      <c r="D1860" s="117"/>
      <c r="E1860" s="117"/>
      <c r="F1860" s="117"/>
      <c r="G1860" s="117"/>
      <c r="H1860" s="117"/>
      <c r="I1860" s="87" t="s">
        <v>26</v>
      </c>
      <c r="J1860" s="88"/>
      <c r="K1860" s="95" t="s">
        <v>67</v>
      </c>
      <c r="L1860" s="104"/>
      <c r="M1860" s="88"/>
    </row>
    <row r="1861" spans="1:13">
      <c r="A1861" s="118" t="s">
        <v>31</v>
      </c>
      <c r="B1861" s="118"/>
      <c r="C1861" s="118" t="s">
        <v>32</v>
      </c>
      <c r="D1861" s="118"/>
      <c r="E1861" s="118"/>
      <c r="F1861" s="118"/>
      <c r="G1861" s="118"/>
      <c r="H1861" s="118"/>
      <c r="I1861" s="40" t="s">
        <v>29</v>
      </c>
      <c r="J1861" s="41"/>
      <c r="K1861" s="118" t="s">
        <v>340</v>
      </c>
      <c r="L1861" s="118"/>
      <c r="M1861" s="118"/>
    </row>
    <row r="1862" spans="1:13">
      <c r="A1862" s="118"/>
      <c r="B1862" s="118"/>
      <c r="C1862" s="118"/>
      <c r="D1862" s="118"/>
      <c r="E1862" s="118"/>
      <c r="F1862" s="118"/>
      <c r="G1862" s="118"/>
      <c r="H1862" s="118"/>
      <c r="I1862" s="118" t="s">
        <v>30</v>
      </c>
      <c r="J1862" s="118"/>
      <c r="K1862" s="118" t="s">
        <v>523</v>
      </c>
      <c r="L1862" s="118"/>
      <c r="M1862" s="118"/>
    </row>
    <row r="1863" spans="1:13">
      <c r="A1863" s="122" t="s">
        <v>24</v>
      </c>
      <c r="B1863" s="122"/>
      <c r="C1863" s="122"/>
      <c r="D1863" s="42">
        <v>2</v>
      </c>
      <c r="E1863" s="117" t="s">
        <v>40</v>
      </c>
      <c r="F1863" s="117"/>
      <c r="G1863" s="117"/>
      <c r="H1863" s="42">
        <v>2</v>
      </c>
      <c r="I1863" s="118" t="s">
        <v>27</v>
      </c>
      <c r="J1863" s="118"/>
      <c r="K1863" s="118" t="s">
        <v>21</v>
      </c>
      <c r="L1863" s="118"/>
      <c r="M1863" s="118"/>
    </row>
    <row r="1864" spans="1:13" ht="45">
      <c r="A1864" s="3" t="s">
        <v>9</v>
      </c>
      <c r="B1864" s="3" t="s">
        <v>10</v>
      </c>
      <c r="C1864" s="3" t="s">
        <v>11</v>
      </c>
      <c r="D1864" s="3" t="s">
        <v>3</v>
      </c>
      <c r="E1864" s="4" t="s">
        <v>41</v>
      </c>
      <c r="F1864" s="4" t="s">
        <v>12</v>
      </c>
      <c r="G1864" s="3" t="s">
        <v>13</v>
      </c>
      <c r="H1864" s="3" t="s">
        <v>14</v>
      </c>
      <c r="I1864" s="3" t="s">
        <v>15</v>
      </c>
      <c r="J1864" s="3" t="s">
        <v>16</v>
      </c>
      <c r="K1864" s="3" t="s">
        <v>17</v>
      </c>
      <c r="L1864" s="3" t="s">
        <v>18</v>
      </c>
      <c r="M1864" s="3" t="s">
        <v>19</v>
      </c>
    </row>
    <row r="1865" spans="1:13">
      <c r="A1865" s="18">
        <v>1</v>
      </c>
      <c r="B1865" s="19">
        <v>0</v>
      </c>
      <c r="C1865" s="18"/>
      <c r="D1865" s="18">
        <v>1</v>
      </c>
      <c r="E1865" s="20">
        <v>11500</v>
      </c>
      <c r="F1865" s="20"/>
      <c r="G1865" s="18"/>
      <c r="H1865" s="18">
        <v>1</v>
      </c>
      <c r="I1865" s="21" t="s">
        <v>521</v>
      </c>
      <c r="J1865" s="18">
        <v>1</v>
      </c>
      <c r="K1865" s="18">
        <v>11498</v>
      </c>
      <c r="L1865" s="22"/>
      <c r="M1865" s="18"/>
    </row>
    <row r="1866" spans="1:13">
      <c r="A1866" s="18">
        <v>2</v>
      </c>
      <c r="B1866" s="18">
        <v>0</v>
      </c>
      <c r="C1866" s="18"/>
      <c r="D1866" s="18">
        <v>1</v>
      </c>
      <c r="E1866" s="20">
        <v>11500</v>
      </c>
      <c r="F1866" s="20"/>
      <c r="G1866" s="18"/>
      <c r="H1866" s="18">
        <v>1</v>
      </c>
      <c r="I1866" s="21" t="s">
        <v>522</v>
      </c>
      <c r="J1866" s="18">
        <v>1</v>
      </c>
      <c r="K1866" s="18">
        <v>11498</v>
      </c>
      <c r="L1866" s="22"/>
      <c r="M1866" s="18"/>
    </row>
    <row r="1867" spans="1:13">
      <c r="A1867" s="18"/>
      <c r="B1867" s="18"/>
      <c r="C1867" s="18"/>
      <c r="D1867" s="18"/>
      <c r="E1867" s="20"/>
      <c r="F1867" s="20"/>
      <c r="G1867" s="18"/>
      <c r="H1867" s="18"/>
      <c r="I1867" s="21"/>
      <c r="J1867" s="18"/>
      <c r="K1867" s="18"/>
      <c r="L1867" s="22"/>
      <c r="M1867" s="18"/>
    </row>
    <row r="1868" spans="1:13">
      <c r="A1868" s="117" t="s">
        <v>4</v>
      </c>
      <c r="B1868" s="117"/>
      <c r="C1868" s="117"/>
      <c r="D1868" s="117"/>
      <c r="E1868" s="117"/>
      <c r="F1868" s="117"/>
      <c r="G1868" s="117"/>
      <c r="H1868" s="117"/>
      <c r="I1868" s="118" t="s">
        <v>8</v>
      </c>
      <c r="J1868" s="118"/>
      <c r="K1868" s="89" t="s">
        <v>70</v>
      </c>
      <c r="L1868" s="119"/>
      <c r="M1868" s="120"/>
    </row>
    <row r="1869" spans="1:13">
      <c r="A1869" s="117"/>
      <c r="B1869" s="117"/>
      <c r="C1869" s="117"/>
      <c r="D1869" s="117"/>
      <c r="E1869" s="117"/>
      <c r="F1869" s="117"/>
      <c r="G1869" s="117"/>
      <c r="H1869" s="117"/>
      <c r="I1869" s="118" t="s">
        <v>25</v>
      </c>
      <c r="J1869" s="118"/>
      <c r="K1869" s="121" t="s">
        <v>291</v>
      </c>
      <c r="L1869" s="118"/>
      <c r="M1869" s="118"/>
    </row>
    <row r="1870" spans="1:13">
      <c r="A1870" s="117"/>
      <c r="B1870" s="117"/>
      <c r="C1870" s="117"/>
      <c r="D1870" s="117"/>
      <c r="E1870" s="117"/>
      <c r="F1870" s="117"/>
      <c r="G1870" s="117"/>
      <c r="H1870" s="117"/>
      <c r="I1870" s="87" t="s">
        <v>26</v>
      </c>
      <c r="J1870" s="88"/>
      <c r="K1870" s="95" t="s">
        <v>50</v>
      </c>
      <c r="L1870" s="104"/>
      <c r="M1870" s="88"/>
    </row>
    <row r="1871" spans="1:13">
      <c r="A1871" s="118" t="s">
        <v>31</v>
      </c>
      <c r="B1871" s="118"/>
      <c r="C1871" s="118" t="s">
        <v>32</v>
      </c>
      <c r="D1871" s="118"/>
      <c r="E1871" s="118"/>
      <c r="F1871" s="118"/>
      <c r="G1871" s="118"/>
      <c r="H1871" s="118"/>
      <c r="I1871" s="40" t="s">
        <v>29</v>
      </c>
      <c r="J1871" s="41"/>
      <c r="K1871" s="118" t="s">
        <v>340</v>
      </c>
      <c r="L1871" s="118"/>
      <c r="M1871" s="118"/>
    </row>
    <row r="1872" spans="1:13">
      <c r="A1872" s="118"/>
      <c r="B1872" s="118"/>
      <c r="C1872" s="118"/>
      <c r="D1872" s="118"/>
      <c r="E1872" s="118"/>
      <c r="F1872" s="118"/>
      <c r="G1872" s="118"/>
      <c r="H1872" s="118"/>
      <c r="I1872" s="118" t="s">
        <v>30</v>
      </c>
      <c r="J1872" s="118"/>
      <c r="K1872" s="118" t="s">
        <v>520</v>
      </c>
      <c r="L1872" s="118"/>
      <c r="M1872" s="118"/>
    </row>
    <row r="1873" spans="1:13">
      <c r="A1873" s="122" t="s">
        <v>24</v>
      </c>
      <c r="B1873" s="122"/>
      <c r="C1873" s="122"/>
      <c r="D1873" s="42">
        <v>9</v>
      </c>
      <c r="E1873" s="117" t="s">
        <v>40</v>
      </c>
      <c r="F1873" s="117"/>
      <c r="G1873" s="117"/>
      <c r="H1873" s="42">
        <v>23</v>
      </c>
      <c r="I1873" s="118" t="s">
        <v>27</v>
      </c>
      <c r="J1873" s="118"/>
      <c r="K1873" s="118" t="s">
        <v>21</v>
      </c>
      <c r="L1873" s="118"/>
      <c r="M1873" s="118"/>
    </row>
    <row r="1874" spans="1:13" ht="45">
      <c r="A1874" s="3" t="s">
        <v>9</v>
      </c>
      <c r="B1874" s="3" t="s">
        <v>10</v>
      </c>
      <c r="C1874" s="3" t="s">
        <v>11</v>
      </c>
      <c r="D1874" s="3" t="s">
        <v>3</v>
      </c>
      <c r="E1874" s="4" t="s">
        <v>41</v>
      </c>
      <c r="F1874" s="4" t="s">
        <v>12</v>
      </c>
      <c r="G1874" s="3" t="s">
        <v>13</v>
      </c>
      <c r="H1874" s="3" t="s">
        <v>14</v>
      </c>
      <c r="I1874" s="3" t="s">
        <v>15</v>
      </c>
      <c r="J1874" s="3" t="s">
        <v>16</v>
      </c>
      <c r="K1874" s="3" t="s">
        <v>17</v>
      </c>
      <c r="L1874" s="3" t="s">
        <v>18</v>
      </c>
      <c r="M1874" s="3" t="s">
        <v>19</v>
      </c>
    </row>
    <row r="1875" spans="1:13">
      <c r="A1875" s="18">
        <v>1</v>
      </c>
      <c r="B1875" s="19">
        <v>0</v>
      </c>
      <c r="C1875" s="18"/>
      <c r="D1875" s="18">
        <v>1</v>
      </c>
      <c r="E1875" s="20">
        <v>11500</v>
      </c>
      <c r="F1875" s="20">
        <v>15</v>
      </c>
      <c r="G1875" s="18"/>
      <c r="H1875" s="18">
        <v>1</v>
      </c>
      <c r="I1875" s="21" t="s">
        <v>513</v>
      </c>
      <c r="J1875" s="18">
        <v>1</v>
      </c>
      <c r="K1875" s="18">
        <v>9191</v>
      </c>
      <c r="L1875" s="22"/>
      <c r="M1875" s="18"/>
    </row>
    <row r="1876" spans="1:13">
      <c r="A1876" s="18"/>
      <c r="B1876" s="18"/>
      <c r="C1876" s="18"/>
      <c r="D1876" s="18"/>
      <c r="E1876" s="20"/>
      <c r="F1876" s="20"/>
      <c r="G1876" s="18"/>
      <c r="H1876" s="18">
        <v>1</v>
      </c>
      <c r="I1876" s="21" t="s">
        <v>508</v>
      </c>
      <c r="J1876" s="18">
        <v>1</v>
      </c>
      <c r="K1876" s="18">
        <v>541</v>
      </c>
      <c r="L1876" s="22"/>
      <c r="M1876" s="18"/>
    </row>
    <row r="1877" spans="1:13">
      <c r="A1877" s="18"/>
      <c r="B1877" s="18"/>
      <c r="C1877" s="18"/>
      <c r="D1877" s="18"/>
      <c r="E1877" s="20"/>
      <c r="F1877" s="20"/>
      <c r="G1877" s="18"/>
      <c r="H1877" s="18">
        <v>1</v>
      </c>
      <c r="I1877" s="21" t="s">
        <v>505</v>
      </c>
      <c r="J1877" s="18">
        <v>1</v>
      </c>
      <c r="K1877" s="18">
        <v>541</v>
      </c>
      <c r="L1877" s="22"/>
      <c r="M1877" s="18"/>
    </row>
    <row r="1878" spans="1:13">
      <c r="A1878" s="18"/>
      <c r="B1878" s="24"/>
      <c r="C1878" s="18"/>
      <c r="D1878" s="18"/>
      <c r="E1878" s="20"/>
      <c r="F1878" s="20"/>
      <c r="G1878" s="18"/>
      <c r="H1878" s="18">
        <v>1</v>
      </c>
      <c r="I1878" s="21" t="s">
        <v>500</v>
      </c>
      <c r="J1878" s="18">
        <v>1</v>
      </c>
      <c r="K1878" s="18">
        <v>541</v>
      </c>
      <c r="L1878" s="22"/>
      <c r="M1878" s="18"/>
    </row>
    <row r="1879" spans="1:13">
      <c r="A1879" s="18"/>
      <c r="B1879" s="18"/>
      <c r="C1879" s="18"/>
      <c r="D1879" s="18"/>
      <c r="E1879" s="20"/>
      <c r="F1879" s="20"/>
      <c r="G1879" s="18"/>
      <c r="H1879" s="18">
        <v>1</v>
      </c>
      <c r="I1879" s="21" t="s">
        <v>498</v>
      </c>
      <c r="J1879" s="18">
        <v>1</v>
      </c>
      <c r="K1879" s="18">
        <v>541</v>
      </c>
      <c r="L1879" s="22"/>
      <c r="M1879" s="18"/>
    </row>
    <row r="1880" spans="1:13">
      <c r="A1880" s="18">
        <v>2</v>
      </c>
      <c r="B1880" s="24">
        <v>0</v>
      </c>
      <c r="C1880" s="18"/>
      <c r="D1880" s="18">
        <v>1</v>
      </c>
      <c r="E1880" s="20">
        <v>11500</v>
      </c>
      <c r="F1880" s="20">
        <v>409</v>
      </c>
      <c r="G1880" s="18"/>
      <c r="H1880" s="18">
        <v>1</v>
      </c>
      <c r="I1880" s="21" t="s">
        <v>506</v>
      </c>
      <c r="J1880" s="18">
        <v>1</v>
      </c>
      <c r="K1880" s="18">
        <v>7591</v>
      </c>
      <c r="L1880" s="22"/>
      <c r="M1880" s="18"/>
    </row>
    <row r="1881" spans="1:13">
      <c r="A1881" s="18"/>
      <c r="B1881" s="19"/>
      <c r="C1881" s="18"/>
      <c r="D1881" s="18"/>
      <c r="E1881" s="20"/>
      <c r="F1881" s="20"/>
      <c r="G1881" s="18"/>
      <c r="H1881" s="18">
        <v>1</v>
      </c>
      <c r="I1881" s="21" t="s">
        <v>504</v>
      </c>
      <c r="J1881" s="18">
        <v>1</v>
      </c>
      <c r="K1881" s="18">
        <v>2881</v>
      </c>
      <c r="L1881" s="22"/>
      <c r="M1881" s="18"/>
    </row>
    <row r="1882" spans="1:13">
      <c r="A1882" s="18"/>
      <c r="B1882" s="18"/>
      <c r="C1882" s="18"/>
      <c r="D1882" s="18"/>
      <c r="E1882" s="20"/>
      <c r="F1882" s="20"/>
      <c r="G1882" s="18"/>
      <c r="H1882" s="18">
        <v>1</v>
      </c>
      <c r="I1882" s="21" t="s">
        <v>516</v>
      </c>
      <c r="J1882" s="18">
        <v>1</v>
      </c>
      <c r="K1882" s="18">
        <v>541</v>
      </c>
      <c r="L1882" s="22"/>
      <c r="M1882" s="18"/>
    </row>
    <row r="1883" spans="1:13">
      <c r="A1883" s="18">
        <v>3</v>
      </c>
      <c r="B1883" s="18">
        <v>0</v>
      </c>
      <c r="C1883" s="18"/>
      <c r="D1883" s="18">
        <v>1</v>
      </c>
      <c r="E1883" s="20">
        <v>11500</v>
      </c>
      <c r="F1883" s="20">
        <v>316</v>
      </c>
      <c r="G1883" s="18"/>
      <c r="H1883" s="18">
        <v>1</v>
      </c>
      <c r="I1883" s="21" t="s">
        <v>517</v>
      </c>
      <c r="J1883" s="18">
        <v>1</v>
      </c>
      <c r="K1883" s="18">
        <v>7591</v>
      </c>
      <c r="L1883" s="22"/>
      <c r="M1883" s="18"/>
    </row>
    <row r="1884" spans="1:13">
      <c r="A1884" s="18"/>
      <c r="B1884" s="18"/>
      <c r="C1884" s="18"/>
      <c r="D1884" s="18"/>
      <c r="E1884" s="20"/>
      <c r="F1884" s="20"/>
      <c r="G1884" s="18"/>
      <c r="H1884" s="18">
        <v>1</v>
      </c>
      <c r="I1884" s="21" t="s">
        <v>507</v>
      </c>
      <c r="J1884" s="18">
        <v>1</v>
      </c>
      <c r="K1884" s="18">
        <v>3541</v>
      </c>
      <c r="L1884" s="22"/>
      <c r="M1884" s="18"/>
    </row>
    <row r="1885" spans="1:13">
      <c r="A1885" s="18">
        <v>4</v>
      </c>
      <c r="B1885" s="18">
        <v>0</v>
      </c>
      <c r="C1885" s="18"/>
      <c r="D1885" s="18">
        <v>1</v>
      </c>
      <c r="E1885" s="20">
        <v>11500</v>
      </c>
      <c r="F1885" s="20">
        <v>187</v>
      </c>
      <c r="G1885" s="18"/>
      <c r="H1885" s="18">
        <v>1</v>
      </c>
      <c r="I1885" s="21" t="s">
        <v>497</v>
      </c>
      <c r="J1885" s="18">
        <v>1</v>
      </c>
      <c r="K1885" s="18">
        <v>6472</v>
      </c>
      <c r="L1885" s="22"/>
      <c r="M1885" s="18"/>
    </row>
    <row r="1886" spans="1:13">
      <c r="A1886" s="18"/>
      <c r="B1886" s="18"/>
      <c r="C1886" s="18"/>
      <c r="D1886" s="18"/>
      <c r="E1886" s="20"/>
      <c r="F1886" s="20"/>
      <c r="G1886" s="18"/>
      <c r="H1886" s="18">
        <v>1</v>
      </c>
      <c r="I1886" s="21" t="s">
        <v>514</v>
      </c>
      <c r="J1886" s="18">
        <v>1</v>
      </c>
      <c r="K1886" s="18">
        <v>2281</v>
      </c>
      <c r="L1886" s="22"/>
      <c r="M1886" s="18"/>
    </row>
    <row r="1887" spans="1:13">
      <c r="A1887" s="18"/>
      <c r="B1887" s="18"/>
      <c r="C1887" s="18"/>
      <c r="D1887" s="18"/>
      <c r="E1887" s="20"/>
      <c r="F1887" s="20"/>
      <c r="G1887" s="18"/>
      <c r="H1887" s="18">
        <v>1</v>
      </c>
      <c r="I1887" s="21" t="s">
        <v>519</v>
      </c>
      <c r="J1887" s="18">
        <v>1</v>
      </c>
      <c r="K1887" s="18">
        <v>1915</v>
      </c>
      <c r="L1887" s="22"/>
      <c r="M1887" s="18"/>
    </row>
    <row r="1888" spans="1:13">
      <c r="A1888" s="18"/>
      <c r="B1888" s="18"/>
      <c r="C1888" s="18"/>
      <c r="D1888" s="18"/>
      <c r="E1888" s="20"/>
      <c r="F1888" s="20"/>
      <c r="G1888" s="18"/>
      <c r="H1888" s="18">
        <v>1</v>
      </c>
      <c r="I1888" s="21" t="s">
        <v>502</v>
      </c>
      <c r="J1888" s="18">
        <v>1</v>
      </c>
      <c r="K1888" s="18">
        <v>541</v>
      </c>
      <c r="L1888" s="22"/>
      <c r="M1888" s="18"/>
    </row>
    <row r="1889" spans="1:13">
      <c r="A1889" s="18">
        <v>5</v>
      </c>
      <c r="B1889" s="18">
        <v>0</v>
      </c>
      <c r="C1889" s="18"/>
      <c r="D1889" s="18">
        <v>1</v>
      </c>
      <c r="E1889" s="20">
        <v>11500</v>
      </c>
      <c r="F1889" s="20">
        <v>4842</v>
      </c>
      <c r="G1889" s="18"/>
      <c r="H1889" s="18">
        <v>1</v>
      </c>
      <c r="I1889" s="21" t="s">
        <v>511</v>
      </c>
      <c r="J1889" s="18">
        <v>1</v>
      </c>
      <c r="K1889" s="18">
        <v>1741</v>
      </c>
      <c r="L1889" s="22"/>
      <c r="M1889" s="18"/>
    </row>
    <row r="1890" spans="1:13">
      <c r="A1890" s="5"/>
      <c r="B1890" s="5"/>
      <c r="C1890" s="5"/>
      <c r="D1890" s="5"/>
      <c r="E1890" s="6"/>
      <c r="F1890" s="6"/>
      <c r="G1890" s="5"/>
      <c r="H1890" s="5">
        <v>1</v>
      </c>
      <c r="I1890" s="7" t="s">
        <v>499</v>
      </c>
      <c r="J1890" s="5">
        <v>1</v>
      </c>
      <c r="K1890" s="5">
        <v>1641</v>
      </c>
      <c r="L1890" s="8"/>
      <c r="M1890" s="5"/>
    </row>
    <row r="1891" spans="1:13">
      <c r="A1891" s="5"/>
      <c r="B1891" s="5"/>
      <c r="C1891" s="5"/>
      <c r="D1891" s="5"/>
      <c r="E1891" s="6"/>
      <c r="F1891" s="6"/>
      <c r="G1891" s="5"/>
      <c r="H1891" s="5">
        <v>1</v>
      </c>
      <c r="I1891" s="7" t="s">
        <v>501</v>
      </c>
      <c r="J1891" s="5">
        <v>1</v>
      </c>
      <c r="K1891" s="5">
        <v>1541</v>
      </c>
      <c r="L1891" s="8"/>
      <c r="M1891" s="18"/>
    </row>
    <row r="1892" spans="1:13">
      <c r="A1892" s="5"/>
      <c r="B1892" s="5"/>
      <c r="C1892" s="5"/>
      <c r="D1892" s="5"/>
      <c r="E1892" s="6"/>
      <c r="F1892" s="6"/>
      <c r="G1892" s="5"/>
      <c r="H1892" s="5">
        <v>1</v>
      </c>
      <c r="I1892" s="7" t="s">
        <v>518</v>
      </c>
      <c r="J1892" s="5">
        <v>1</v>
      </c>
      <c r="K1892" s="5">
        <v>1091</v>
      </c>
      <c r="L1892" s="8"/>
      <c r="M1892" s="5"/>
    </row>
    <row r="1893" spans="1:13">
      <c r="A1893" s="5"/>
      <c r="B1893" s="5"/>
      <c r="C1893" s="5"/>
      <c r="D1893" s="5"/>
      <c r="E1893" s="6"/>
      <c r="F1893" s="6"/>
      <c r="G1893" s="5"/>
      <c r="H1893" s="5">
        <v>1</v>
      </c>
      <c r="I1893" s="7" t="s">
        <v>503</v>
      </c>
      <c r="J1893" s="5">
        <v>1</v>
      </c>
      <c r="K1893" s="5">
        <v>514</v>
      </c>
      <c r="L1893" s="8"/>
      <c r="M1893" s="5"/>
    </row>
    <row r="1894" spans="1:13">
      <c r="A1894" s="5">
        <v>6</v>
      </c>
      <c r="B1894" s="5">
        <v>0</v>
      </c>
      <c r="C1894" s="5"/>
      <c r="D1894" s="5">
        <v>1</v>
      </c>
      <c r="E1894" s="6">
        <v>11500</v>
      </c>
      <c r="F1894" s="6"/>
      <c r="G1894" s="5"/>
      <c r="H1894" s="5">
        <v>1</v>
      </c>
      <c r="I1894" s="7" t="s">
        <v>512</v>
      </c>
      <c r="J1894" s="5">
        <v>1</v>
      </c>
      <c r="K1894" s="5">
        <v>11498</v>
      </c>
      <c r="L1894" s="8"/>
      <c r="M1894" s="5"/>
    </row>
    <row r="1895" spans="1:13">
      <c r="A1895" s="5">
        <v>7</v>
      </c>
      <c r="B1895" s="5">
        <v>0</v>
      </c>
      <c r="C1895" s="5"/>
      <c r="D1895" s="5">
        <v>1</v>
      </c>
      <c r="E1895" s="6">
        <v>11500</v>
      </c>
      <c r="F1895" s="6"/>
      <c r="G1895" s="5"/>
      <c r="H1895" s="5">
        <v>1</v>
      </c>
      <c r="I1895" s="7" t="s">
        <v>510</v>
      </c>
      <c r="J1895" s="5">
        <v>1</v>
      </c>
      <c r="K1895" s="5">
        <v>11498</v>
      </c>
      <c r="L1895" s="8"/>
      <c r="M1895" s="5"/>
    </row>
    <row r="1896" spans="1:13">
      <c r="A1896" s="5">
        <v>8</v>
      </c>
      <c r="B1896" s="5">
        <v>0</v>
      </c>
      <c r="C1896" s="5"/>
      <c r="D1896" s="5">
        <v>1</v>
      </c>
      <c r="E1896" s="6">
        <v>11500</v>
      </c>
      <c r="F1896" s="6"/>
      <c r="G1896" s="5"/>
      <c r="H1896" s="5">
        <v>1</v>
      </c>
      <c r="I1896" s="7" t="s">
        <v>509</v>
      </c>
      <c r="J1896" s="5">
        <v>1</v>
      </c>
      <c r="K1896" s="5">
        <v>11498</v>
      </c>
      <c r="L1896" s="8"/>
      <c r="M1896" s="5"/>
    </row>
    <row r="1897" spans="1:13">
      <c r="A1897" s="5">
        <v>9</v>
      </c>
      <c r="B1897" s="5">
        <v>0</v>
      </c>
      <c r="C1897" s="5"/>
      <c r="D1897" s="5">
        <v>1</v>
      </c>
      <c r="E1897" s="6">
        <v>11500</v>
      </c>
      <c r="F1897" s="6"/>
      <c r="G1897" s="5"/>
      <c r="H1897" s="5">
        <v>1</v>
      </c>
      <c r="I1897" s="7" t="s">
        <v>515</v>
      </c>
      <c r="J1897" s="5">
        <v>1</v>
      </c>
      <c r="K1897" s="5">
        <v>11498</v>
      </c>
      <c r="L1897" s="8"/>
      <c r="M1897" s="5"/>
    </row>
    <row r="1898" spans="1:13">
      <c r="A1898" s="5"/>
      <c r="B1898" s="5"/>
      <c r="C1898" s="5"/>
      <c r="D1898" s="5"/>
      <c r="E1898" s="6"/>
      <c r="F1898" s="6"/>
      <c r="G1898" s="5"/>
      <c r="H1898" s="5"/>
      <c r="I1898" s="7"/>
      <c r="J1898" s="5"/>
      <c r="K1898" s="5"/>
      <c r="L1898" s="8"/>
      <c r="M1898" s="5"/>
    </row>
    <row r="1899" spans="1:13">
      <c r="A1899" s="117" t="s">
        <v>4</v>
      </c>
      <c r="B1899" s="117"/>
      <c r="C1899" s="117"/>
      <c r="D1899" s="117"/>
      <c r="E1899" s="117"/>
      <c r="F1899" s="117"/>
      <c r="G1899" s="117"/>
      <c r="H1899" s="117"/>
      <c r="I1899" s="118" t="s">
        <v>8</v>
      </c>
      <c r="J1899" s="118"/>
      <c r="K1899" s="89" t="s">
        <v>70</v>
      </c>
      <c r="L1899" s="119"/>
      <c r="M1899" s="120"/>
    </row>
    <row r="1900" spans="1:13">
      <c r="A1900" s="117"/>
      <c r="B1900" s="117"/>
      <c r="C1900" s="117"/>
      <c r="D1900" s="117"/>
      <c r="E1900" s="117"/>
      <c r="F1900" s="117"/>
      <c r="G1900" s="117"/>
      <c r="H1900" s="117"/>
      <c r="I1900" s="118" t="s">
        <v>25</v>
      </c>
      <c r="J1900" s="118"/>
      <c r="K1900" s="121" t="s">
        <v>291</v>
      </c>
      <c r="L1900" s="118"/>
      <c r="M1900" s="118"/>
    </row>
    <row r="1901" spans="1:13">
      <c r="A1901" s="117"/>
      <c r="B1901" s="117"/>
      <c r="C1901" s="117"/>
      <c r="D1901" s="117"/>
      <c r="E1901" s="117"/>
      <c r="F1901" s="117"/>
      <c r="G1901" s="117"/>
      <c r="H1901" s="117"/>
      <c r="I1901" s="87" t="s">
        <v>26</v>
      </c>
      <c r="J1901" s="88"/>
      <c r="K1901" s="95" t="s">
        <v>495</v>
      </c>
      <c r="L1901" s="104"/>
      <c r="M1901" s="88"/>
    </row>
    <row r="1902" spans="1:13">
      <c r="A1902" s="118" t="s">
        <v>31</v>
      </c>
      <c r="B1902" s="118"/>
      <c r="C1902" s="118" t="s">
        <v>32</v>
      </c>
      <c r="D1902" s="118"/>
      <c r="E1902" s="118"/>
      <c r="F1902" s="118"/>
      <c r="G1902" s="118"/>
      <c r="H1902" s="118"/>
      <c r="I1902" s="40" t="s">
        <v>29</v>
      </c>
      <c r="J1902" s="41"/>
      <c r="K1902" s="118" t="s">
        <v>340</v>
      </c>
      <c r="L1902" s="118"/>
      <c r="M1902" s="118"/>
    </row>
    <row r="1903" spans="1:13">
      <c r="A1903" s="118"/>
      <c r="B1903" s="118"/>
      <c r="C1903" s="118"/>
      <c r="D1903" s="118"/>
      <c r="E1903" s="118"/>
      <c r="F1903" s="118"/>
      <c r="G1903" s="118"/>
      <c r="H1903" s="118"/>
      <c r="I1903" s="118" t="s">
        <v>30</v>
      </c>
      <c r="J1903" s="118"/>
      <c r="K1903" s="118" t="s">
        <v>496</v>
      </c>
      <c r="L1903" s="118"/>
      <c r="M1903" s="118"/>
    </row>
    <row r="1904" spans="1:13">
      <c r="A1904" s="122" t="s">
        <v>24</v>
      </c>
      <c r="B1904" s="122"/>
      <c r="C1904" s="122"/>
      <c r="D1904" s="42">
        <v>4</v>
      </c>
      <c r="E1904" s="117" t="s">
        <v>40</v>
      </c>
      <c r="F1904" s="117"/>
      <c r="G1904" s="117"/>
      <c r="H1904" s="42">
        <v>4</v>
      </c>
      <c r="I1904" s="118" t="s">
        <v>27</v>
      </c>
      <c r="J1904" s="118"/>
      <c r="K1904" s="118" t="s">
        <v>21</v>
      </c>
      <c r="L1904" s="118"/>
      <c r="M1904" s="118"/>
    </row>
    <row r="1905" spans="1:13" ht="45">
      <c r="A1905" s="3" t="s">
        <v>9</v>
      </c>
      <c r="B1905" s="3" t="s">
        <v>10</v>
      </c>
      <c r="C1905" s="3" t="s">
        <v>11</v>
      </c>
      <c r="D1905" s="3" t="s">
        <v>3</v>
      </c>
      <c r="E1905" s="4" t="s">
        <v>41</v>
      </c>
      <c r="F1905" s="4" t="s">
        <v>12</v>
      </c>
      <c r="G1905" s="3" t="s">
        <v>13</v>
      </c>
      <c r="H1905" s="3" t="s">
        <v>14</v>
      </c>
      <c r="I1905" s="3" t="s">
        <v>15</v>
      </c>
      <c r="J1905" s="3" t="s">
        <v>16</v>
      </c>
      <c r="K1905" s="3" t="s">
        <v>17</v>
      </c>
      <c r="L1905" s="3" t="s">
        <v>18</v>
      </c>
      <c r="M1905" s="3" t="s">
        <v>19</v>
      </c>
    </row>
    <row r="1906" spans="1:13">
      <c r="A1906" s="18">
        <v>1</v>
      </c>
      <c r="B1906" s="19">
        <v>0</v>
      </c>
      <c r="C1906" s="18">
        <v>115</v>
      </c>
      <c r="D1906" s="18">
        <v>1</v>
      </c>
      <c r="E1906" s="20">
        <v>11500</v>
      </c>
      <c r="F1906" s="20">
        <v>10938</v>
      </c>
      <c r="G1906" s="18"/>
      <c r="H1906" s="18">
        <v>1</v>
      </c>
      <c r="I1906" s="21" t="s">
        <v>494</v>
      </c>
      <c r="J1906" s="18">
        <v>1</v>
      </c>
      <c r="K1906" s="18">
        <v>536</v>
      </c>
      <c r="L1906" s="22"/>
      <c r="M1906" s="18"/>
    </row>
    <row r="1907" spans="1:13">
      <c r="A1907" s="18">
        <v>2</v>
      </c>
      <c r="B1907" s="18">
        <v>0</v>
      </c>
      <c r="C1907" s="18">
        <v>115</v>
      </c>
      <c r="D1907" s="18">
        <v>1</v>
      </c>
      <c r="E1907" s="20">
        <v>11500</v>
      </c>
      <c r="F1907" s="20"/>
      <c r="G1907" s="18"/>
      <c r="H1907" s="18">
        <v>1</v>
      </c>
      <c r="I1907" s="21" t="s">
        <v>491</v>
      </c>
      <c r="J1907" s="18">
        <v>1</v>
      </c>
      <c r="K1907" s="18">
        <v>11498</v>
      </c>
      <c r="L1907" s="22"/>
      <c r="M1907" s="18"/>
    </row>
    <row r="1908" spans="1:13">
      <c r="A1908" s="18">
        <v>3</v>
      </c>
      <c r="B1908" s="18">
        <v>0</v>
      </c>
      <c r="C1908" s="18">
        <v>115</v>
      </c>
      <c r="D1908" s="18">
        <v>1</v>
      </c>
      <c r="E1908" s="20">
        <v>11500</v>
      </c>
      <c r="F1908" s="20"/>
      <c r="G1908" s="18"/>
      <c r="H1908" s="18">
        <v>1</v>
      </c>
      <c r="I1908" s="21" t="s">
        <v>492</v>
      </c>
      <c r="J1908" s="18">
        <v>1</v>
      </c>
      <c r="K1908" s="18">
        <v>11498</v>
      </c>
      <c r="L1908" s="22"/>
      <c r="M1908" s="18"/>
    </row>
    <row r="1909" spans="1:13">
      <c r="A1909" s="18">
        <v>4</v>
      </c>
      <c r="B1909" s="24">
        <v>0</v>
      </c>
      <c r="C1909" s="18">
        <v>115</v>
      </c>
      <c r="D1909" s="18">
        <v>1</v>
      </c>
      <c r="E1909" s="20">
        <v>11500</v>
      </c>
      <c r="F1909" s="20"/>
      <c r="G1909" s="18"/>
      <c r="H1909" s="18">
        <v>1</v>
      </c>
      <c r="I1909" s="21" t="s">
        <v>493</v>
      </c>
      <c r="J1909" s="18">
        <v>1</v>
      </c>
      <c r="K1909" s="18">
        <v>11498</v>
      </c>
      <c r="L1909" s="22"/>
      <c r="M1909" s="18"/>
    </row>
    <row r="1910" spans="1:13">
      <c r="A1910" s="18"/>
      <c r="B1910" s="18"/>
      <c r="C1910" s="18"/>
      <c r="D1910" s="18"/>
      <c r="E1910" s="20"/>
      <c r="F1910" s="20"/>
      <c r="G1910" s="18"/>
      <c r="H1910" s="18"/>
      <c r="I1910" s="21"/>
      <c r="J1910" s="18"/>
      <c r="K1910" s="18"/>
      <c r="L1910" s="22"/>
      <c r="M1910" s="18"/>
    </row>
    <row r="1911" spans="1:13">
      <c r="A1911" s="117" t="s">
        <v>4</v>
      </c>
      <c r="B1911" s="117"/>
      <c r="C1911" s="117"/>
      <c r="D1911" s="117"/>
      <c r="E1911" s="117"/>
      <c r="F1911" s="117"/>
      <c r="G1911" s="117"/>
      <c r="H1911" s="117"/>
      <c r="I1911" s="118" t="s">
        <v>8</v>
      </c>
      <c r="J1911" s="118"/>
      <c r="K1911" s="89" t="s">
        <v>70</v>
      </c>
      <c r="L1911" s="119"/>
      <c r="M1911" s="120"/>
    </row>
    <row r="1912" spans="1:13">
      <c r="A1912" s="117"/>
      <c r="B1912" s="117"/>
      <c r="C1912" s="117"/>
      <c r="D1912" s="117"/>
      <c r="E1912" s="117"/>
      <c r="F1912" s="117"/>
      <c r="G1912" s="117"/>
      <c r="H1912" s="117"/>
      <c r="I1912" s="118" t="s">
        <v>25</v>
      </c>
      <c r="J1912" s="118"/>
      <c r="K1912" s="121" t="s">
        <v>291</v>
      </c>
      <c r="L1912" s="118"/>
      <c r="M1912" s="118"/>
    </row>
    <row r="1913" spans="1:13">
      <c r="A1913" s="117"/>
      <c r="B1913" s="117"/>
      <c r="C1913" s="117"/>
      <c r="D1913" s="117"/>
      <c r="E1913" s="117"/>
      <c r="F1913" s="117"/>
      <c r="G1913" s="117"/>
      <c r="H1913" s="117"/>
      <c r="I1913" s="87" t="s">
        <v>26</v>
      </c>
      <c r="J1913" s="88"/>
      <c r="K1913" s="95" t="s">
        <v>47</v>
      </c>
      <c r="L1913" s="104"/>
      <c r="M1913" s="88"/>
    </row>
    <row r="1914" spans="1:13">
      <c r="A1914" s="118" t="s">
        <v>31</v>
      </c>
      <c r="B1914" s="118"/>
      <c r="C1914" s="118" t="s">
        <v>32</v>
      </c>
      <c r="D1914" s="118"/>
      <c r="E1914" s="118"/>
      <c r="F1914" s="118"/>
      <c r="G1914" s="118"/>
      <c r="H1914" s="118"/>
      <c r="I1914" s="40" t="s">
        <v>29</v>
      </c>
      <c r="J1914" s="41"/>
      <c r="K1914" s="118" t="s">
        <v>340</v>
      </c>
      <c r="L1914" s="118"/>
      <c r="M1914" s="118"/>
    </row>
    <row r="1915" spans="1:13">
      <c r="A1915" s="118"/>
      <c r="B1915" s="118"/>
      <c r="C1915" s="118"/>
      <c r="D1915" s="118"/>
      <c r="E1915" s="118"/>
      <c r="F1915" s="118"/>
      <c r="G1915" s="118"/>
      <c r="H1915" s="118"/>
      <c r="I1915" s="118" t="s">
        <v>30</v>
      </c>
      <c r="J1915" s="118"/>
      <c r="K1915" s="118" t="s">
        <v>490</v>
      </c>
      <c r="L1915" s="118"/>
      <c r="M1915" s="118"/>
    </row>
    <row r="1916" spans="1:13">
      <c r="A1916" s="122" t="s">
        <v>24</v>
      </c>
      <c r="B1916" s="122"/>
      <c r="C1916" s="122"/>
      <c r="D1916" s="42">
        <v>17</v>
      </c>
      <c r="E1916" s="117" t="s">
        <v>40</v>
      </c>
      <c r="F1916" s="117"/>
      <c r="G1916" s="117"/>
      <c r="H1916" s="42">
        <v>44</v>
      </c>
      <c r="I1916" s="118" t="s">
        <v>27</v>
      </c>
      <c r="J1916" s="118"/>
      <c r="K1916" s="118" t="s">
        <v>21</v>
      </c>
      <c r="L1916" s="118"/>
      <c r="M1916" s="118"/>
    </row>
    <row r="1917" spans="1:13" ht="45">
      <c r="A1917" s="3" t="s">
        <v>9</v>
      </c>
      <c r="B1917" s="3" t="s">
        <v>10</v>
      </c>
      <c r="C1917" s="3" t="s">
        <v>11</v>
      </c>
      <c r="D1917" s="3" t="s">
        <v>3</v>
      </c>
      <c r="E1917" s="4" t="s">
        <v>41</v>
      </c>
      <c r="F1917" s="4" t="s">
        <v>12</v>
      </c>
      <c r="G1917" s="3" t="s">
        <v>13</v>
      </c>
      <c r="H1917" s="3" t="s">
        <v>14</v>
      </c>
      <c r="I1917" s="3" t="s">
        <v>15</v>
      </c>
      <c r="J1917" s="3" t="s">
        <v>16</v>
      </c>
      <c r="K1917" s="3" t="s">
        <v>17</v>
      </c>
      <c r="L1917" s="3" t="s">
        <v>18</v>
      </c>
      <c r="M1917" s="3" t="s">
        <v>19</v>
      </c>
    </row>
    <row r="1918" spans="1:13">
      <c r="A1918" s="18">
        <v>1</v>
      </c>
      <c r="B1918" s="19">
        <v>0</v>
      </c>
      <c r="C1918" s="18"/>
      <c r="D1918" s="18">
        <v>1</v>
      </c>
      <c r="E1918" s="20">
        <v>11500</v>
      </c>
      <c r="F1918" s="20">
        <v>100</v>
      </c>
      <c r="G1918" s="18"/>
      <c r="H1918" s="18">
        <v>1</v>
      </c>
      <c r="I1918" s="21" t="s">
        <v>479</v>
      </c>
      <c r="J1918" s="18">
        <v>1</v>
      </c>
      <c r="K1918" s="18">
        <v>8115</v>
      </c>
      <c r="L1918" s="22"/>
      <c r="M1918" s="18"/>
    </row>
    <row r="1919" spans="1:13">
      <c r="A1919" s="18"/>
      <c r="B1919" s="18"/>
      <c r="C1919" s="18"/>
      <c r="D1919" s="18"/>
      <c r="E1919" s="20"/>
      <c r="F1919" s="20"/>
      <c r="G1919" s="18"/>
      <c r="H1919" s="18">
        <v>1</v>
      </c>
      <c r="I1919" s="21" t="s">
        <v>461</v>
      </c>
      <c r="J1919" s="18">
        <v>1</v>
      </c>
      <c r="K1919" s="18">
        <v>2692</v>
      </c>
      <c r="L1919" s="22"/>
      <c r="M1919" s="18"/>
    </row>
    <row r="1920" spans="1:13">
      <c r="A1920" s="18"/>
      <c r="B1920" s="18"/>
      <c r="C1920" s="18"/>
      <c r="D1920" s="18"/>
      <c r="E1920" s="20"/>
      <c r="F1920" s="20"/>
      <c r="G1920" s="18"/>
      <c r="H1920" s="18">
        <v>1</v>
      </c>
      <c r="I1920" s="21" t="s">
        <v>489</v>
      </c>
      <c r="J1920" s="18">
        <v>1</v>
      </c>
      <c r="K1920" s="18">
        <v>515</v>
      </c>
      <c r="L1920" s="22"/>
      <c r="M1920" s="18"/>
    </row>
    <row r="1921" spans="1:13">
      <c r="A1921" s="18">
        <v>2</v>
      </c>
      <c r="B1921" s="24">
        <v>0</v>
      </c>
      <c r="C1921" s="18"/>
      <c r="D1921" s="18">
        <v>1</v>
      </c>
      <c r="E1921" s="20">
        <v>11500</v>
      </c>
      <c r="F1921" s="20">
        <v>67</v>
      </c>
      <c r="G1921" s="18"/>
      <c r="H1921" s="18">
        <v>1</v>
      </c>
      <c r="I1921" s="21" t="s">
        <v>456</v>
      </c>
      <c r="J1921" s="18">
        <v>1</v>
      </c>
      <c r="K1921" s="18">
        <v>7142</v>
      </c>
      <c r="L1921" s="22"/>
      <c r="M1921" s="18"/>
    </row>
    <row r="1922" spans="1:13">
      <c r="A1922" s="18"/>
      <c r="B1922" s="18"/>
      <c r="C1922" s="18"/>
      <c r="D1922" s="18"/>
      <c r="E1922" s="20"/>
      <c r="F1922" s="20"/>
      <c r="G1922" s="18"/>
      <c r="H1922" s="18">
        <v>1</v>
      </c>
      <c r="I1922" s="21" t="s">
        <v>262</v>
      </c>
      <c r="J1922" s="18">
        <v>1</v>
      </c>
      <c r="K1922" s="18">
        <v>3812</v>
      </c>
      <c r="L1922" s="22"/>
      <c r="M1922" s="18"/>
    </row>
    <row r="1923" spans="1:13">
      <c r="A1923" s="18"/>
      <c r="B1923" s="24"/>
      <c r="C1923" s="18"/>
      <c r="D1923" s="18"/>
      <c r="E1923" s="20"/>
      <c r="F1923" s="20"/>
      <c r="G1923" s="18"/>
      <c r="H1923" s="18">
        <v>1</v>
      </c>
      <c r="I1923" s="21" t="s">
        <v>487</v>
      </c>
      <c r="J1923" s="18">
        <v>1</v>
      </c>
      <c r="K1923" s="18">
        <v>401</v>
      </c>
      <c r="L1923" s="22"/>
      <c r="M1923" s="18"/>
    </row>
    <row r="1924" spans="1:13">
      <c r="A1924" s="18">
        <v>3</v>
      </c>
      <c r="B1924" s="19">
        <v>0</v>
      </c>
      <c r="C1924" s="18"/>
      <c r="D1924" s="18">
        <v>1</v>
      </c>
      <c r="E1924" s="20">
        <v>11500</v>
      </c>
      <c r="F1924" s="20">
        <v>52</v>
      </c>
      <c r="G1924" s="18"/>
      <c r="H1924" s="18">
        <v>1</v>
      </c>
      <c r="I1924" s="21" t="s">
        <v>455</v>
      </c>
      <c r="J1924" s="18">
        <v>1</v>
      </c>
      <c r="K1924" s="18">
        <v>5950</v>
      </c>
      <c r="L1924" s="22"/>
      <c r="M1924" s="18"/>
    </row>
    <row r="1925" spans="1:13">
      <c r="A1925" s="18"/>
      <c r="B1925" s="18"/>
      <c r="C1925" s="18"/>
      <c r="D1925" s="18"/>
      <c r="E1925" s="20"/>
      <c r="F1925" s="20"/>
      <c r="G1925" s="18"/>
      <c r="H1925" s="18">
        <v>1</v>
      </c>
      <c r="I1925" s="21" t="s">
        <v>475</v>
      </c>
      <c r="J1925" s="18">
        <v>1</v>
      </c>
      <c r="K1925" s="18">
        <v>3588</v>
      </c>
      <c r="L1925" s="22"/>
      <c r="M1925" s="18"/>
    </row>
    <row r="1926" spans="1:13">
      <c r="A1926" s="18"/>
      <c r="B1926" s="18"/>
      <c r="C1926" s="18"/>
      <c r="D1926" s="18"/>
      <c r="E1926" s="20"/>
      <c r="F1926" s="20"/>
      <c r="G1926" s="18"/>
      <c r="H1926" s="18">
        <v>1</v>
      </c>
      <c r="I1926" s="21" t="s">
        <v>477</v>
      </c>
      <c r="J1926" s="18">
        <v>1</v>
      </c>
      <c r="K1926" s="18">
        <v>1832</v>
      </c>
      <c r="L1926" s="22"/>
      <c r="M1926" s="18"/>
    </row>
    <row r="1927" spans="1:13">
      <c r="A1927" s="18">
        <v>4</v>
      </c>
      <c r="B1927" s="18">
        <v>0</v>
      </c>
      <c r="C1927" s="18"/>
      <c r="D1927" s="18">
        <v>1</v>
      </c>
      <c r="E1927" s="20">
        <v>11500</v>
      </c>
      <c r="F1927" s="20">
        <v>14</v>
      </c>
      <c r="G1927" s="18"/>
      <c r="H1927" s="18">
        <v>1</v>
      </c>
      <c r="I1927" s="21" t="s">
        <v>482</v>
      </c>
      <c r="J1927" s="18">
        <v>1</v>
      </c>
      <c r="K1927" s="18">
        <v>5933</v>
      </c>
      <c r="L1927" s="22"/>
      <c r="M1927" s="18"/>
    </row>
    <row r="1928" spans="1:13">
      <c r="A1928" s="18"/>
      <c r="B1928" s="18"/>
      <c r="C1928" s="18"/>
      <c r="D1928" s="18"/>
      <c r="E1928" s="20"/>
      <c r="F1928" s="20"/>
      <c r="G1928" s="18"/>
      <c r="H1928" s="18">
        <v>1</v>
      </c>
      <c r="I1928" s="21" t="s">
        <v>462</v>
      </c>
      <c r="J1928" s="18">
        <v>1</v>
      </c>
      <c r="K1928" s="18">
        <v>3587</v>
      </c>
      <c r="L1928" s="22"/>
      <c r="M1928" s="18"/>
    </row>
    <row r="1929" spans="1:13">
      <c r="A1929" s="18"/>
      <c r="B1929" s="18"/>
      <c r="C1929" s="18"/>
      <c r="D1929" s="18"/>
      <c r="E1929" s="20"/>
      <c r="F1929" s="20"/>
      <c r="G1929" s="18"/>
      <c r="H1929" s="18">
        <v>1</v>
      </c>
      <c r="I1929" s="21" t="s">
        <v>458</v>
      </c>
      <c r="J1929" s="18">
        <v>1</v>
      </c>
      <c r="K1929" s="18">
        <v>1888</v>
      </c>
      <c r="L1929" s="22"/>
      <c r="M1929" s="18"/>
    </row>
    <row r="1930" spans="1:13">
      <c r="A1930" s="18">
        <v>5</v>
      </c>
      <c r="B1930" s="18">
        <v>0</v>
      </c>
      <c r="C1930" s="18"/>
      <c r="D1930" s="18">
        <v>1</v>
      </c>
      <c r="E1930" s="20">
        <v>11500</v>
      </c>
      <c r="F1930" s="20">
        <v>1</v>
      </c>
      <c r="G1930" s="18"/>
      <c r="H1930" s="18">
        <v>1</v>
      </c>
      <c r="I1930" s="21" t="s">
        <v>457</v>
      </c>
      <c r="J1930" s="18">
        <v>1</v>
      </c>
      <c r="K1930" s="18">
        <v>5640</v>
      </c>
      <c r="L1930" s="22"/>
      <c r="M1930" s="18"/>
    </row>
    <row r="1931" spans="1:13">
      <c r="A1931" s="18"/>
      <c r="B1931" s="18"/>
      <c r="C1931" s="18"/>
      <c r="D1931" s="18"/>
      <c r="E1931" s="20"/>
      <c r="F1931" s="20"/>
      <c r="G1931" s="18"/>
      <c r="H1931" s="18">
        <v>1</v>
      </c>
      <c r="I1931" s="21" t="s">
        <v>465</v>
      </c>
      <c r="J1931" s="18">
        <v>1</v>
      </c>
      <c r="K1931" s="18">
        <v>3519</v>
      </c>
      <c r="L1931" s="22"/>
      <c r="M1931" s="18"/>
    </row>
    <row r="1932" spans="1:13">
      <c r="A1932" s="18"/>
      <c r="B1932" s="18"/>
      <c r="C1932" s="18"/>
      <c r="D1932" s="18"/>
      <c r="E1932" s="20"/>
      <c r="F1932" s="20"/>
      <c r="G1932" s="18"/>
      <c r="H1932" s="18">
        <v>1</v>
      </c>
      <c r="I1932" s="21" t="s">
        <v>478</v>
      </c>
      <c r="J1932" s="18">
        <v>1</v>
      </c>
      <c r="K1932" s="18">
        <v>1959</v>
      </c>
      <c r="L1932" s="22"/>
      <c r="M1932" s="18"/>
    </row>
    <row r="1933" spans="1:13">
      <c r="A1933" s="5"/>
      <c r="B1933" s="5"/>
      <c r="C1933" s="5"/>
      <c r="D1933" s="5"/>
      <c r="E1933" s="6"/>
      <c r="F1933" s="6"/>
      <c r="G1933" s="5"/>
      <c r="H1933" s="5">
        <v>1</v>
      </c>
      <c r="I1933" s="7" t="s">
        <v>485</v>
      </c>
      <c r="J1933" s="5">
        <v>1</v>
      </c>
      <c r="K1933" s="5">
        <v>277</v>
      </c>
      <c r="L1933" s="8"/>
      <c r="M1933" s="5"/>
    </row>
    <row r="1934" spans="1:13">
      <c r="A1934" s="5">
        <v>6</v>
      </c>
      <c r="B1934" s="5">
        <v>0</v>
      </c>
      <c r="C1934" s="5"/>
      <c r="D1934" s="5">
        <v>1</v>
      </c>
      <c r="E1934" s="6">
        <v>11500</v>
      </c>
      <c r="F1934" s="6">
        <v>21</v>
      </c>
      <c r="G1934" s="5"/>
      <c r="H1934" s="5">
        <v>1</v>
      </c>
      <c r="I1934" s="7" t="s">
        <v>453</v>
      </c>
      <c r="J1934" s="5">
        <v>1</v>
      </c>
      <c r="K1934" s="5">
        <v>3345</v>
      </c>
      <c r="L1934" s="8"/>
      <c r="M1934" s="18"/>
    </row>
    <row r="1935" spans="1:13">
      <c r="A1935" s="5"/>
      <c r="B1935" s="5"/>
      <c r="C1935" s="5"/>
      <c r="D1935" s="5"/>
      <c r="E1935" s="6"/>
      <c r="F1935" s="6"/>
      <c r="G1935" s="5"/>
      <c r="H1935" s="5">
        <v>1</v>
      </c>
      <c r="I1935" s="7" t="s">
        <v>471</v>
      </c>
      <c r="J1935" s="5">
        <v>1</v>
      </c>
      <c r="K1935" s="5">
        <v>1644</v>
      </c>
      <c r="L1935" s="8"/>
      <c r="M1935" s="5"/>
    </row>
    <row r="1936" spans="1:13">
      <c r="A1936" s="5"/>
      <c r="B1936" s="5"/>
      <c r="C1936" s="5"/>
      <c r="D1936" s="5"/>
      <c r="E1936" s="6"/>
      <c r="F1936" s="6"/>
      <c r="G1936" s="5"/>
      <c r="H1936" s="5">
        <v>1</v>
      </c>
      <c r="I1936" s="7" t="s">
        <v>469</v>
      </c>
      <c r="J1936" s="5">
        <v>1</v>
      </c>
      <c r="K1936" s="5">
        <v>1644</v>
      </c>
      <c r="L1936" s="8"/>
      <c r="M1936" s="5"/>
    </row>
    <row r="1937" spans="1:13">
      <c r="A1937" s="5"/>
      <c r="B1937" s="5"/>
      <c r="C1937" s="5"/>
      <c r="D1937" s="5"/>
      <c r="E1937" s="6"/>
      <c r="F1937" s="6"/>
      <c r="G1937" s="5"/>
      <c r="H1937" s="5">
        <v>1</v>
      </c>
      <c r="I1937" s="7" t="s">
        <v>484</v>
      </c>
      <c r="J1937" s="5">
        <v>1</v>
      </c>
      <c r="K1937" s="5">
        <v>1465</v>
      </c>
      <c r="L1937" s="8"/>
      <c r="M1937" s="5"/>
    </row>
    <row r="1938" spans="1:13">
      <c r="A1938" s="5"/>
      <c r="B1938" s="5"/>
      <c r="C1938" s="5"/>
      <c r="D1938" s="5"/>
      <c r="E1938" s="6"/>
      <c r="F1938" s="6"/>
      <c r="G1938" s="5"/>
      <c r="H1938" s="5">
        <v>1</v>
      </c>
      <c r="I1938" s="7" t="s">
        <v>448</v>
      </c>
      <c r="J1938" s="5">
        <v>1</v>
      </c>
      <c r="K1938" s="5">
        <v>1315</v>
      </c>
      <c r="L1938" s="8"/>
      <c r="M1938" s="5"/>
    </row>
    <row r="1939" spans="1:13">
      <c r="A1939" s="5"/>
      <c r="B1939" s="5"/>
      <c r="C1939" s="5"/>
      <c r="D1939" s="5"/>
      <c r="E1939" s="6"/>
      <c r="F1939" s="6"/>
      <c r="G1939" s="5"/>
      <c r="H1939" s="5">
        <v>1</v>
      </c>
      <c r="I1939" s="7" t="s">
        <v>473</v>
      </c>
      <c r="J1939" s="5">
        <v>1</v>
      </c>
      <c r="K1939" s="5">
        <v>1169</v>
      </c>
      <c r="L1939" s="8"/>
      <c r="M1939" s="5"/>
    </row>
    <row r="1940" spans="1:13">
      <c r="A1940" s="5"/>
      <c r="B1940" s="5"/>
      <c r="C1940" s="5"/>
      <c r="D1940" s="5"/>
      <c r="E1940" s="6"/>
      <c r="F1940" s="6"/>
      <c r="G1940" s="5"/>
      <c r="H1940" s="5">
        <v>1</v>
      </c>
      <c r="I1940" s="7" t="s">
        <v>486</v>
      </c>
      <c r="J1940" s="5">
        <v>1</v>
      </c>
      <c r="K1940" s="5">
        <v>715</v>
      </c>
      <c r="L1940" s="8"/>
      <c r="M1940" s="5"/>
    </row>
    <row r="1941" spans="1:13">
      <c r="A1941" s="5">
        <v>7</v>
      </c>
      <c r="B1941" s="5">
        <v>0</v>
      </c>
      <c r="C1941" s="5"/>
      <c r="D1941" s="5">
        <v>1</v>
      </c>
      <c r="E1941" s="6">
        <v>11500</v>
      </c>
      <c r="F1941" s="6"/>
      <c r="G1941" s="5"/>
      <c r="H1941" s="5">
        <v>1</v>
      </c>
      <c r="I1941" s="7" t="s">
        <v>450</v>
      </c>
      <c r="J1941" s="5">
        <v>1</v>
      </c>
      <c r="K1941" s="5">
        <v>11498</v>
      </c>
      <c r="L1941" s="8"/>
      <c r="M1941" s="5"/>
    </row>
    <row r="1942" spans="1:13">
      <c r="A1942" s="5">
        <v>8</v>
      </c>
      <c r="B1942" s="5">
        <v>0</v>
      </c>
      <c r="C1942" s="5"/>
      <c r="D1942" s="5">
        <v>1</v>
      </c>
      <c r="E1942" s="6">
        <v>11500</v>
      </c>
      <c r="F1942" s="6"/>
      <c r="G1942" s="5"/>
      <c r="H1942" s="5">
        <v>1</v>
      </c>
      <c r="I1942" s="7" t="s">
        <v>460</v>
      </c>
      <c r="J1942" s="5">
        <v>1</v>
      </c>
      <c r="K1942" s="5">
        <v>11498</v>
      </c>
      <c r="L1942" s="8"/>
      <c r="M1942" s="5"/>
    </row>
    <row r="1943" spans="1:13">
      <c r="A1943" s="5">
        <v>9</v>
      </c>
      <c r="B1943" s="5">
        <v>0</v>
      </c>
      <c r="C1943" s="5"/>
      <c r="D1943" s="5">
        <v>1</v>
      </c>
      <c r="E1943" s="6">
        <v>11500</v>
      </c>
      <c r="F1943" s="6"/>
      <c r="G1943" s="5"/>
      <c r="H1943" s="5">
        <v>1</v>
      </c>
      <c r="I1943" s="7" t="s">
        <v>454</v>
      </c>
      <c r="J1943" s="5">
        <v>1</v>
      </c>
      <c r="K1943" s="5">
        <v>11498</v>
      </c>
      <c r="L1943" s="8"/>
      <c r="M1943" s="5"/>
    </row>
    <row r="1944" spans="1:13">
      <c r="A1944" s="5">
        <v>10</v>
      </c>
      <c r="B1944" s="5">
        <v>0</v>
      </c>
      <c r="C1944" s="5"/>
      <c r="D1944" s="5">
        <v>1</v>
      </c>
      <c r="E1944" s="6">
        <v>11500</v>
      </c>
      <c r="F1944" s="6"/>
      <c r="G1944" s="5"/>
      <c r="H1944" s="5">
        <v>1</v>
      </c>
      <c r="I1944" s="7" t="s">
        <v>463</v>
      </c>
      <c r="J1944" s="5">
        <v>1</v>
      </c>
      <c r="K1944" s="5">
        <v>11498</v>
      </c>
      <c r="L1944" s="8"/>
      <c r="M1944" s="5"/>
    </row>
    <row r="1945" spans="1:13">
      <c r="A1945" s="5">
        <v>11</v>
      </c>
      <c r="B1945" s="5">
        <v>0</v>
      </c>
      <c r="C1945" s="5"/>
      <c r="D1945" s="5">
        <v>1</v>
      </c>
      <c r="E1945" s="6">
        <v>11500</v>
      </c>
      <c r="F1945" s="6"/>
      <c r="G1945" s="5"/>
      <c r="H1945" s="5">
        <v>1</v>
      </c>
      <c r="I1945" s="7" t="s">
        <v>466</v>
      </c>
      <c r="J1945" s="5">
        <v>1</v>
      </c>
      <c r="K1945" s="5">
        <v>11498</v>
      </c>
      <c r="L1945" s="8"/>
      <c r="M1945" s="5"/>
    </row>
    <row r="1946" spans="1:13">
      <c r="A1946" s="5">
        <v>12</v>
      </c>
      <c r="B1946" s="5">
        <v>0</v>
      </c>
      <c r="C1946" s="5"/>
      <c r="D1946" s="5">
        <v>1</v>
      </c>
      <c r="E1946" s="6">
        <v>11500</v>
      </c>
      <c r="F1946" s="6"/>
      <c r="G1946" s="5"/>
      <c r="H1946" s="5">
        <v>1</v>
      </c>
      <c r="I1946" s="7" t="s">
        <v>464</v>
      </c>
      <c r="J1946" s="5">
        <v>1</v>
      </c>
      <c r="K1946" s="5">
        <v>11498</v>
      </c>
      <c r="L1946" s="8"/>
      <c r="M1946" s="5"/>
    </row>
    <row r="1947" spans="1:13">
      <c r="A1947" s="5">
        <v>13</v>
      </c>
      <c r="B1947" s="5">
        <v>0</v>
      </c>
      <c r="C1947" s="5"/>
      <c r="D1947" s="5">
        <v>1</v>
      </c>
      <c r="E1947" s="6">
        <v>11500</v>
      </c>
      <c r="F1947" s="6"/>
      <c r="G1947" s="5"/>
      <c r="H1947" s="5">
        <v>1</v>
      </c>
      <c r="I1947" s="7" t="s">
        <v>468</v>
      </c>
      <c r="J1947" s="5">
        <v>1</v>
      </c>
      <c r="K1947" s="5">
        <v>11498</v>
      </c>
      <c r="L1947" s="8"/>
      <c r="M1947" s="5"/>
    </row>
    <row r="1948" spans="1:13">
      <c r="A1948" s="5">
        <v>14</v>
      </c>
      <c r="B1948" s="5">
        <v>0</v>
      </c>
      <c r="C1948" s="5"/>
      <c r="D1948" s="5">
        <v>1</v>
      </c>
      <c r="E1948" s="6">
        <v>11500</v>
      </c>
      <c r="F1948" s="6"/>
      <c r="G1948" s="5"/>
      <c r="H1948" s="5">
        <v>1</v>
      </c>
      <c r="I1948" s="7" t="s">
        <v>449</v>
      </c>
      <c r="J1948" s="5">
        <v>1</v>
      </c>
      <c r="K1948" s="5">
        <v>11498</v>
      </c>
      <c r="L1948" s="8"/>
      <c r="M1948" s="5"/>
    </row>
    <row r="1949" spans="1:13">
      <c r="A1949" s="5">
        <v>15</v>
      </c>
      <c r="B1949" s="5">
        <v>0</v>
      </c>
      <c r="C1949" s="5"/>
      <c r="D1949" s="5">
        <v>1</v>
      </c>
      <c r="E1949" s="6">
        <v>11500</v>
      </c>
      <c r="F1949" s="6"/>
      <c r="G1949" s="5"/>
      <c r="H1949" s="5">
        <v>1</v>
      </c>
      <c r="I1949" s="7" t="s">
        <v>459</v>
      </c>
      <c r="J1949" s="5">
        <v>1</v>
      </c>
      <c r="K1949" s="5">
        <v>11498</v>
      </c>
      <c r="L1949" s="8"/>
      <c r="M1949" s="5"/>
    </row>
    <row r="1950" spans="1:13">
      <c r="A1950" s="5">
        <v>16</v>
      </c>
      <c r="B1950" s="5">
        <v>0</v>
      </c>
      <c r="C1950" s="5"/>
      <c r="D1950" s="5">
        <v>1</v>
      </c>
      <c r="E1950" s="6">
        <v>11500</v>
      </c>
      <c r="F1950" s="6"/>
      <c r="G1950" s="5"/>
      <c r="H1950" s="5">
        <v>1</v>
      </c>
      <c r="I1950" s="7" t="s">
        <v>467</v>
      </c>
      <c r="J1950" s="5">
        <v>1</v>
      </c>
      <c r="K1950" s="5">
        <v>11498</v>
      </c>
      <c r="L1950" s="8"/>
      <c r="M1950" s="5"/>
    </row>
    <row r="1951" spans="1:13">
      <c r="A1951" s="5">
        <v>17</v>
      </c>
      <c r="B1951" s="5">
        <v>0</v>
      </c>
      <c r="C1951" s="5"/>
      <c r="D1951" s="5">
        <v>1</v>
      </c>
      <c r="E1951" s="6">
        <v>11500</v>
      </c>
      <c r="F1951" s="6">
        <v>5848</v>
      </c>
      <c r="G1951" s="5"/>
      <c r="H1951" s="5">
        <v>1</v>
      </c>
      <c r="I1951" s="7" t="s">
        <v>474</v>
      </c>
      <c r="J1951" s="5">
        <v>1</v>
      </c>
      <c r="K1951" s="5">
        <v>1042</v>
      </c>
      <c r="L1951" s="8"/>
      <c r="M1951" s="5"/>
    </row>
    <row r="1952" spans="1:13">
      <c r="A1952" s="5"/>
      <c r="B1952" s="5"/>
      <c r="C1952" s="5"/>
      <c r="D1952" s="5"/>
      <c r="E1952" s="6"/>
      <c r="F1952" s="6"/>
      <c r="G1952" s="5"/>
      <c r="H1952" s="5">
        <v>1</v>
      </c>
      <c r="I1952" s="7" t="s">
        <v>448</v>
      </c>
      <c r="J1952" s="5">
        <v>1</v>
      </c>
      <c r="K1952" s="5">
        <v>765</v>
      </c>
      <c r="L1952" s="8"/>
      <c r="M1952" s="5"/>
    </row>
    <row r="1953" spans="1:13">
      <c r="A1953" s="5"/>
      <c r="B1953" s="5"/>
      <c r="C1953" s="5"/>
      <c r="D1953" s="5"/>
      <c r="E1953" s="6"/>
      <c r="F1953" s="6"/>
      <c r="G1953" s="5"/>
      <c r="H1953" s="5">
        <v>1</v>
      </c>
      <c r="I1953" s="7" t="s">
        <v>480</v>
      </c>
      <c r="J1953" s="5">
        <v>1</v>
      </c>
      <c r="K1953" s="5">
        <v>738</v>
      </c>
      <c r="L1953" s="8"/>
      <c r="M1953" s="5"/>
    </row>
    <row r="1954" spans="1:13">
      <c r="A1954" s="5"/>
      <c r="B1954" s="5"/>
      <c r="C1954" s="5"/>
      <c r="D1954" s="5"/>
      <c r="E1954" s="6"/>
      <c r="F1954" s="6"/>
      <c r="G1954" s="5"/>
      <c r="H1954" s="5">
        <v>1</v>
      </c>
      <c r="I1954" s="7" t="s">
        <v>452</v>
      </c>
      <c r="J1954" s="5">
        <v>1</v>
      </c>
      <c r="K1954" s="5">
        <v>488</v>
      </c>
      <c r="L1954" s="8"/>
      <c r="M1954" s="5"/>
    </row>
    <row r="1955" spans="1:13">
      <c r="A1955" s="5"/>
      <c r="B1955" s="5"/>
      <c r="C1955" s="5"/>
      <c r="D1955" s="5"/>
      <c r="E1955" s="6"/>
      <c r="F1955" s="6"/>
      <c r="G1955" s="5"/>
      <c r="H1955" s="5">
        <v>1</v>
      </c>
      <c r="I1955" s="7" t="s">
        <v>481</v>
      </c>
      <c r="J1955" s="5">
        <v>1</v>
      </c>
      <c r="K1955" s="5">
        <v>388</v>
      </c>
      <c r="L1955" s="8"/>
      <c r="M1955" s="5"/>
    </row>
    <row r="1956" spans="1:13">
      <c r="A1956" s="5"/>
      <c r="B1956" s="5"/>
      <c r="C1956" s="5"/>
      <c r="D1956" s="5"/>
      <c r="E1956" s="6"/>
      <c r="F1956" s="6"/>
      <c r="G1956" s="5"/>
      <c r="H1956" s="5">
        <v>1</v>
      </c>
      <c r="I1956" s="7" t="s">
        <v>483</v>
      </c>
      <c r="J1956" s="5">
        <v>1</v>
      </c>
      <c r="K1956" s="5">
        <v>388</v>
      </c>
      <c r="L1956" s="8"/>
      <c r="M1956" s="5"/>
    </row>
    <row r="1957" spans="1:13">
      <c r="A1957" s="5"/>
      <c r="B1957" s="5"/>
      <c r="C1957" s="5"/>
      <c r="D1957" s="5"/>
      <c r="E1957" s="6"/>
      <c r="F1957" s="6"/>
      <c r="G1957" s="5"/>
      <c r="H1957" s="5">
        <v>1</v>
      </c>
      <c r="I1957" s="7" t="s">
        <v>472</v>
      </c>
      <c r="J1957" s="5">
        <v>1</v>
      </c>
      <c r="K1957" s="5">
        <v>380</v>
      </c>
      <c r="L1957" s="8"/>
      <c r="M1957" s="5"/>
    </row>
    <row r="1958" spans="1:13">
      <c r="A1958" s="5"/>
      <c r="B1958" s="5"/>
      <c r="C1958" s="5"/>
      <c r="D1958" s="5"/>
      <c r="E1958" s="6"/>
      <c r="F1958" s="6"/>
      <c r="G1958" s="5"/>
      <c r="H1958" s="5">
        <v>1</v>
      </c>
      <c r="I1958" s="7" t="s">
        <v>470</v>
      </c>
      <c r="J1958" s="5">
        <v>1</v>
      </c>
      <c r="K1958" s="5">
        <v>380</v>
      </c>
      <c r="L1958" s="8"/>
      <c r="M1958" s="5"/>
    </row>
    <row r="1959" spans="1:13">
      <c r="A1959" s="5"/>
      <c r="B1959" s="5"/>
      <c r="C1959" s="5"/>
      <c r="D1959" s="5"/>
      <c r="E1959" s="6"/>
      <c r="F1959" s="6"/>
      <c r="G1959" s="5"/>
      <c r="H1959" s="5">
        <v>1</v>
      </c>
      <c r="I1959" s="7" t="s">
        <v>488</v>
      </c>
      <c r="J1959" s="5">
        <v>1</v>
      </c>
      <c r="K1959" s="5">
        <v>315</v>
      </c>
      <c r="L1959" s="8"/>
      <c r="M1959" s="5"/>
    </row>
    <row r="1960" spans="1:13">
      <c r="A1960" s="5"/>
      <c r="B1960" s="5"/>
      <c r="C1960" s="5"/>
      <c r="D1960" s="5"/>
      <c r="E1960" s="6"/>
      <c r="F1960" s="6"/>
      <c r="G1960" s="5"/>
      <c r="H1960" s="5">
        <v>1</v>
      </c>
      <c r="I1960" s="7" t="s">
        <v>451</v>
      </c>
      <c r="J1960" s="5">
        <v>1</v>
      </c>
      <c r="K1960" s="5">
        <v>284</v>
      </c>
      <c r="L1960" s="8"/>
      <c r="M1960" s="5"/>
    </row>
    <row r="1961" spans="1:13">
      <c r="A1961" s="5"/>
      <c r="B1961" s="5"/>
      <c r="C1961" s="5"/>
      <c r="D1961" s="5"/>
      <c r="E1961" s="6"/>
      <c r="F1961" s="6"/>
      <c r="G1961" s="5"/>
      <c r="H1961" s="5">
        <v>1</v>
      </c>
      <c r="I1961" s="7" t="s">
        <v>476</v>
      </c>
      <c r="J1961" s="5">
        <v>1</v>
      </c>
      <c r="K1961" s="5">
        <v>198</v>
      </c>
      <c r="L1961" s="8"/>
      <c r="M1961" s="5"/>
    </row>
    <row r="1962" spans="1:13">
      <c r="A1962" s="5"/>
      <c r="B1962" s="5"/>
      <c r="C1962" s="5"/>
      <c r="D1962" s="5"/>
      <c r="E1962" s="6"/>
      <c r="F1962" s="6"/>
      <c r="G1962" s="5"/>
      <c r="H1962" s="5"/>
      <c r="I1962" s="7"/>
      <c r="J1962" s="5"/>
      <c r="K1962" s="5"/>
      <c r="L1962" s="8"/>
      <c r="M1962" s="5"/>
    </row>
    <row r="1963" spans="1:13">
      <c r="A1963" s="117" t="s">
        <v>4</v>
      </c>
      <c r="B1963" s="117"/>
      <c r="C1963" s="117"/>
      <c r="D1963" s="117"/>
      <c r="E1963" s="117"/>
      <c r="F1963" s="117"/>
      <c r="G1963" s="117"/>
      <c r="H1963" s="117"/>
      <c r="I1963" s="118" t="s">
        <v>8</v>
      </c>
      <c r="J1963" s="118"/>
      <c r="K1963" s="89" t="s">
        <v>70</v>
      </c>
      <c r="L1963" s="119"/>
      <c r="M1963" s="120"/>
    </row>
    <row r="1964" spans="1:13">
      <c r="A1964" s="117"/>
      <c r="B1964" s="117"/>
      <c r="C1964" s="117"/>
      <c r="D1964" s="117"/>
      <c r="E1964" s="117"/>
      <c r="F1964" s="117"/>
      <c r="G1964" s="117"/>
      <c r="H1964" s="117"/>
      <c r="I1964" s="118" t="s">
        <v>25</v>
      </c>
      <c r="J1964" s="118"/>
      <c r="K1964" s="121" t="s">
        <v>291</v>
      </c>
      <c r="L1964" s="118"/>
      <c r="M1964" s="118"/>
    </row>
    <row r="1965" spans="1:13">
      <c r="A1965" s="117"/>
      <c r="B1965" s="117"/>
      <c r="C1965" s="117"/>
      <c r="D1965" s="117"/>
      <c r="E1965" s="117"/>
      <c r="F1965" s="117"/>
      <c r="G1965" s="117"/>
      <c r="H1965" s="117"/>
      <c r="I1965" s="87" t="s">
        <v>26</v>
      </c>
      <c r="J1965" s="88"/>
      <c r="K1965" s="95" t="s">
        <v>43</v>
      </c>
      <c r="L1965" s="104"/>
      <c r="M1965" s="88"/>
    </row>
    <row r="1966" spans="1:13">
      <c r="A1966" s="118" t="s">
        <v>31</v>
      </c>
      <c r="B1966" s="118"/>
      <c r="C1966" s="118" t="s">
        <v>32</v>
      </c>
      <c r="D1966" s="118"/>
      <c r="E1966" s="118"/>
      <c r="F1966" s="118"/>
      <c r="G1966" s="118"/>
      <c r="H1966" s="118"/>
      <c r="I1966" s="40" t="s">
        <v>29</v>
      </c>
      <c r="J1966" s="41"/>
      <c r="K1966" s="118" t="s">
        <v>340</v>
      </c>
      <c r="L1966" s="118"/>
      <c r="M1966" s="118"/>
    </row>
    <row r="1967" spans="1:13">
      <c r="A1967" s="118"/>
      <c r="B1967" s="118"/>
      <c r="C1967" s="118"/>
      <c r="D1967" s="118"/>
      <c r="E1967" s="118"/>
      <c r="F1967" s="118"/>
      <c r="G1967" s="118"/>
      <c r="H1967" s="118"/>
      <c r="I1967" s="118" t="s">
        <v>30</v>
      </c>
      <c r="J1967" s="118"/>
      <c r="K1967" s="118" t="s">
        <v>447</v>
      </c>
      <c r="L1967" s="118"/>
      <c r="M1967" s="118"/>
    </row>
    <row r="1968" spans="1:13">
      <c r="A1968" s="122" t="s">
        <v>24</v>
      </c>
      <c r="B1968" s="122"/>
      <c r="C1968" s="122"/>
      <c r="D1968" s="42">
        <v>6</v>
      </c>
      <c r="E1968" s="117" t="s">
        <v>40</v>
      </c>
      <c r="F1968" s="117"/>
      <c r="G1968" s="117"/>
      <c r="H1968" s="42">
        <v>22</v>
      </c>
      <c r="I1968" s="118" t="s">
        <v>27</v>
      </c>
      <c r="J1968" s="118"/>
      <c r="K1968" s="118" t="s">
        <v>21</v>
      </c>
      <c r="L1968" s="118"/>
      <c r="M1968" s="118"/>
    </row>
    <row r="1969" spans="1:13" ht="45">
      <c r="A1969" s="3" t="s">
        <v>9</v>
      </c>
      <c r="B1969" s="3" t="s">
        <v>10</v>
      </c>
      <c r="C1969" s="3" t="s">
        <v>11</v>
      </c>
      <c r="D1969" s="3" t="s">
        <v>3</v>
      </c>
      <c r="E1969" s="4" t="s">
        <v>41</v>
      </c>
      <c r="F1969" s="4" t="s">
        <v>12</v>
      </c>
      <c r="G1969" s="3" t="s">
        <v>13</v>
      </c>
      <c r="H1969" s="3" t="s">
        <v>14</v>
      </c>
      <c r="I1969" s="3" t="s">
        <v>15</v>
      </c>
      <c r="J1969" s="3" t="s">
        <v>16</v>
      </c>
      <c r="K1969" s="3" t="s">
        <v>17</v>
      </c>
      <c r="L1969" s="3" t="s">
        <v>18</v>
      </c>
      <c r="M1969" s="3" t="s">
        <v>19</v>
      </c>
    </row>
    <row r="1970" spans="1:13">
      <c r="A1970" s="18">
        <v>1</v>
      </c>
      <c r="B1970" s="19">
        <v>0</v>
      </c>
      <c r="C1970" s="18"/>
      <c r="D1970" s="18">
        <v>1</v>
      </c>
      <c r="E1970" s="20">
        <v>11500</v>
      </c>
      <c r="F1970" s="20">
        <v>20</v>
      </c>
      <c r="G1970" s="18"/>
      <c r="H1970" s="18">
        <v>1</v>
      </c>
      <c r="I1970" s="21" t="s">
        <v>425</v>
      </c>
      <c r="J1970" s="18">
        <v>1</v>
      </c>
      <c r="K1970" s="18">
        <v>2941</v>
      </c>
      <c r="L1970" s="22"/>
      <c r="M1970" s="18"/>
    </row>
    <row r="1971" spans="1:13">
      <c r="A1971" s="18"/>
      <c r="B1971" s="18"/>
      <c r="C1971" s="18"/>
      <c r="D1971" s="18"/>
      <c r="E1971" s="20"/>
      <c r="F1971" s="20"/>
      <c r="G1971" s="18"/>
      <c r="H1971" s="18">
        <v>1</v>
      </c>
      <c r="I1971" s="21" t="s">
        <v>429</v>
      </c>
      <c r="J1971" s="18">
        <v>1</v>
      </c>
      <c r="K1971" s="18">
        <v>2045</v>
      </c>
      <c r="L1971" s="22"/>
      <c r="M1971" s="18"/>
    </row>
    <row r="1972" spans="1:13">
      <c r="A1972" s="18"/>
      <c r="B1972" s="18"/>
      <c r="C1972" s="18"/>
      <c r="D1972" s="18"/>
      <c r="E1972" s="20"/>
      <c r="F1972" s="20"/>
      <c r="G1972" s="18"/>
      <c r="H1972" s="18">
        <v>1</v>
      </c>
      <c r="I1972" s="21" t="s">
        <v>430</v>
      </c>
      <c r="J1972" s="18">
        <v>1</v>
      </c>
      <c r="K1972" s="18">
        <v>1960</v>
      </c>
      <c r="L1972" s="22"/>
      <c r="M1972" s="18"/>
    </row>
    <row r="1973" spans="1:13">
      <c r="A1973" s="18"/>
      <c r="B1973" s="24"/>
      <c r="C1973" s="18"/>
      <c r="D1973" s="18"/>
      <c r="E1973" s="20"/>
      <c r="F1973" s="20"/>
      <c r="G1973" s="18"/>
      <c r="H1973" s="18">
        <v>1</v>
      </c>
      <c r="I1973" s="21" t="s">
        <v>427</v>
      </c>
      <c r="J1973" s="18">
        <v>1</v>
      </c>
      <c r="K1973" s="18">
        <v>1389</v>
      </c>
      <c r="L1973" s="22"/>
      <c r="M1973" s="18"/>
    </row>
    <row r="1974" spans="1:13">
      <c r="A1974" s="18"/>
      <c r="B1974" s="18"/>
      <c r="C1974" s="18"/>
      <c r="D1974" s="18"/>
      <c r="E1974" s="20"/>
      <c r="F1974" s="20"/>
      <c r="G1974" s="18"/>
      <c r="H1974" s="18">
        <v>1</v>
      </c>
      <c r="I1974" s="21" t="s">
        <v>428</v>
      </c>
      <c r="J1974" s="18">
        <v>1</v>
      </c>
      <c r="K1974" s="18">
        <v>1304</v>
      </c>
      <c r="L1974" s="22"/>
      <c r="M1974" s="18"/>
    </row>
    <row r="1975" spans="1:13">
      <c r="A1975" s="18"/>
      <c r="B1975" s="24"/>
      <c r="C1975" s="18"/>
      <c r="D1975" s="18"/>
      <c r="E1975" s="20"/>
      <c r="F1975" s="20"/>
      <c r="G1975" s="18"/>
      <c r="H1975" s="18">
        <v>1</v>
      </c>
      <c r="I1975" s="21" t="s">
        <v>446</v>
      </c>
      <c r="J1975" s="18">
        <v>1</v>
      </c>
      <c r="K1975" s="18">
        <v>614</v>
      </c>
      <c r="L1975" s="22"/>
      <c r="M1975" s="18"/>
    </row>
    <row r="1976" spans="1:13">
      <c r="A1976" s="18"/>
      <c r="B1976" s="19"/>
      <c r="C1976" s="18"/>
      <c r="D1976" s="18"/>
      <c r="E1976" s="20"/>
      <c r="F1976" s="20"/>
      <c r="G1976" s="18"/>
      <c r="H1976" s="18">
        <v>1</v>
      </c>
      <c r="I1976" s="21" t="s">
        <v>433</v>
      </c>
      <c r="J1976" s="18">
        <v>1</v>
      </c>
      <c r="K1976" s="18">
        <v>386</v>
      </c>
      <c r="L1976" s="22"/>
      <c r="M1976" s="18"/>
    </row>
    <row r="1977" spans="1:13">
      <c r="A1977" s="18"/>
      <c r="B1977" s="18"/>
      <c r="C1977" s="18"/>
      <c r="D1977" s="18"/>
      <c r="E1977" s="20"/>
      <c r="F1977" s="20"/>
      <c r="G1977" s="18"/>
      <c r="H1977" s="18">
        <v>1</v>
      </c>
      <c r="I1977" s="21" t="s">
        <v>432</v>
      </c>
      <c r="J1977" s="18">
        <v>1</v>
      </c>
      <c r="K1977" s="18">
        <v>376</v>
      </c>
      <c r="L1977" s="22"/>
      <c r="M1977" s="18"/>
    </row>
    <row r="1978" spans="1:13">
      <c r="A1978" s="18"/>
      <c r="B1978" s="18"/>
      <c r="C1978" s="18"/>
      <c r="D1978" s="18"/>
      <c r="E1978" s="20"/>
      <c r="F1978" s="20"/>
      <c r="G1978" s="18"/>
      <c r="H1978" s="18">
        <v>1</v>
      </c>
      <c r="I1978" s="21" t="s">
        <v>437</v>
      </c>
      <c r="J1978" s="18">
        <v>1</v>
      </c>
      <c r="K1978" s="18">
        <v>231</v>
      </c>
      <c r="L1978" s="22"/>
      <c r="M1978" s="18"/>
    </row>
    <row r="1979" spans="1:13">
      <c r="A1979" s="18">
        <v>2</v>
      </c>
      <c r="B1979" s="18">
        <v>0</v>
      </c>
      <c r="C1979" s="18"/>
      <c r="D1979" s="18">
        <v>1</v>
      </c>
      <c r="E1979" s="20">
        <v>11500</v>
      </c>
      <c r="F1979" s="20">
        <v>11028</v>
      </c>
      <c r="G1979" s="18"/>
      <c r="H1979" s="18">
        <v>1</v>
      </c>
      <c r="I1979" s="21" t="s">
        <v>431</v>
      </c>
      <c r="J1979" s="18">
        <v>1</v>
      </c>
      <c r="K1979" s="18">
        <v>222</v>
      </c>
      <c r="L1979" s="22"/>
      <c r="M1979" s="18"/>
    </row>
    <row r="1980" spans="1:13">
      <c r="A1980" s="18"/>
      <c r="B1980" s="18"/>
      <c r="C1980" s="18"/>
      <c r="D1980" s="18"/>
      <c r="E1980" s="20"/>
      <c r="F1980" s="20"/>
      <c r="G1980" s="18"/>
      <c r="H1980" s="18">
        <v>1</v>
      </c>
      <c r="I1980" s="21" t="s">
        <v>426</v>
      </c>
      <c r="J1980" s="18">
        <v>1</v>
      </c>
      <c r="K1980" s="18">
        <v>198</v>
      </c>
      <c r="L1980" s="22"/>
      <c r="M1980" s="18"/>
    </row>
    <row r="1981" spans="1:13">
      <c r="A1981" s="18">
        <v>3</v>
      </c>
      <c r="B1981" s="18">
        <v>0</v>
      </c>
      <c r="C1981" s="18"/>
      <c r="D1981" s="18">
        <v>1</v>
      </c>
      <c r="E1981" s="20">
        <v>11500</v>
      </c>
      <c r="F1981" s="20">
        <v>50</v>
      </c>
      <c r="G1981" s="18"/>
      <c r="H1981" s="18">
        <v>1</v>
      </c>
      <c r="I1981" s="21" t="s">
        <v>439</v>
      </c>
      <c r="J1981" s="18">
        <v>1</v>
      </c>
      <c r="K1981" s="18">
        <v>1959</v>
      </c>
      <c r="L1981" s="22"/>
      <c r="M1981" s="18"/>
    </row>
    <row r="1982" spans="1:13">
      <c r="A1982" s="18"/>
      <c r="B1982" s="18"/>
      <c r="C1982" s="18"/>
      <c r="D1982" s="18"/>
      <c r="E1982" s="20"/>
      <c r="F1982" s="20"/>
      <c r="G1982" s="18"/>
      <c r="H1982" s="18">
        <v>1</v>
      </c>
      <c r="I1982" s="21" t="s">
        <v>438</v>
      </c>
      <c r="J1982" s="18">
        <v>1</v>
      </c>
      <c r="K1982" s="18">
        <v>1873</v>
      </c>
      <c r="L1982" s="22"/>
      <c r="M1982" s="18"/>
    </row>
    <row r="1983" spans="1:13">
      <c r="A1983" s="18"/>
      <c r="B1983" s="18"/>
      <c r="C1983" s="18"/>
      <c r="D1983" s="18"/>
      <c r="E1983" s="20"/>
      <c r="F1983" s="20"/>
      <c r="G1983" s="18"/>
      <c r="H1983" s="18">
        <v>1</v>
      </c>
      <c r="I1983" s="21" t="s">
        <v>442</v>
      </c>
      <c r="J1983" s="18">
        <v>1</v>
      </c>
      <c r="K1983" s="18">
        <v>1692</v>
      </c>
      <c r="L1983" s="22"/>
      <c r="M1983" s="18"/>
    </row>
    <row r="1984" spans="1:13">
      <c r="A1984" s="18"/>
      <c r="B1984" s="18"/>
      <c r="C1984" s="18"/>
      <c r="D1984" s="18"/>
      <c r="E1984" s="20"/>
      <c r="F1984" s="20"/>
      <c r="G1984" s="18"/>
      <c r="H1984" s="18">
        <v>1</v>
      </c>
      <c r="I1984" s="21" t="s">
        <v>443</v>
      </c>
      <c r="J1984" s="18">
        <v>1</v>
      </c>
      <c r="K1984" s="18">
        <v>1692</v>
      </c>
      <c r="L1984" s="22"/>
      <c r="M1984" s="18"/>
    </row>
    <row r="1985" spans="1:13">
      <c r="A1985" s="5"/>
      <c r="B1985" s="5"/>
      <c r="C1985" s="5"/>
      <c r="D1985" s="5"/>
      <c r="E1985" s="6"/>
      <c r="F1985" s="6"/>
      <c r="G1985" s="5"/>
      <c r="H1985" s="5">
        <v>1</v>
      </c>
      <c r="I1985" s="7" t="s">
        <v>434</v>
      </c>
      <c r="J1985" s="5">
        <v>1</v>
      </c>
      <c r="K1985" s="5">
        <v>1541</v>
      </c>
      <c r="L1985" s="8"/>
      <c r="M1985" s="5"/>
    </row>
    <row r="1986" spans="1:13">
      <c r="A1986" s="5"/>
      <c r="B1986" s="5"/>
      <c r="C1986" s="5"/>
      <c r="D1986" s="5"/>
      <c r="E1986" s="6"/>
      <c r="F1986" s="6"/>
      <c r="G1986" s="5"/>
      <c r="H1986" s="5">
        <v>1</v>
      </c>
      <c r="I1986" s="7" t="s">
        <v>444</v>
      </c>
      <c r="J1986" s="5">
        <v>1</v>
      </c>
      <c r="K1986" s="5">
        <v>1513</v>
      </c>
      <c r="L1986" s="8"/>
      <c r="M1986" s="18"/>
    </row>
    <row r="1987" spans="1:13">
      <c r="A1987" s="5"/>
      <c r="B1987" s="5"/>
      <c r="C1987" s="5"/>
      <c r="D1987" s="5"/>
      <c r="E1987" s="6"/>
      <c r="F1987" s="6"/>
      <c r="G1987" s="5"/>
      <c r="H1987" s="5">
        <v>1</v>
      </c>
      <c r="I1987" s="7" t="s">
        <v>435</v>
      </c>
      <c r="J1987" s="5">
        <v>1</v>
      </c>
      <c r="K1987" s="5">
        <v>998</v>
      </c>
      <c r="L1987" s="8"/>
      <c r="M1987" s="5"/>
    </row>
    <row r="1988" spans="1:13">
      <c r="A1988" s="5">
        <v>4</v>
      </c>
      <c r="B1988" s="5">
        <v>0</v>
      </c>
      <c r="C1988" s="5"/>
      <c r="D1988" s="5">
        <v>1</v>
      </c>
      <c r="E1988" s="6">
        <v>11500</v>
      </c>
      <c r="F1988" s="6">
        <v>-24</v>
      </c>
      <c r="G1988" s="5"/>
      <c r="H1988" s="5">
        <v>1</v>
      </c>
      <c r="I1988" s="7" t="s">
        <v>441</v>
      </c>
      <c r="J1988" s="5">
        <v>1</v>
      </c>
      <c r="K1988" s="5">
        <v>11498</v>
      </c>
      <c r="L1988" s="8"/>
      <c r="M1988" s="5"/>
    </row>
    <row r="1989" spans="1:13">
      <c r="A1989" s="5">
        <v>5</v>
      </c>
      <c r="B1989" s="5">
        <v>0</v>
      </c>
      <c r="C1989" s="5"/>
      <c r="D1989" s="5">
        <v>1</v>
      </c>
      <c r="E1989" s="6">
        <v>11500</v>
      </c>
      <c r="F1989" s="6">
        <v>27</v>
      </c>
      <c r="G1989" s="5"/>
      <c r="H1989" s="5">
        <v>1</v>
      </c>
      <c r="I1989" s="7" t="s">
        <v>445</v>
      </c>
      <c r="J1989" s="5">
        <v>1</v>
      </c>
      <c r="K1989" s="5">
        <v>11447</v>
      </c>
      <c r="L1989" s="8"/>
      <c r="M1989" s="5"/>
    </row>
    <row r="1990" spans="1:13">
      <c r="A1990" s="5">
        <v>6</v>
      </c>
      <c r="B1990" s="5">
        <v>0</v>
      </c>
      <c r="C1990" s="5"/>
      <c r="D1990" s="5">
        <v>1</v>
      </c>
      <c r="E1990" s="6">
        <v>11500</v>
      </c>
      <c r="F1990" s="6">
        <v>6</v>
      </c>
      <c r="G1990" s="5"/>
      <c r="H1990" s="5">
        <v>1</v>
      </c>
      <c r="I1990" s="7" t="s">
        <v>436</v>
      </c>
      <c r="J1990" s="5">
        <v>1</v>
      </c>
      <c r="K1990" s="5">
        <v>10319</v>
      </c>
      <c r="L1990" s="8"/>
      <c r="M1990" s="5"/>
    </row>
    <row r="1991" spans="1:13">
      <c r="A1991" s="5"/>
      <c r="B1991" s="5"/>
      <c r="C1991" s="5"/>
      <c r="D1991" s="5"/>
      <c r="E1991" s="6"/>
      <c r="F1991" s="6"/>
      <c r="G1991" s="5"/>
      <c r="H1991" s="5">
        <v>1</v>
      </c>
      <c r="I1991" s="7" t="s">
        <v>440</v>
      </c>
      <c r="J1991" s="5">
        <v>1</v>
      </c>
      <c r="K1991" s="5">
        <v>1123</v>
      </c>
      <c r="L1991" s="8"/>
      <c r="M1991" s="5"/>
    </row>
    <row r="1992" spans="1:13">
      <c r="A1992" s="5"/>
      <c r="B1992" s="5"/>
      <c r="C1992" s="5"/>
      <c r="D1992" s="5"/>
      <c r="E1992" s="6"/>
      <c r="F1992" s="6"/>
      <c r="G1992" s="5"/>
      <c r="H1992" s="5"/>
      <c r="I1992" s="7"/>
      <c r="J1992" s="5"/>
      <c r="K1992" s="5"/>
      <c r="L1992" s="8"/>
      <c r="M1992" s="5"/>
    </row>
    <row r="1993" spans="1:13">
      <c r="A1993" s="117" t="s">
        <v>4</v>
      </c>
      <c r="B1993" s="117"/>
      <c r="C1993" s="117"/>
      <c r="D1993" s="117"/>
      <c r="E1993" s="117"/>
      <c r="F1993" s="117"/>
      <c r="G1993" s="117"/>
      <c r="H1993" s="117"/>
      <c r="I1993" s="118" t="s">
        <v>8</v>
      </c>
      <c r="J1993" s="118"/>
      <c r="K1993" s="89" t="s">
        <v>70</v>
      </c>
      <c r="L1993" s="119"/>
      <c r="M1993" s="120"/>
    </row>
    <row r="1994" spans="1:13">
      <c r="A1994" s="117"/>
      <c r="B1994" s="117"/>
      <c r="C1994" s="117"/>
      <c r="D1994" s="117"/>
      <c r="E1994" s="117"/>
      <c r="F1994" s="117"/>
      <c r="G1994" s="117"/>
      <c r="H1994" s="117"/>
      <c r="I1994" s="118" t="s">
        <v>25</v>
      </c>
      <c r="J1994" s="118"/>
      <c r="K1994" s="121" t="s">
        <v>291</v>
      </c>
      <c r="L1994" s="118"/>
      <c r="M1994" s="118"/>
    </row>
    <row r="1995" spans="1:13">
      <c r="A1995" s="117"/>
      <c r="B1995" s="117"/>
      <c r="C1995" s="117"/>
      <c r="D1995" s="117"/>
      <c r="E1995" s="117"/>
      <c r="F1995" s="117"/>
      <c r="G1995" s="117"/>
      <c r="H1995" s="117"/>
      <c r="I1995" s="87" t="s">
        <v>26</v>
      </c>
      <c r="J1995" s="88"/>
      <c r="K1995" s="95" t="s">
        <v>423</v>
      </c>
      <c r="L1995" s="104"/>
      <c r="M1995" s="88"/>
    </row>
    <row r="1996" spans="1:13">
      <c r="A1996" s="118" t="s">
        <v>31</v>
      </c>
      <c r="B1996" s="118"/>
      <c r="C1996" s="118" t="s">
        <v>32</v>
      </c>
      <c r="D1996" s="118"/>
      <c r="E1996" s="118"/>
      <c r="F1996" s="118"/>
      <c r="G1996" s="118"/>
      <c r="H1996" s="118"/>
      <c r="I1996" s="40" t="s">
        <v>29</v>
      </c>
      <c r="J1996" s="41"/>
      <c r="K1996" s="118" t="s">
        <v>340</v>
      </c>
      <c r="L1996" s="118"/>
      <c r="M1996" s="118"/>
    </row>
    <row r="1997" spans="1:13">
      <c r="A1997" s="118"/>
      <c r="B1997" s="118"/>
      <c r="C1997" s="118"/>
      <c r="D1997" s="118"/>
      <c r="E1997" s="118"/>
      <c r="F1997" s="118"/>
      <c r="G1997" s="118"/>
      <c r="H1997" s="118"/>
      <c r="I1997" s="118" t="s">
        <v>30</v>
      </c>
      <c r="J1997" s="118"/>
      <c r="K1997" s="118" t="s">
        <v>424</v>
      </c>
      <c r="L1997" s="118"/>
      <c r="M1997" s="118"/>
    </row>
    <row r="1998" spans="1:13">
      <c r="A1998" s="122" t="s">
        <v>24</v>
      </c>
      <c r="B1998" s="122"/>
      <c r="C1998" s="122"/>
      <c r="D1998" s="42">
        <v>15</v>
      </c>
      <c r="E1998" s="117" t="s">
        <v>40</v>
      </c>
      <c r="F1998" s="117"/>
      <c r="G1998" s="117"/>
      <c r="H1998" s="42">
        <v>66</v>
      </c>
      <c r="I1998" s="118" t="s">
        <v>27</v>
      </c>
      <c r="J1998" s="118"/>
      <c r="K1998" s="118" t="s">
        <v>21</v>
      </c>
      <c r="L1998" s="118"/>
      <c r="M1998" s="118"/>
    </row>
    <row r="1999" spans="1:13" ht="45">
      <c r="A1999" s="3" t="s">
        <v>9</v>
      </c>
      <c r="B1999" s="3" t="s">
        <v>10</v>
      </c>
      <c r="C1999" s="3" t="s">
        <v>11</v>
      </c>
      <c r="D1999" s="3" t="s">
        <v>3</v>
      </c>
      <c r="E1999" s="4" t="s">
        <v>41</v>
      </c>
      <c r="F1999" s="4" t="s">
        <v>12</v>
      </c>
      <c r="G1999" s="3" t="s">
        <v>13</v>
      </c>
      <c r="H1999" s="3" t="s">
        <v>14</v>
      </c>
      <c r="I1999" s="3" t="s">
        <v>15</v>
      </c>
      <c r="J1999" s="3" t="s">
        <v>16</v>
      </c>
      <c r="K1999" s="3" t="s">
        <v>17</v>
      </c>
      <c r="L1999" s="3" t="s">
        <v>18</v>
      </c>
      <c r="M1999" s="3" t="s">
        <v>19</v>
      </c>
    </row>
    <row r="2000" spans="1:13">
      <c r="A2000" s="18">
        <v>1</v>
      </c>
      <c r="B2000" s="19">
        <v>0</v>
      </c>
      <c r="C2000" s="18"/>
      <c r="D2000" s="18">
        <v>1</v>
      </c>
      <c r="E2000" s="20">
        <v>11500</v>
      </c>
      <c r="F2000" s="20">
        <v>10</v>
      </c>
      <c r="G2000" s="18"/>
      <c r="H2000" s="18">
        <v>1</v>
      </c>
      <c r="I2000" s="21" t="s">
        <v>415</v>
      </c>
      <c r="J2000" s="18">
        <v>1</v>
      </c>
      <c r="K2000" s="18">
        <v>9476</v>
      </c>
      <c r="L2000" s="22"/>
      <c r="M2000" s="18"/>
    </row>
    <row r="2001" spans="1:13">
      <c r="A2001" s="18"/>
      <c r="B2001" s="18"/>
      <c r="C2001" s="18"/>
      <c r="D2001" s="18"/>
      <c r="E2001" s="20"/>
      <c r="F2001" s="20"/>
      <c r="G2001" s="18"/>
      <c r="H2001" s="18">
        <v>1</v>
      </c>
      <c r="I2001" s="21" t="s">
        <v>388</v>
      </c>
      <c r="J2001" s="18">
        <v>1</v>
      </c>
      <c r="K2001" s="18">
        <v>1844</v>
      </c>
      <c r="L2001" s="22"/>
      <c r="M2001" s="18"/>
    </row>
    <row r="2002" spans="1:13">
      <c r="A2002" s="18"/>
      <c r="B2002" s="18"/>
      <c r="C2002" s="18"/>
      <c r="D2002" s="18"/>
      <c r="E2002" s="20"/>
      <c r="F2002" s="20"/>
      <c r="G2002" s="18"/>
      <c r="H2002" s="18">
        <v>1</v>
      </c>
      <c r="I2002" s="21" t="s">
        <v>362</v>
      </c>
      <c r="J2002" s="18">
        <v>1</v>
      </c>
      <c r="K2002" s="18">
        <v>92</v>
      </c>
      <c r="L2002" s="22"/>
      <c r="M2002" s="18"/>
    </row>
    <row r="2003" spans="1:13">
      <c r="A2003" s="18">
        <v>2</v>
      </c>
      <c r="B2003" s="24">
        <v>0</v>
      </c>
      <c r="C2003" s="18"/>
      <c r="D2003" s="18">
        <v>1</v>
      </c>
      <c r="E2003" s="20">
        <v>11500</v>
      </c>
      <c r="F2003" s="20">
        <v>133</v>
      </c>
      <c r="G2003" s="18"/>
      <c r="H2003" s="18">
        <v>1</v>
      </c>
      <c r="I2003" s="21" t="s">
        <v>363</v>
      </c>
      <c r="J2003" s="18">
        <v>1</v>
      </c>
      <c r="K2003" s="18">
        <v>3578</v>
      </c>
      <c r="L2003" s="22"/>
      <c r="M2003" s="18"/>
    </row>
    <row r="2004" spans="1:13">
      <c r="A2004" s="18"/>
      <c r="B2004" s="18"/>
      <c r="C2004" s="18"/>
      <c r="D2004" s="18"/>
      <c r="E2004" s="20"/>
      <c r="F2004" s="20"/>
      <c r="G2004" s="18"/>
      <c r="H2004" s="18">
        <v>1</v>
      </c>
      <c r="I2004" s="21" t="s">
        <v>372</v>
      </c>
      <c r="J2004" s="18">
        <v>1</v>
      </c>
      <c r="K2004" s="18">
        <v>1811</v>
      </c>
      <c r="L2004" s="22"/>
      <c r="M2004" s="18"/>
    </row>
    <row r="2005" spans="1:13">
      <c r="A2005" s="18"/>
      <c r="B2005" s="24"/>
      <c r="C2005" s="18"/>
      <c r="D2005" s="18"/>
      <c r="E2005" s="20"/>
      <c r="F2005" s="20"/>
      <c r="G2005" s="18"/>
      <c r="H2005" s="18">
        <v>1</v>
      </c>
      <c r="I2005" s="21" t="s">
        <v>371</v>
      </c>
      <c r="J2005" s="18">
        <v>1</v>
      </c>
      <c r="K2005" s="18">
        <v>1793</v>
      </c>
      <c r="L2005" s="22"/>
      <c r="M2005" s="18"/>
    </row>
    <row r="2006" spans="1:13">
      <c r="A2006" s="18"/>
      <c r="B2006" s="19"/>
      <c r="C2006" s="18"/>
      <c r="D2006" s="18"/>
      <c r="E2006" s="20"/>
      <c r="F2006" s="20"/>
      <c r="G2006" s="18"/>
      <c r="H2006" s="18">
        <v>1</v>
      </c>
      <c r="I2006" s="21" t="s">
        <v>382</v>
      </c>
      <c r="J2006" s="18">
        <v>1</v>
      </c>
      <c r="K2006" s="18">
        <v>1635</v>
      </c>
      <c r="L2006" s="22"/>
      <c r="M2006" s="18"/>
    </row>
    <row r="2007" spans="1:13">
      <c r="A2007" s="18"/>
      <c r="B2007" s="18"/>
      <c r="C2007" s="18"/>
      <c r="D2007" s="18"/>
      <c r="E2007" s="20"/>
      <c r="F2007" s="20"/>
      <c r="G2007" s="18"/>
      <c r="H2007" s="18">
        <v>1</v>
      </c>
      <c r="I2007" s="21" t="s">
        <v>380</v>
      </c>
      <c r="J2007" s="18">
        <v>1</v>
      </c>
      <c r="K2007" s="18">
        <v>1635</v>
      </c>
      <c r="L2007" s="22"/>
      <c r="M2007" s="18"/>
    </row>
    <row r="2008" spans="1:13">
      <c r="A2008" s="18"/>
      <c r="B2008" s="18"/>
      <c r="C2008" s="18"/>
      <c r="D2008" s="18"/>
      <c r="E2008" s="20"/>
      <c r="F2008" s="20"/>
      <c r="G2008" s="18"/>
      <c r="H2008" s="18">
        <v>1</v>
      </c>
      <c r="I2008" s="21" t="s">
        <v>373</v>
      </c>
      <c r="J2008" s="18">
        <v>1</v>
      </c>
      <c r="K2008" s="18">
        <v>759</v>
      </c>
      <c r="L2008" s="22"/>
      <c r="M2008" s="18"/>
    </row>
    <row r="2009" spans="1:13">
      <c r="A2009" s="18">
        <v>3</v>
      </c>
      <c r="B2009" s="18">
        <v>0</v>
      </c>
      <c r="C2009" s="18"/>
      <c r="D2009" s="18">
        <v>1</v>
      </c>
      <c r="E2009" s="20">
        <v>11500</v>
      </c>
      <c r="F2009" s="20">
        <v>27</v>
      </c>
      <c r="G2009" s="18"/>
      <c r="H2009" s="18">
        <v>1</v>
      </c>
      <c r="I2009" s="21" t="s">
        <v>368</v>
      </c>
      <c r="J2009" s="18">
        <v>1</v>
      </c>
      <c r="K2009" s="18">
        <v>3320</v>
      </c>
      <c r="L2009" s="22"/>
      <c r="M2009" s="18"/>
    </row>
    <row r="2010" spans="1:13">
      <c r="A2010" s="18"/>
      <c r="B2010" s="18"/>
      <c r="C2010" s="18"/>
      <c r="D2010" s="18"/>
      <c r="E2010" s="20"/>
      <c r="F2010" s="20"/>
      <c r="G2010" s="18"/>
      <c r="H2010" s="18">
        <v>1</v>
      </c>
      <c r="I2010" s="21" t="s">
        <v>384</v>
      </c>
      <c r="J2010" s="18">
        <v>1</v>
      </c>
      <c r="K2010" s="18">
        <v>2169</v>
      </c>
      <c r="L2010" s="22"/>
      <c r="M2010" s="18"/>
    </row>
    <row r="2011" spans="1:13">
      <c r="A2011" s="18"/>
      <c r="B2011" s="18"/>
      <c r="C2011" s="18"/>
      <c r="D2011" s="18"/>
      <c r="E2011" s="20"/>
      <c r="F2011" s="20"/>
      <c r="G2011" s="18"/>
      <c r="H2011" s="18">
        <v>1</v>
      </c>
      <c r="I2011" s="21" t="s">
        <v>383</v>
      </c>
      <c r="J2011" s="18">
        <v>1</v>
      </c>
      <c r="K2011" s="18">
        <v>2169</v>
      </c>
      <c r="L2011" s="22"/>
      <c r="M2011" s="18"/>
    </row>
    <row r="2012" spans="1:13">
      <c r="A2012" s="18"/>
      <c r="B2012" s="18"/>
      <c r="C2012" s="18"/>
      <c r="D2012" s="18"/>
      <c r="E2012" s="20"/>
      <c r="F2012" s="20"/>
      <c r="G2012" s="18"/>
      <c r="H2012" s="18">
        <v>1</v>
      </c>
      <c r="I2012" s="21" t="s">
        <v>408</v>
      </c>
      <c r="J2012" s="18">
        <v>1</v>
      </c>
      <c r="K2012" s="18">
        <v>1621</v>
      </c>
      <c r="L2012" s="22"/>
      <c r="M2012" s="18"/>
    </row>
    <row r="2013" spans="1:13">
      <c r="A2013" s="18"/>
      <c r="B2013" s="18"/>
      <c r="C2013" s="18"/>
      <c r="D2013" s="18"/>
      <c r="E2013" s="20"/>
      <c r="F2013" s="20"/>
      <c r="G2013" s="18"/>
      <c r="H2013" s="18">
        <v>1</v>
      </c>
      <c r="I2013" s="21" t="s">
        <v>381</v>
      </c>
      <c r="J2013" s="18">
        <v>1</v>
      </c>
      <c r="K2013" s="18">
        <v>1587</v>
      </c>
      <c r="L2013" s="22"/>
      <c r="M2013" s="18"/>
    </row>
    <row r="2014" spans="1:13">
      <c r="A2014" s="18"/>
      <c r="B2014" s="18"/>
      <c r="C2014" s="18"/>
      <c r="D2014" s="18"/>
      <c r="E2014" s="20"/>
      <c r="F2014" s="20"/>
      <c r="G2014" s="18"/>
      <c r="H2014" s="18">
        <v>1</v>
      </c>
      <c r="I2014" s="21" t="s">
        <v>385</v>
      </c>
      <c r="J2014" s="18">
        <v>1</v>
      </c>
      <c r="K2014" s="18">
        <v>451</v>
      </c>
      <c r="L2014" s="22"/>
      <c r="M2014" s="18"/>
    </row>
    <row r="2015" spans="1:13">
      <c r="A2015" s="5">
        <v>4</v>
      </c>
      <c r="B2015" s="5">
        <v>0</v>
      </c>
      <c r="C2015" s="5"/>
      <c r="D2015" s="5">
        <v>1</v>
      </c>
      <c r="E2015" s="6">
        <v>11500</v>
      </c>
      <c r="F2015" s="6">
        <v>13</v>
      </c>
      <c r="G2015" s="5"/>
      <c r="H2015" s="5">
        <v>1</v>
      </c>
      <c r="I2015" s="7" t="s">
        <v>379</v>
      </c>
      <c r="J2015" s="5">
        <v>1</v>
      </c>
      <c r="K2015" s="5">
        <v>1587</v>
      </c>
      <c r="L2015" s="8"/>
      <c r="M2015" s="5"/>
    </row>
    <row r="2016" spans="1:13">
      <c r="A2016" s="5"/>
      <c r="B2016" s="5"/>
      <c r="C2016" s="5"/>
      <c r="D2016" s="5"/>
      <c r="E2016" s="6"/>
      <c r="F2016" s="6"/>
      <c r="G2016" s="5"/>
      <c r="H2016" s="5">
        <v>1</v>
      </c>
      <c r="I2016" s="7" t="s">
        <v>389</v>
      </c>
      <c r="J2016" s="5">
        <v>1</v>
      </c>
      <c r="K2016" s="5">
        <v>1586</v>
      </c>
      <c r="L2016" s="8"/>
      <c r="M2016" s="18"/>
    </row>
    <row r="2017" spans="1:13">
      <c r="A2017" s="5"/>
      <c r="B2017" s="5"/>
      <c r="C2017" s="5"/>
      <c r="D2017" s="5"/>
      <c r="E2017" s="6"/>
      <c r="F2017" s="6"/>
      <c r="G2017" s="5"/>
      <c r="H2017" s="5">
        <v>1</v>
      </c>
      <c r="I2017" s="7" t="s">
        <v>367</v>
      </c>
      <c r="J2017" s="5">
        <v>1</v>
      </c>
      <c r="K2017" s="5">
        <v>1547</v>
      </c>
      <c r="L2017" s="8"/>
      <c r="M2017" s="5"/>
    </row>
    <row r="2018" spans="1:13">
      <c r="A2018" s="5"/>
      <c r="B2018" s="5"/>
      <c r="C2018" s="5"/>
      <c r="D2018" s="5"/>
      <c r="E2018" s="6"/>
      <c r="F2018" s="6"/>
      <c r="G2018" s="5"/>
      <c r="H2018" s="5">
        <v>1</v>
      </c>
      <c r="I2018" s="7" t="s">
        <v>377</v>
      </c>
      <c r="J2018" s="5">
        <v>1</v>
      </c>
      <c r="K2018" s="5">
        <v>1541</v>
      </c>
      <c r="L2018" s="8"/>
      <c r="M2018" s="5"/>
    </row>
    <row r="2019" spans="1:13">
      <c r="A2019" s="5"/>
      <c r="B2019" s="5"/>
      <c r="C2019" s="5"/>
      <c r="D2019" s="5"/>
      <c r="E2019" s="6"/>
      <c r="F2019" s="6"/>
      <c r="G2019" s="5"/>
      <c r="H2019" s="5">
        <v>1</v>
      </c>
      <c r="I2019" s="7" t="s">
        <v>390</v>
      </c>
      <c r="J2019" s="5">
        <v>1</v>
      </c>
      <c r="K2019" s="5">
        <v>1538</v>
      </c>
      <c r="L2019" s="8"/>
      <c r="M2019" s="5"/>
    </row>
    <row r="2020" spans="1:13">
      <c r="A2020" s="5"/>
      <c r="B2020" s="5"/>
      <c r="C2020" s="5"/>
      <c r="D2020" s="5"/>
      <c r="E2020" s="6"/>
      <c r="F2020" s="6"/>
      <c r="G2020" s="5"/>
      <c r="H2020" s="5">
        <v>1</v>
      </c>
      <c r="I2020" s="7" t="s">
        <v>406</v>
      </c>
      <c r="J2020" s="5">
        <v>1</v>
      </c>
      <c r="K2020" s="5">
        <v>1531</v>
      </c>
      <c r="L2020" s="8"/>
      <c r="M2020" s="5"/>
    </row>
    <row r="2021" spans="1:13">
      <c r="A2021" s="5"/>
      <c r="B2021" s="5"/>
      <c r="C2021" s="5"/>
      <c r="D2021" s="5"/>
      <c r="E2021" s="6"/>
      <c r="F2021" s="6"/>
      <c r="G2021" s="5"/>
      <c r="H2021" s="5">
        <v>1</v>
      </c>
      <c r="I2021" s="7" t="s">
        <v>402</v>
      </c>
      <c r="J2021" s="5">
        <v>1</v>
      </c>
      <c r="K2021" s="5">
        <v>1521</v>
      </c>
      <c r="L2021" s="8"/>
      <c r="M2021" s="5"/>
    </row>
    <row r="2022" spans="1:13">
      <c r="A2022" s="5"/>
      <c r="B2022" s="5"/>
      <c r="C2022" s="5"/>
      <c r="D2022" s="5"/>
      <c r="E2022" s="6"/>
      <c r="F2022" s="6"/>
      <c r="G2022" s="5"/>
      <c r="H2022" s="5">
        <v>1</v>
      </c>
      <c r="I2022" s="7" t="s">
        <v>364</v>
      </c>
      <c r="J2022" s="5">
        <v>1</v>
      </c>
      <c r="K2022" s="5">
        <v>428</v>
      </c>
      <c r="L2022" s="8"/>
      <c r="M2022" s="5"/>
    </row>
    <row r="2023" spans="1:13">
      <c r="A2023" s="5">
        <v>5</v>
      </c>
      <c r="B2023" s="5">
        <v>0</v>
      </c>
      <c r="C2023" s="5"/>
      <c r="D2023" s="5">
        <v>1</v>
      </c>
      <c r="E2023" s="6">
        <v>11500</v>
      </c>
      <c r="F2023" s="6">
        <v>54</v>
      </c>
      <c r="G2023" s="5"/>
      <c r="H2023" s="5">
        <v>1</v>
      </c>
      <c r="I2023" s="7" t="s">
        <v>361</v>
      </c>
      <c r="J2023" s="5">
        <v>1</v>
      </c>
      <c r="K2023" s="5">
        <v>1419</v>
      </c>
      <c r="L2023" s="8"/>
      <c r="M2023" s="5"/>
    </row>
    <row r="2024" spans="1:13">
      <c r="A2024" s="5"/>
      <c r="B2024" s="5"/>
      <c r="C2024" s="5"/>
      <c r="D2024" s="5"/>
      <c r="E2024" s="6"/>
      <c r="F2024" s="6"/>
      <c r="G2024" s="5"/>
      <c r="H2024" s="5">
        <v>1</v>
      </c>
      <c r="I2024" s="7" t="s">
        <v>391</v>
      </c>
      <c r="J2024" s="5">
        <v>1</v>
      </c>
      <c r="K2024" s="5">
        <v>1339</v>
      </c>
      <c r="L2024" s="8"/>
      <c r="M2024" s="5"/>
    </row>
    <row r="2025" spans="1:13">
      <c r="A2025" s="5"/>
      <c r="B2025" s="5"/>
      <c r="C2025" s="5"/>
      <c r="D2025" s="5"/>
      <c r="E2025" s="6"/>
      <c r="F2025" s="6"/>
      <c r="G2025" s="5"/>
      <c r="H2025" s="5">
        <v>1</v>
      </c>
      <c r="I2025" s="7" t="s">
        <v>386</v>
      </c>
      <c r="J2025" s="5">
        <v>1</v>
      </c>
      <c r="K2025" s="5">
        <v>1339</v>
      </c>
      <c r="L2025" s="8"/>
      <c r="M2025" s="5"/>
    </row>
    <row r="2026" spans="1:13">
      <c r="A2026" s="5"/>
      <c r="B2026" s="5"/>
      <c r="C2026" s="5"/>
      <c r="D2026" s="5"/>
      <c r="E2026" s="6"/>
      <c r="F2026" s="6"/>
      <c r="G2026" s="5"/>
      <c r="H2026" s="5">
        <v>1</v>
      </c>
      <c r="I2026" s="7" t="s">
        <v>400</v>
      </c>
      <c r="J2026" s="5">
        <v>1</v>
      </c>
      <c r="K2026" s="5">
        <v>1251</v>
      </c>
      <c r="L2026" s="8"/>
      <c r="M2026" s="5"/>
    </row>
    <row r="2027" spans="1:13">
      <c r="A2027" s="5"/>
      <c r="B2027" s="5"/>
      <c r="C2027" s="5"/>
      <c r="D2027" s="5"/>
      <c r="E2027" s="6"/>
      <c r="F2027" s="6"/>
      <c r="G2027" s="5"/>
      <c r="H2027" s="5">
        <v>1</v>
      </c>
      <c r="I2027" s="7" t="s">
        <v>378</v>
      </c>
      <c r="J2027" s="5">
        <v>1</v>
      </c>
      <c r="K2027" s="5">
        <v>1250</v>
      </c>
      <c r="L2027" s="8"/>
      <c r="M2027" s="5"/>
    </row>
    <row r="2028" spans="1:13">
      <c r="A2028" s="5"/>
      <c r="B2028" s="5"/>
      <c r="C2028" s="5"/>
      <c r="D2028" s="5"/>
      <c r="E2028" s="6"/>
      <c r="F2028" s="6"/>
      <c r="G2028" s="5"/>
      <c r="H2028" s="5">
        <v>1</v>
      </c>
      <c r="I2028" s="7" t="s">
        <v>412</v>
      </c>
      <c r="J2028" s="5">
        <v>1</v>
      </c>
      <c r="K2028" s="5">
        <v>1241</v>
      </c>
      <c r="L2028" s="8"/>
      <c r="M2028" s="5"/>
    </row>
    <row r="2029" spans="1:13">
      <c r="A2029" s="5"/>
      <c r="B2029" s="5"/>
      <c r="C2029" s="5"/>
      <c r="D2029" s="5"/>
      <c r="E2029" s="6"/>
      <c r="F2029" s="6"/>
      <c r="G2029" s="5"/>
      <c r="H2029" s="5">
        <v>1</v>
      </c>
      <c r="I2029" s="7" t="s">
        <v>374</v>
      </c>
      <c r="J2029" s="5">
        <v>1</v>
      </c>
      <c r="K2029" s="5">
        <v>1210</v>
      </c>
      <c r="L2029" s="8"/>
      <c r="M2029" s="5"/>
    </row>
    <row r="2030" spans="1:13">
      <c r="A2030" s="5"/>
      <c r="B2030" s="5"/>
      <c r="C2030" s="5"/>
      <c r="D2030" s="5"/>
      <c r="E2030" s="6"/>
      <c r="F2030" s="6"/>
      <c r="G2030" s="5"/>
      <c r="H2030" s="5">
        <v>1</v>
      </c>
      <c r="I2030" s="7" t="s">
        <v>376</v>
      </c>
      <c r="J2030" s="5">
        <v>1</v>
      </c>
      <c r="K2030" s="5">
        <v>1202</v>
      </c>
      <c r="L2030" s="8"/>
      <c r="M2030" s="5"/>
    </row>
    <row r="2031" spans="1:13">
      <c r="A2031" s="5"/>
      <c r="B2031" s="5"/>
      <c r="C2031" s="5"/>
      <c r="D2031" s="5"/>
      <c r="E2031" s="6"/>
      <c r="F2031" s="6"/>
      <c r="G2031" s="5"/>
      <c r="H2031" s="5">
        <v>1</v>
      </c>
      <c r="I2031" s="7" t="s">
        <v>394</v>
      </c>
      <c r="J2031" s="5">
        <v>1</v>
      </c>
      <c r="K2031" s="5">
        <v>728</v>
      </c>
      <c r="L2031" s="8"/>
      <c r="M2031" s="5"/>
    </row>
    <row r="2032" spans="1:13">
      <c r="A2032" s="5"/>
      <c r="B2032" s="5"/>
      <c r="C2032" s="5"/>
      <c r="D2032" s="5"/>
      <c r="E2032" s="6"/>
      <c r="F2032" s="6"/>
      <c r="G2032" s="5"/>
      <c r="H2032" s="5">
        <v>1</v>
      </c>
      <c r="I2032" s="7" t="s">
        <v>420</v>
      </c>
      <c r="J2032" s="5">
        <v>1</v>
      </c>
      <c r="K2032" s="5">
        <v>207</v>
      </c>
      <c r="L2032" s="8"/>
      <c r="M2032" s="5"/>
    </row>
    <row r="2033" spans="1:13">
      <c r="A2033" s="5">
        <v>6</v>
      </c>
      <c r="B2033" s="5">
        <v>0</v>
      </c>
      <c r="C2033" s="5"/>
      <c r="D2033" s="5">
        <v>1</v>
      </c>
      <c r="E2033" s="6">
        <v>11500</v>
      </c>
      <c r="F2033" s="6">
        <v>1621</v>
      </c>
      <c r="G2033" s="5"/>
      <c r="H2033" s="5">
        <v>1</v>
      </c>
      <c r="I2033" s="7" t="s">
        <v>410</v>
      </c>
      <c r="J2033" s="5">
        <v>1</v>
      </c>
      <c r="K2033" s="5">
        <v>1171</v>
      </c>
      <c r="L2033" s="8"/>
      <c r="M2033" s="5"/>
    </row>
    <row r="2034" spans="1:13">
      <c r="A2034" s="5"/>
      <c r="B2034" s="5"/>
      <c r="C2034" s="5"/>
      <c r="D2034" s="5"/>
      <c r="E2034" s="6"/>
      <c r="F2034" s="6"/>
      <c r="G2034" s="5"/>
      <c r="H2034" s="5">
        <v>1</v>
      </c>
      <c r="I2034" s="7" t="s">
        <v>404</v>
      </c>
      <c r="J2034" s="5">
        <v>1</v>
      </c>
      <c r="K2034" s="5">
        <v>1171</v>
      </c>
      <c r="L2034" s="8"/>
      <c r="M2034" s="5"/>
    </row>
    <row r="2035" spans="1:13">
      <c r="A2035" s="5"/>
      <c r="B2035" s="5"/>
      <c r="C2035" s="5"/>
      <c r="D2035" s="5"/>
      <c r="E2035" s="6"/>
      <c r="F2035" s="6"/>
      <c r="G2035" s="5"/>
      <c r="H2035" s="5">
        <v>1</v>
      </c>
      <c r="I2035" s="7" t="s">
        <v>398</v>
      </c>
      <c r="J2035" s="5">
        <v>1</v>
      </c>
      <c r="K2035" s="5">
        <v>1171</v>
      </c>
      <c r="L2035" s="8"/>
      <c r="M2035" s="5"/>
    </row>
    <row r="2036" spans="1:13">
      <c r="A2036" s="5"/>
      <c r="B2036" s="5"/>
      <c r="C2036" s="5"/>
      <c r="D2036" s="5"/>
      <c r="E2036" s="6"/>
      <c r="F2036" s="6"/>
      <c r="G2036" s="5"/>
      <c r="H2036" s="5">
        <v>1</v>
      </c>
      <c r="I2036" s="7" t="s">
        <v>375</v>
      </c>
      <c r="J2036" s="5">
        <v>1</v>
      </c>
      <c r="K2036" s="5">
        <v>1162</v>
      </c>
      <c r="L2036" s="8"/>
      <c r="M2036" s="5"/>
    </row>
    <row r="2037" spans="1:13">
      <c r="A2037" s="5"/>
      <c r="B2037" s="5"/>
      <c r="C2037" s="5"/>
      <c r="D2037" s="5"/>
      <c r="E2037" s="6"/>
      <c r="F2037" s="6"/>
      <c r="G2037" s="5"/>
      <c r="H2037" s="5">
        <v>1</v>
      </c>
      <c r="I2037" s="7" t="s">
        <v>407</v>
      </c>
      <c r="J2037" s="5">
        <v>1</v>
      </c>
      <c r="K2037" s="5">
        <v>682</v>
      </c>
      <c r="L2037" s="8"/>
      <c r="M2037" s="5"/>
    </row>
    <row r="2038" spans="1:13">
      <c r="A2038" s="5"/>
      <c r="B2038" s="5"/>
      <c r="C2038" s="5"/>
      <c r="D2038" s="5"/>
      <c r="E2038" s="6"/>
      <c r="F2038" s="6"/>
      <c r="G2038" s="5"/>
      <c r="H2038" s="5">
        <v>1</v>
      </c>
      <c r="I2038" s="7" t="s">
        <v>366</v>
      </c>
      <c r="J2038" s="5">
        <v>1</v>
      </c>
      <c r="K2038" s="5">
        <v>543</v>
      </c>
      <c r="L2038" s="8"/>
      <c r="M2038" s="5"/>
    </row>
    <row r="2039" spans="1:13">
      <c r="A2039" s="5"/>
      <c r="B2039" s="5"/>
      <c r="C2039" s="5"/>
      <c r="D2039" s="5"/>
      <c r="E2039" s="6"/>
      <c r="F2039" s="6"/>
      <c r="G2039" s="5"/>
      <c r="H2039" s="5">
        <v>1</v>
      </c>
      <c r="I2039" s="7" t="s">
        <v>370</v>
      </c>
      <c r="J2039" s="5">
        <v>1</v>
      </c>
      <c r="K2039" s="5">
        <v>520</v>
      </c>
      <c r="L2039" s="8"/>
      <c r="M2039" s="5"/>
    </row>
    <row r="2040" spans="1:13">
      <c r="A2040" s="5"/>
      <c r="B2040" s="5"/>
      <c r="C2040" s="5"/>
      <c r="D2040" s="5"/>
      <c r="E2040" s="6"/>
      <c r="F2040" s="6"/>
      <c r="G2040" s="5"/>
      <c r="H2040" s="5">
        <v>1</v>
      </c>
      <c r="I2040" s="7" t="s">
        <v>393</v>
      </c>
      <c r="J2040" s="5">
        <v>1</v>
      </c>
      <c r="K2040" s="5">
        <v>448</v>
      </c>
      <c r="L2040" s="8"/>
      <c r="M2040" s="5"/>
    </row>
    <row r="2041" spans="1:13">
      <c r="A2041" s="5"/>
      <c r="B2041" s="5"/>
      <c r="C2041" s="5"/>
      <c r="D2041" s="5"/>
      <c r="E2041" s="6"/>
      <c r="F2041" s="6"/>
      <c r="G2041" s="5"/>
      <c r="H2041" s="5">
        <v>1</v>
      </c>
      <c r="I2041" s="7" t="s">
        <v>403</v>
      </c>
      <c r="J2041" s="5">
        <v>1</v>
      </c>
      <c r="K2041" s="5">
        <v>392</v>
      </c>
      <c r="L2041" s="8"/>
      <c r="M2041" s="5"/>
    </row>
    <row r="2042" spans="1:13">
      <c r="A2042" s="5"/>
      <c r="B2042" s="5"/>
      <c r="C2042" s="5"/>
      <c r="D2042" s="5"/>
      <c r="E2042" s="6"/>
      <c r="F2042" s="6"/>
      <c r="G2042" s="5"/>
      <c r="H2042" s="5">
        <v>1</v>
      </c>
      <c r="I2042" s="7" t="s">
        <v>419</v>
      </c>
      <c r="J2042" s="5">
        <v>1</v>
      </c>
      <c r="K2042" s="5">
        <v>207</v>
      </c>
      <c r="L2042" s="8"/>
      <c r="M2042" s="5"/>
    </row>
    <row r="2043" spans="1:13">
      <c r="A2043" s="5"/>
      <c r="B2043" s="5"/>
      <c r="C2043" s="5"/>
      <c r="D2043" s="5"/>
      <c r="E2043" s="6"/>
      <c r="F2043" s="6"/>
      <c r="G2043" s="5"/>
      <c r="H2043" s="5">
        <v>1</v>
      </c>
      <c r="I2043" s="7" t="s">
        <v>418</v>
      </c>
      <c r="J2043" s="5">
        <v>1</v>
      </c>
      <c r="K2043" s="5">
        <v>207</v>
      </c>
      <c r="L2043" s="8"/>
      <c r="M2043" s="5"/>
    </row>
    <row r="2044" spans="1:13">
      <c r="A2044" s="5"/>
      <c r="B2044" s="5"/>
      <c r="C2044" s="5"/>
      <c r="D2044" s="5"/>
      <c r="E2044" s="6"/>
      <c r="F2044" s="6"/>
      <c r="G2044" s="5"/>
      <c r="H2044" s="5">
        <v>1</v>
      </c>
      <c r="I2044" s="7" t="s">
        <v>416</v>
      </c>
      <c r="J2044" s="5">
        <v>1</v>
      </c>
      <c r="K2044" s="5">
        <v>207</v>
      </c>
      <c r="L2044" s="8"/>
      <c r="M2044" s="5"/>
    </row>
    <row r="2045" spans="1:13">
      <c r="A2045" s="5"/>
      <c r="B2045" s="5"/>
      <c r="C2045" s="5"/>
      <c r="D2045" s="5"/>
      <c r="E2045" s="6"/>
      <c r="F2045" s="6"/>
      <c r="G2045" s="5"/>
      <c r="H2045" s="5">
        <v>1</v>
      </c>
      <c r="I2045" s="7" t="s">
        <v>359</v>
      </c>
      <c r="J2045" s="5">
        <v>1</v>
      </c>
      <c r="K2045" s="5">
        <v>198</v>
      </c>
      <c r="L2045" s="8"/>
      <c r="M2045" s="5"/>
    </row>
    <row r="2046" spans="1:13">
      <c r="A2046" s="5"/>
      <c r="B2046" s="5"/>
      <c r="C2046" s="5"/>
      <c r="D2046" s="5"/>
      <c r="E2046" s="6"/>
      <c r="F2046" s="6"/>
      <c r="G2046" s="5"/>
      <c r="H2046" s="5">
        <v>1</v>
      </c>
      <c r="I2046" s="7" t="s">
        <v>411</v>
      </c>
      <c r="J2046" s="5">
        <v>1</v>
      </c>
      <c r="K2046" s="5">
        <v>192</v>
      </c>
      <c r="L2046" s="8"/>
      <c r="M2046" s="5"/>
    </row>
    <row r="2047" spans="1:13">
      <c r="A2047" s="5"/>
      <c r="B2047" s="5"/>
      <c r="C2047" s="5"/>
      <c r="D2047" s="5"/>
      <c r="E2047" s="6"/>
      <c r="F2047" s="6"/>
      <c r="G2047" s="5"/>
      <c r="H2047" s="5">
        <v>1</v>
      </c>
      <c r="I2047" s="7" t="s">
        <v>405</v>
      </c>
      <c r="J2047" s="5">
        <v>1</v>
      </c>
      <c r="K2047" s="5">
        <v>192</v>
      </c>
      <c r="L2047" s="8"/>
      <c r="M2047" s="5"/>
    </row>
    <row r="2048" spans="1:13">
      <c r="A2048" s="5"/>
      <c r="B2048" s="5"/>
      <c r="C2048" s="5"/>
      <c r="D2048" s="5"/>
      <c r="E2048" s="6"/>
      <c r="F2048" s="6"/>
      <c r="G2048" s="5"/>
      <c r="H2048" s="5">
        <v>1</v>
      </c>
      <c r="I2048" s="7" t="s">
        <v>401</v>
      </c>
      <c r="J2048" s="5">
        <v>1</v>
      </c>
      <c r="K2048" s="5">
        <v>192</v>
      </c>
      <c r="L2048" s="8"/>
      <c r="M2048" s="5"/>
    </row>
    <row r="2049" spans="1:13">
      <c r="A2049" s="5"/>
      <c r="B2049" s="5"/>
      <c r="C2049" s="5"/>
      <c r="D2049" s="5"/>
      <c r="E2049" s="6"/>
      <c r="F2049" s="6"/>
      <c r="G2049" s="5"/>
      <c r="H2049" s="5">
        <v>1</v>
      </c>
      <c r="I2049" s="7" t="s">
        <v>399</v>
      </c>
      <c r="J2049" s="5">
        <v>1</v>
      </c>
      <c r="K2049" s="5">
        <v>192</v>
      </c>
      <c r="L2049" s="8"/>
      <c r="M2049" s="5"/>
    </row>
    <row r="2050" spans="1:13">
      <c r="A2050" s="5"/>
      <c r="B2050" s="5"/>
      <c r="C2050" s="5"/>
      <c r="D2050" s="5"/>
      <c r="E2050" s="6"/>
      <c r="F2050" s="6"/>
      <c r="G2050" s="5"/>
      <c r="H2050" s="5">
        <v>1</v>
      </c>
      <c r="I2050" s="7" t="s">
        <v>422</v>
      </c>
      <c r="J2050" s="5">
        <v>1</v>
      </c>
      <c r="K2050" s="5">
        <v>187</v>
      </c>
      <c r="L2050" s="8"/>
      <c r="M2050" s="5"/>
    </row>
    <row r="2051" spans="1:13">
      <c r="A2051" s="5"/>
      <c r="B2051" s="5"/>
      <c r="C2051" s="5"/>
      <c r="D2051" s="5"/>
      <c r="E2051" s="6"/>
      <c r="F2051" s="6"/>
      <c r="G2051" s="5"/>
      <c r="H2051" s="5">
        <v>1</v>
      </c>
      <c r="I2051" s="7" t="s">
        <v>392</v>
      </c>
      <c r="J2051" s="5">
        <v>1</v>
      </c>
      <c r="K2051" s="5">
        <v>177</v>
      </c>
      <c r="L2051" s="8"/>
      <c r="M2051" s="5"/>
    </row>
    <row r="2052" spans="1:13">
      <c r="A2052" s="5"/>
      <c r="B2052" s="5"/>
      <c r="C2052" s="5"/>
      <c r="D2052" s="5"/>
      <c r="E2052" s="6"/>
      <c r="F2052" s="6"/>
      <c r="G2052" s="5"/>
      <c r="H2052" s="5">
        <v>1</v>
      </c>
      <c r="I2052" s="7" t="s">
        <v>369</v>
      </c>
      <c r="J2052" s="5">
        <v>1</v>
      </c>
      <c r="K2052" s="5">
        <v>148</v>
      </c>
      <c r="L2052" s="8"/>
      <c r="M2052" s="5"/>
    </row>
    <row r="2053" spans="1:13">
      <c r="A2053" s="5">
        <v>7</v>
      </c>
      <c r="B2053" s="5">
        <v>0</v>
      </c>
      <c r="C2053" s="5"/>
      <c r="D2053" s="5">
        <v>1</v>
      </c>
      <c r="E2053" s="6">
        <v>11500</v>
      </c>
      <c r="F2053" s="6"/>
      <c r="G2053" s="5"/>
      <c r="H2053" s="5">
        <v>1</v>
      </c>
      <c r="I2053" s="7" t="s">
        <v>414</v>
      </c>
      <c r="J2053" s="5">
        <v>1</v>
      </c>
      <c r="K2053" s="5">
        <v>11498</v>
      </c>
      <c r="L2053" s="8"/>
      <c r="M2053" s="5"/>
    </row>
    <row r="2054" spans="1:13">
      <c r="A2054" s="5">
        <v>8</v>
      </c>
      <c r="B2054" s="5">
        <v>0</v>
      </c>
      <c r="C2054" s="5"/>
      <c r="D2054" s="5">
        <v>1</v>
      </c>
      <c r="E2054" s="6">
        <v>11500</v>
      </c>
      <c r="F2054" s="6"/>
      <c r="G2054" s="5"/>
      <c r="H2054" s="5">
        <v>1</v>
      </c>
      <c r="I2054" s="7" t="s">
        <v>396</v>
      </c>
      <c r="J2054" s="5">
        <v>1</v>
      </c>
      <c r="K2054" s="5">
        <v>11498</v>
      </c>
      <c r="L2054" s="8"/>
      <c r="M2054" s="5"/>
    </row>
    <row r="2055" spans="1:13">
      <c r="A2055" s="5">
        <v>9</v>
      </c>
      <c r="B2055" s="5">
        <v>0</v>
      </c>
      <c r="C2055" s="5"/>
      <c r="D2055" s="5">
        <v>1</v>
      </c>
      <c r="E2055" s="6">
        <v>11500</v>
      </c>
      <c r="F2055" s="6"/>
      <c r="G2055" s="5"/>
      <c r="H2055" s="5">
        <v>1</v>
      </c>
      <c r="I2055" s="7" t="s">
        <v>365</v>
      </c>
      <c r="J2055" s="5">
        <v>1</v>
      </c>
      <c r="K2055" s="5">
        <v>11498</v>
      </c>
      <c r="L2055" s="8"/>
      <c r="M2055" s="5"/>
    </row>
    <row r="2056" spans="1:13">
      <c r="A2056" s="5">
        <v>10</v>
      </c>
      <c r="B2056" s="5">
        <v>0</v>
      </c>
      <c r="C2056" s="5"/>
      <c r="D2056" s="5">
        <v>1</v>
      </c>
      <c r="E2056" s="6">
        <v>11500</v>
      </c>
      <c r="F2056" s="6"/>
      <c r="G2056" s="5"/>
      <c r="H2056" s="5">
        <v>1</v>
      </c>
      <c r="I2056" s="7" t="s">
        <v>413</v>
      </c>
      <c r="J2056" s="5">
        <v>1</v>
      </c>
      <c r="K2056" s="5">
        <v>11498</v>
      </c>
      <c r="L2056" s="8"/>
      <c r="M2056" s="5"/>
    </row>
    <row r="2057" spans="1:13">
      <c r="A2057" s="5">
        <v>11</v>
      </c>
      <c r="B2057" s="5">
        <v>0</v>
      </c>
      <c r="C2057" s="5"/>
      <c r="D2057" s="5">
        <v>1</v>
      </c>
      <c r="E2057" s="6">
        <v>11500</v>
      </c>
      <c r="F2057" s="6"/>
      <c r="G2057" s="5"/>
      <c r="H2057" s="5">
        <v>1</v>
      </c>
      <c r="I2057" s="7" t="s">
        <v>358</v>
      </c>
      <c r="J2057" s="5">
        <v>1</v>
      </c>
      <c r="K2057" s="5">
        <v>11498</v>
      </c>
      <c r="L2057" s="8"/>
      <c r="M2057" s="5"/>
    </row>
    <row r="2058" spans="1:13">
      <c r="A2058" s="5">
        <v>12</v>
      </c>
      <c r="B2058" s="5">
        <v>0</v>
      </c>
      <c r="C2058" s="5"/>
      <c r="D2058" s="5">
        <v>1</v>
      </c>
      <c r="E2058" s="6">
        <v>11500</v>
      </c>
      <c r="F2058" s="6"/>
      <c r="G2058" s="5"/>
      <c r="H2058" s="5">
        <v>1</v>
      </c>
      <c r="I2058" s="7" t="s">
        <v>395</v>
      </c>
      <c r="J2058" s="5">
        <v>1</v>
      </c>
      <c r="K2058" s="5">
        <v>11498</v>
      </c>
      <c r="L2058" s="8"/>
      <c r="M2058" s="5"/>
    </row>
    <row r="2059" spans="1:13">
      <c r="A2059" s="5">
        <v>13</v>
      </c>
      <c r="B2059" s="5">
        <v>0</v>
      </c>
      <c r="C2059" s="5"/>
      <c r="D2059" s="5">
        <v>1</v>
      </c>
      <c r="E2059" s="6">
        <v>11500</v>
      </c>
      <c r="F2059" s="6"/>
      <c r="G2059" s="5"/>
      <c r="H2059" s="5">
        <v>1</v>
      </c>
      <c r="I2059" s="7" t="s">
        <v>397</v>
      </c>
      <c r="J2059" s="5">
        <v>1</v>
      </c>
      <c r="K2059" s="5">
        <v>11498</v>
      </c>
      <c r="L2059" s="8"/>
      <c r="M2059" s="5"/>
    </row>
    <row r="2060" spans="1:13">
      <c r="A2060" s="5">
        <v>14</v>
      </c>
      <c r="B2060" s="5">
        <v>0</v>
      </c>
      <c r="C2060" s="5"/>
      <c r="D2060" s="5">
        <v>1</v>
      </c>
      <c r="E2060" s="6">
        <v>11500</v>
      </c>
      <c r="F2060" s="6"/>
      <c r="G2060" s="5"/>
      <c r="H2060" s="5">
        <v>1</v>
      </c>
      <c r="I2060" s="7" t="s">
        <v>357</v>
      </c>
      <c r="J2060" s="5">
        <v>1</v>
      </c>
      <c r="K2060" s="5">
        <v>11498</v>
      </c>
      <c r="L2060" s="8"/>
      <c r="M2060" s="5"/>
    </row>
    <row r="2061" spans="1:13">
      <c r="A2061" s="5">
        <v>15</v>
      </c>
      <c r="B2061" s="5">
        <v>0</v>
      </c>
      <c r="C2061" s="5"/>
      <c r="D2061" s="5">
        <v>1</v>
      </c>
      <c r="E2061" s="6">
        <v>11500</v>
      </c>
      <c r="F2061" s="6">
        <v>1</v>
      </c>
      <c r="G2061" s="5"/>
      <c r="H2061" s="5">
        <v>1</v>
      </c>
      <c r="I2061" s="7" t="s">
        <v>387</v>
      </c>
      <c r="J2061" s="5">
        <v>1</v>
      </c>
      <c r="K2061" s="5">
        <v>10241</v>
      </c>
      <c r="L2061" s="8"/>
      <c r="M2061" s="5"/>
    </row>
    <row r="2062" spans="1:13">
      <c r="A2062" s="5"/>
      <c r="B2062" s="5"/>
      <c r="C2062" s="5"/>
      <c r="D2062" s="5"/>
      <c r="E2062" s="6"/>
      <c r="F2062" s="6"/>
      <c r="G2062" s="5"/>
      <c r="H2062" s="5">
        <v>1</v>
      </c>
      <c r="I2062" s="7" t="s">
        <v>409</v>
      </c>
      <c r="J2062" s="5">
        <v>1</v>
      </c>
      <c r="K2062" s="5">
        <v>367</v>
      </c>
      <c r="L2062" s="8"/>
      <c r="M2062" s="5"/>
    </row>
    <row r="2063" spans="1:13">
      <c r="A2063" s="5"/>
      <c r="B2063" s="5"/>
      <c r="C2063" s="5"/>
      <c r="D2063" s="5"/>
      <c r="E2063" s="6"/>
      <c r="F2063" s="6"/>
      <c r="G2063" s="5"/>
      <c r="H2063" s="5">
        <v>1</v>
      </c>
      <c r="I2063" s="7" t="s">
        <v>417</v>
      </c>
      <c r="J2063" s="5">
        <v>1</v>
      </c>
      <c r="K2063" s="5">
        <v>277</v>
      </c>
      <c r="L2063" s="8"/>
      <c r="M2063" s="5"/>
    </row>
    <row r="2064" spans="1:13">
      <c r="A2064" s="5"/>
      <c r="B2064" s="5"/>
      <c r="C2064" s="5"/>
      <c r="D2064" s="5"/>
      <c r="E2064" s="6"/>
      <c r="F2064" s="6"/>
      <c r="G2064" s="5"/>
      <c r="H2064" s="5">
        <v>1</v>
      </c>
      <c r="I2064" s="7" t="s">
        <v>360</v>
      </c>
      <c r="J2064" s="5">
        <v>1</v>
      </c>
      <c r="K2064" s="5">
        <v>277</v>
      </c>
      <c r="L2064" s="8"/>
      <c r="M2064" s="5"/>
    </row>
    <row r="2065" spans="1:13">
      <c r="A2065" s="5"/>
      <c r="B2065" s="5"/>
      <c r="C2065" s="5"/>
      <c r="D2065" s="5"/>
      <c r="E2065" s="6"/>
      <c r="F2065" s="6"/>
      <c r="G2065" s="5"/>
      <c r="H2065" s="5">
        <v>1</v>
      </c>
      <c r="I2065" s="7" t="s">
        <v>421</v>
      </c>
      <c r="J2065" s="5">
        <v>1</v>
      </c>
      <c r="K2065" s="5">
        <v>207</v>
      </c>
      <c r="L2065" s="8"/>
      <c r="M2065" s="5"/>
    </row>
    <row r="2066" spans="1:13">
      <c r="A2066" s="5"/>
      <c r="B2066" s="5"/>
      <c r="C2066" s="5"/>
      <c r="D2066" s="5"/>
      <c r="E2066" s="6"/>
      <c r="F2066" s="6"/>
      <c r="G2066" s="5"/>
      <c r="H2066" s="5"/>
      <c r="I2066" s="7"/>
      <c r="J2066" s="5"/>
      <c r="K2066" s="5"/>
      <c r="L2066" s="8"/>
      <c r="M2066" s="5"/>
    </row>
    <row r="2067" spans="1:13">
      <c r="A2067" s="117" t="s">
        <v>4</v>
      </c>
      <c r="B2067" s="117"/>
      <c r="C2067" s="117"/>
      <c r="D2067" s="117"/>
      <c r="E2067" s="117"/>
      <c r="F2067" s="117"/>
      <c r="G2067" s="117"/>
      <c r="H2067" s="117"/>
      <c r="I2067" s="118" t="s">
        <v>8</v>
      </c>
      <c r="J2067" s="118"/>
      <c r="K2067" s="89" t="s">
        <v>70</v>
      </c>
      <c r="L2067" s="119"/>
      <c r="M2067" s="120"/>
    </row>
    <row r="2068" spans="1:13">
      <c r="A2068" s="117"/>
      <c r="B2068" s="117"/>
      <c r="C2068" s="117"/>
      <c r="D2068" s="117"/>
      <c r="E2068" s="117"/>
      <c r="F2068" s="117"/>
      <c r="G2068" s="117"/>
      <c r="H2068" s="117"/>
      <c r="I2068" s="118" t="s">
        <v>25</v>
      </c>
      <c r="J2068" s="118"/>
      <c r="K2068" s="121" t="s">
        <v>291</v>
      </c>
      <c r="L2068" s="118"/>
      <c r="M2068" s="118"/>
    </row>
    <row r="2069" spans="1:13">
      <c r="A2069" s="117"/>
      <c r="B2069" s="117"/>
      <c r="C2069" s="117"/>
      <c r="D2069" s="117"/>
      <c r="E2069" s="117"/>
      <c r="F2069" s="117"/>
      <c r="G2069" s="117"/>
      <c r="H2069" s="117"/>
      <c r="I2069" s="87" t="s">
        <v>26</v>
      </c>
      <c r="J2069" s="88"/>
      <c r="K2069" s="95" t="s">
        <v>355</v>
      </c>
      <c r="L2069" s="104"/>
      <c r="M2069" s="88"/>
    </row>
    <row r="2070" spans="1:13">
      <c r="A2070" s="118" t="s">
        <v>31</v>
      </c>
      <c r="B2070" s="118"/>
      <c r="C2070" s="118" t="s">
        <v>32</v>
      </c>
      <c r="D2070" s="118"/>
      <c r="E2070" s="118"/>
      <c r="F2070" s="118"/>
      <c r="G2070" s="118"/>
      <c r="H2070" s="118"/>
      <c r="I2070" s="40" t="s">
        <v>29</v>
      </c>
      <c r="J2070" s="41"/>
      <c r="K2070" s="118" t="s">
        <v>340</v>
      </c>
      <c r="L2070" s="118"/>
      <c r="M2070" s="118"/>
    </row>
    <row r="2071" spans="1:13">
      <c r="A2071" s="118"/>
      <c r="B2071" s="118"/>
      <c r="C2071" s="118"/>
      <c r="D2071" s="118"/>
      <c r="E2071" s="118"/>
      <c r="F2071" s="118"/>
      <c r="G2071" s="118"/>
      <c r="H2071" s="118"/>
      <c r="I2071" s="118" t="s">
        <v>30</v>
      </c>
      <c r="J2071" s="118"/>
      <c r="K2071" s="118" t="s">
        <v>356</v>
      </c>
      <c r="L2071" s="118"/>
      <c r="M2071" s="118"/>
    </row>
    <row r="2072" spans="1:13">
      <c r="A2072" s="122" t="s">
        <v>24</v>
      </c>
      <c r="B2072" s="122"/>
      <c r="C2072" s="122"/>
      <c r="D2072" s="42">
        <v>2</v>
      </c>
      <c r="E2072" s="117" t="s">
        <v>40</v>
      </c>
      <c r="F2072" s="117"/>
      <c r="G2072" s="117"/>
      <c r="H2072" s="42">
        <v>14</v>
      </c>
      <c r="I2072" s="118" t="s">
        <v>27</v>
      </c>
      <c r="J2072" s="118"/>
      <c r="K2072" s="118" t="s">
        <v>21</v>
      </c>
      <c r="L2072" s="118"/>
      <c r="M2072" s="118"/>
    </row>
    <row r="2073" spans="1:13" ht="45">
      <c r="A2073" s="3" t="s">
        <v>9</v>
      </c>
      <c r="B2073" s="3" t="s">
        <v>10</v>
      </c>
      <c r="C2073" s="3" t="s">
        <v>11</v>
      </c>
      <c r="D2073" s="3" t="s">
        <v>3</v>
      </c>
      <c r="E2073" s="4" t="s">
        <v>41</v>
      </c>
      <c r="F2073" s="4" t="s">
        <v>12</v>
      </c>
      <c r="G2073" s="3" t="s">
        <v>13</v>
      </c>
      <c r="H2073" s="3" t="s">
        <v>14</v>
      </c>
      <c r="I2073" s="3" t="s">
        <v>15</v>
      </c>
      <c r="J2073" s="3" t="s">
        <v>16</v>
      </c>
      <c r="K2073" s="3" t="s">
        <v>17</v>
      </c>
      <c r="L2073" s="3" t="s">
        <v>18</v>
      </c>
      <c r="M2073" s="3" t="s">
        <v>19</v>
      </c>
    </row>
    <row r="2074" spans="1:13">
      <c r="A2074" s="18">
        <v>1</v>
      </c>
      <c r="B2074" s="19">
        <v>0</v>
      </c>
      <c r="C2074" s="18"/>
      <c r="D2074" s="18">
        <v>1</v>
      </c>
      <c r="E2074" s="20">
        <v>11500</v>
      </c>
      <c r="F2074" s="20">
        <v>77</v>
      </c>
      <c r="G2074" s="18"/>
      <c r="H2074" s="18">
        <v>1</v>
      </c>
      <c r="I2074" s="21" t="s">
        <v>351</v>
      </c>
      <c r="J2074" s="18">
        <v>1</v>
      </c>
      <c r="K2074" s="18">
        <v>8135</v>
      </c>
      <c r="L2074" s="22"/>
      <c r="M2074" s="18"/>
    </row>
    <row r="2075" spans="1:13">
      <c r="A2075" s="18"/>
      <c r="B2075" s="18"/>
      <c r="C2075" s="18"/>
      <c r="D2075" s="18"/>
      <c r="E2075" s="20"/>
      <c r="F2075" s="20"/>
      <c r="G2075" s="18"/>
      <c r="H2075" s="18">
        <v>1</v>
      </c>
      <c r="I2075" s="21" t="s">
        <v>347</v>
      </c>
      <c r="J2075" s="18">
        <v>1</v>
      </c>
      <c r="K2075" s="18">
        <v>622</v>
      </c>
      <c r="L2075" s="22"/>
      <c r="M2075" s="20"/>
    </row>
    <row r="2076" spans="1:13">
      <c r="A2076" s="18"/>
      <c r="B2076" s="24"/>
      <c r="C2076" s="18"/>
      <c r="D2076" s="18"/>
      <c r="E2076" s="20"/>
      <c r="F2076" s="20"/>
      <c r="G2076" s="18"/>
      <c r="H2076" s="18">
        <v>1</v>
      </c>
      <c r="I2076" s="21" t="s">
        <v>346</v>
      </c>
      <c r="J2076" s="18">
        <v>1</v>
      </c>
      <c r="K2076" s="18">
        <v>513</v>
      </c>
      <c r="L2076" s="22"/>
      <c r="M2076" s="18"/>
    </row>
    <row r="2077" spans="1:13">
      <c r="A2077" s="55"/>
      <c r="B2077" s="56"/>
      <c r="C2077" s="55"/>
      <c r="D2077" s="55"/>
      <c r="E2077" s="57"/>
      <c r="F2077" s="57"/>
      <c r="G2077" s="55"/>
      <c r="H2077" s="55">
        <v>1</v>
      </c>
      <c r="I2077" s="21" t="s">
        <v>353</v>
      </c>
      <c r="J2077" s="18">
        <v>1</v>
      </c>
      <c r="K2077" s="18">
        <v>1234</v>
      </c>
      <c r="L2077" s="22"/>
      <c r="M2077" s="55"/>
    </row>
    <row r="2078" spans="1:13">
      <c r="A2078" s="55"/>
      <c r="B2078" s="56"/>
      <c r="C2078" s="55"/>
      <c r="D2078" s="55"/>
      <c r="E2078" s="57"/>
      <c r="F2078" s="57"/>
      <c r="G2078" s="55"/>
      <c r="H2078" s="55">
        <v>1</v>
      </c>
      <c r="I2078" s="21" t="s">
        <v>348</v>
      </c>
      <c r="J2078" s="18">
        <v>1</v>
      </c>
      <c r="K2078" s="18">
        <v>615</v>
      </c>
      <c r="L2078" s="22"/>
      <c r="M2078" s="55"/>
    </row>
    <row r="2079" spans="1:13">
      <c r="A2079" s="55"/>
      <c r="B2079" s="56"/>
      <c r="C2079" s="55"/>
      <c r="D2079" s="55"/>
      <c r="E2079" s="57"/>
      <c r="F2079" s="57"/>
      <c r="G2079" s="55"/>
      <c r="H2079" s="55">
        <v>1</v>
      </c>
      <c r="I2079" s="21" t="s">
        <v>341</v>
      </c>
      <c r="J2079" s="18">
        <v>1</v>
      </c>
      <c r="K2079" s="18">
        <v>148</v>
      </c>
      <c r="L2079" s="22"/>
      <c r="M2079" s="55"/>
    </row>
    <row r="2080" spans="1:13">
      <c r="A2080" s="18">
        <v>2</v>
      </c>
      <c r="B2080" s="18">
        <v>0</v>
      </c>
      <c r="C2080" s="18"/>
      <c r="D2080" s="18">
        <v>1</v>
      </c>
      <c r="E2080" s="20">
        <v>11500</v>
      </c>
      <c r="F2080" s="20">
        <v>4137</v>
      </c>
      <c r="G2080" s="18"/>
      <c r="H2080" s="18">
        <v>1</v>
      </c>
      <c r="I2080" s="21" t="s">
        <v>354</v>
      </c>
      <c r="J2080" s="18">
        <v>1</v>
      </c>
      <c r="K2080" s="18">
        <v>1853</v>
      </c>
      <c r="L2080" s="22"/>
      <c r="M2080" s="20"/>
    </row>
    <row r="2081" spans="1:13">
      <c r="A2081" s="18"/>
      <c r="B2081" s="24"/>
      <c r="C2081" s="18"/>
      <c r="D2081" s="18"/>
      <c r="E2081" s="20"/>
      <c r="F2081" s="20"/>
      <c r="G2081" s="18"/>
      <c r="H2081" s="18">
        <v>1</v>
      </c>
      <c r="I2081" s="21" t="s">
        <v>349</v>
      </c>
      <c r="J2081" s="18">
        <v>1</v>
      </c>
      <c r="K2081" s="18">
        <v>1823</v>
      </c>
      <c r="L2081" s="22"/>
      <c r="M2081" s="18"/>
    </row>
    <row r="2082" spans="1:13">
      <c r="A2082" s="18"/>
      <c r="B2082" s="18"/>
      <c r="C2082" s="18"/>
      <c r="D2082" s="18"/>
      <c r="E2082" s="20"/>
      <c r="F2082" s="20"/>
      <c r="G2082" s="18"/>
      <c r="H2082" s="18">
        <v>1</v>
      </c>
      <c r="I2082" s="21" t="s">
        <v>352</v>
      </c>
      <c r="J2082" s="18">
        <v>1</v>
      </c>
      <c r="K2082" s="18">
        <v>1488</v>
      </c>
      <c r="L2082" s="22"/>
      <c r="M2082" s="18"/>
    </row>
    <row r="2083" spans="1:13">
      <c r="A2083" s="18"/>
      <c r="B2083" s="18"/>
      <c r="C2083" s="18"/>
      <c r="D2083" s="18"/>
      <c r="E2083" s="20"/>
      <c r="F2083" s="20"/>
      <c r="G2083" s="18"/>
      <c r="H2083" s="18">
        <v>1</v>
      </c>
      <c r="I2083" s="21" t="s">
        <v>350</v>
      </c>
      <c r="J2083" s="18">
        <v>1</v>
      </c>
      <c r="K2083" s="18">
        <v>1344</v>
      </c>
      <c r="L2083" s="22"/>
      <c r="M2083" s="18"/>
    </row>
    <row r="2084" spans="1:13">
      <c r="A2084" s="18"/>
      <c r="B2084" s="18"/>
      <c r="C2084" s="18"/>
      <c r="D2084" s="18"/>
      <c r="E2084" s="20"/>
      <c r="F2084" s="20"/>
      <c r="G2084" s="18"/>
      <c r="H2084" s="18">
        <v>1</v>
      </c>
      <c r="I2084" s="21" t="s">
        <v>343</v>
      </c>
      <c r="J2084" s="18">
        <v>1</v>
      </c>
      <c r="K2084" s="18">
        <v>203</v>
      </c>
      <c r="L2084" s="22"/>
      <c r="M2084" s="18"/>
    </row>
    <row r="2085" spans="1:13">
      <c r="A2085" s="18"/>
      <c r="B2085" s="18"/>
      <c r="C2085" s="18"/>
      <c r="D2085" s="18"/>
      <c r="E2085" s="20"/>
      <c r="F2085" s="20"/>
      <c r="G2085" s="18"/>
      <c r="H2085" s="18">
        <v>1</v>
      </c>
      <c r="I2085" s="21" t="s">
        <v>345</v>
      </c>
      <c r="J2085" s="18">
        <v>1</v>
      </c>
      <c r="K2085" s="18">
        <v>148</v>
      </c>
      <c r="L2085" s="22"/>
      <c r="M2085" s="18"/>
    </row>
    <row r="2086" spans="1:13">
      <c r="A2086" s="5"/>
      <c r="B2086" s="5"/>
      <c r="C2086" s="5"/>
      <c r="D2086" s="5"/>
      <c r="E2086" s="6"/>
      <c r="F2086" s="6"/>
      <c r="G2086" s="5"/>
      <c r="H2086" s="5">
        <v>1</v>
      </c>
      <c r="I2086" s="7" t="s">
        <v>344</v>
      </c>
      <c r="J2086" s="5">
        <v>1</v>
      </c>
      <c r="K2086" s="5">
        <v>148</v>
      </c>
      <c r="L2086" s="22"/>
      <c r="M2086" s="5"/>
    </row>
    <row r="2087" spans="1:13">
      <c r="A2087" s="5"/>
      <c r="B2087" s="5"/>
      <c r="C2087" s="5"/>
      <c r="D2087" s="5"/>
      <c r="E2087" s="6"/>
      <c r="F2087" s="6"/>
      <c r="G2087" s="5"/>
      <c r="H2087" s="5">
        <v>1</v>
      </c>
      <c r="I2087" s="7" t="s">
        <v>342</v>
      </c>
      <c r="J2087" s="5">
        <v>1</v>
      </c>
      <c r="K2087" s="5">
        <v>148</v>
      </c>
      <c r="L2087" s="22"/>
      <c r="M2087" s="18"/>
    </row>
    <row r="2088" spans="1:13">
      <c r="A2088" s="5"/>
      <c r="B2088" s="5"/>
      <c r="C2088" s="5"/>
      <c r="D2088" s="5"/>
      <c r="E2088" s="6"/>
      <c r="F2088" s="6"/>
      <c r="G2088" s="5"/>
      <c r="H2088" s="5"/>
      <c r="I2088" s="7"/>
      <c r="J2088" s="5"/>
      <c r="K2088" s="5"/>
      <c r="L2088" s="8"/>
      <c r="M2088" s="5"/>
    </row>
    <row r="2089" spans="1:13">
      <c r="A2089" s="117" t="s">
        <v>4</v>
      </c>
      <c r="B2089" s="117"/>
      <c r="C2089" s="117"/>
      <c r="D2089" s="117"/>
      <c r="E2089" s="117"/>
      <c r="F2089" s="117"/>
      <c r="G2089" s="117"/>
      <c r="H2089" s="117"/>
      <c r="I2089" s="118" t="s">
        <v>8</v>
      </c>
      <c r="J2089" s="118"/>
      <c r="K2089" s="89" t="s">
        <v>70</v>
      </c>
      <c r="L2089" s="119"/>
      <c r="M2089" s="120"/>
    </row>
    <row r="2090" spans="1:13">
      <c r="A2090" s="117"/>
      <c r="B2090" s="117"/>
      <c r="C2090" s="117"/>
      <c r="D2090" s="117"/>
      <c r="E2090" s="117"/>
      <c r="F2090" s="117"/>
      <c r="G2090" s="117"/>
      <c r="H2090" s="117"/>
      <c r="I2090" s="118" t="s">
        <v>25</v>
      </c>
      <c r="J2090" s="118"/>
      <c r="K2090" s="121" t="s">
        <v>291</v>
      </c>
      <c r="L2090" s="118"/>
      <c r="M2090" s="118"/>
    </row>
    <row r="2091" spans="1:13">
      <c r="A2091" s="117"/>
      <c r="B2091" s="117"/>
      <c r="C2091" s="117"/>
      <c r="D2091" s="117"/>
      <c r="E2091" s="117"/>
      <c r="F2091" s="117"/>
      <c r="G2091" s="117"/>
      <c r="H2091" s="117"/>
      <c r="I2091" s="87" t="s">
        <v>26</v>
      </c>
      <c r="J2091" s="88"/>
      <c r="K2091" s="95" t="s">
        <v>338</v>
      </c>
      <c r="L2091" s="104"/>
      <c r="M2091" s="88"/>
    </row>
    <row r="2092" spans="1:13">
      <c r="A2092" s="118" t="s">
        <v>31</v>
      </c>
      <c r="B2092" s="118"/>
      <c r="C2092" s="118" t="s">
        <v>32</v>
      </c>
      <c r="D2092" s="118"/>
      <c r="E2092" s="118"/>
      <c r="F2092" s="118"/>
      <c r="G2092" s="118"/>
      <c r="H2092" s="118"/>
      <c r="I2092" s="40" t="s">
        <v>29</v>
      </c>
      <c r="J2092" s="41"/>
      <c r="K2092" s="118" t="s">
        <v>340</v>
      </c>
      <c r="L2092" s="118"/>
      <c r="M2092" s="118"/>
    </row>
    <row r="2093" spans="1:13">
      <c r="A2093" s="118"/>
      <c r="B2093" s="118"/>
      <c r="C2093" s="118"/>
      <c r="D2093" s="118"/>
      <c r="E2093" s="118"/>
      <c r="F2093" s="118"/>
      <c r="G2093" s="118"/>
      <c r="H2093" s="118"/>
      <c r="I2093" s="118" t="s">
        <v>30</v>
      </c>
      <c r="J2093" s="118"/>
      <c r="K2093" s="118" t="s">
        <v>339</v>
      </c>
      <c r="L2093" s="118"/>
      <c r="M2093" s="118"/>
    </row>
    <row r="2094" spans="1:13">
      <c r="A2094" s="122" t="s">
        <v>24</v>
      </c>
      <c r="B2094" s="122"/>
      <c r="C2094" s="122"/>
      <c r="D2094" s="42">
        <v>10</v>
      </c>
      <c r="E2094" s="117" t="s">
        <v>40</v>
      </c>
      <c r="F2094" s="117"/>
      <c r="G2094" s="117"/>
      <c r="H2094" s="42">
        <v>45</v>
      </c>
      <c r="I2094" s="118" t="s">
        <v>27</v>
      </c>
      <c r="J2094" s="118"/>
      <c r="K2094" s="118" t="s">
        <v>21</v>
      </c>
      <c r="L2094" s="118"/>
      <c r="M2094" s="118"/>
    </row>
    <row r="2095" spans="1:13" ht="45">
      <c r="A2095" s="3" t="s">
        <v>9</v>
      </c>
      <c r="B2095" s="3" t="s">
        <v>10</v>
      </c>
      <c r="C2095" s="3" t="s">
        <v>11</v>
      </c>
      <c r="D2095" s="3" t="s">
        <v>3</v>
      </c>
      <c r="E2095" s="4" t="s">
        <v>41</v>
      </c>
      <c r="F2095" s="4" t="s">
        <v>12</v>
      </c>
      <c r="G2095" s="3" t="s">
        <v>13</v>
      </c>
      <c r="H2095" s="3" t="s">
        <v>14</v>
      </c>
      <c r="I2095" s="3" t="s">
        <v>15</v>
      </c>
      <c r="J2095" s="3" t="s">
        <v>16</v>
      </c>
      <c r="K2095" s="3" t="s">
        <v>17</v>
      </c>
      <c r="L2095" s="3" t="s">
        <v>18</v>
      </c>
      <c r="M2095" s="3" t="s">
        <v>19</v>
      </c>
    </row>
    <row r="2096" spans="1:13">
      <c r="A2096" s="18">
        <v>1</v>
      </c>
      <c r="B2096" s="19">
        <v>0</v>
      </c>
      <c r="C2096" s="18"/>
      <c r="D2096" s="18">
        <v>1</v>
      </c>
      <c r="E2096" s="20">
        <v>11500</v>
      </c>
      <c r="F2096" s="20">
        <v>10615</v>
      </c>
      <c r="G2096" s="18"/>
      <c r="H2096" s="18">
        <v>1</v>
      </c>
      <c r="I2096" s="21" t="s">
        <v>336</v>
      </c>
      <c r="J2096" s="18">
        <v>1</v>
      </c>
      <c r="K2096" s="18">
        <v>409</v>
      </c>
      <c r="L2096" s="22"/>
      <c r="M2096" s="18"/>
    </row>
    <row r="2097" spans="1:13">
      <c r="A2097" s="18"/>
      <c r="B2097" s="18"/>
      <c r="C2097" s="18"/>
      <c r="D2097" s="18"/>
      <c r="E2097" s="20"/>
      <c r="F2097" s="20"/>
      <c r="G2097" s="18"/>
      <c r="H2097" s="18">
        <v>1</v>
      </c>
      <c r="I2097" s="21" t="s">
        <v>327</v>
      </c>
      <c r="J2097" s="18">
        <v>1</v>
      </c>
      <c r="K2097" s="18">
        <v>199</v>
      </c>
      <c r="L2097" s="22"/>
      <c r="M2097" s="18"/>
    </row>
    <row r="2098" spans="1:13">
      <c r="A2098" s="18"/>
      <c r="B2098" s="18"/>
      <c r="C2098" s="18"/>
      <c r="D2098" s="18"/>
      <c r="E2098" s="20"/>
      <c r="F2098" s="20"/>
      <c r="G2098" s="18"/>
      <c r="H2098" s="18">
        <v>1</v>
      </c>
      <c r="I2098" s="21" t="s">
        <v>325</v>
      </c>
      <c r="J2098" s="18">
        <v>1</v>
      </c>
      <c r="K2098" s="18">
        <v>199</v>
      </c>
      <c r="L2098" s="22"/>
      <c r="M2098" s="18"/>
    </row>
    <row r="2099" spans="1:13">
      <c r="A2099" s="18">
        <v>2</v>
      </c>
      <c r="B2099" s="24">
        <v>0</v>
      </c>
      <c r="C2099" s="18"/>
      <c r="D2099" s="18">
        <v>1</v>
      </c>
      <c r="E2099" s="20">
        <v>11500</v>
      </c>
      <c r="F2099" s="20">
        <v>21</v>
      </c>
      <c r="G2099" s="18"/>
      <c r="H2099" s="18">
        <v>1</v>
      </c>
      <c r="I2099" s="21" t="s">
        <v>337</v>
      </c>
      <c r="J2099" s="18">
        <v>1</v>
      </c>
      <c r="K2099" s="18">
        <v>3115</v>
      </c>
      <c r="L2099" s="22"/>
      <c r="M2099" s="18"/>
    </row>
    <row r="2100" spans="1:13">
      <c r="A2100" s="18"/>
      <c r="B2100" s="18"/>
      <c r="C2100" s="18"/>
      <c r="D2100" s="18"/>
      <c r="E2100" s="20"/>
      <c r="F2100" s="20"/>
      <c r="G2100" s="18"/>
      <c r="H2100" s="18">
        <v>1</v>
      </c>
      <c r="I2100" s="21" t="s">
        <v>326</v>
      </c>
      <c r="J2100" s="18">
        <v>1</v>
      </c>
      <c r="K2100" s="18">
        <v>2777</v>
      </c>
      <c r="L2100" s="22"/>
      <c r="M2100" s="18"/>
    </row>
    <row r="2101" spans="1:13">
      <c r="A2101" s="18"/>
      <c r="B2101" s="24"/>
      <c r="C2101" s="18"/>
      <c r="D2101" s="18"/>
      <c r="E2101" s="20"/>
      <c r="F2101" s="20"/>
      <c r="G2101" s="18"/>
      <c r="H2101" s="18">
        <v>1</v>
      </c>
      <c r="I2101" s="21" t="s">
        <v>304</v>
      </c>
      <c r="J2101" s="18">
        <v>1</v>
      </c>
      <c r="K2101" s="18">
        <v>2202</v>
      </c>
      <c r="L2101" s="22"/>
      <c r="M2101" s="18"/>
    </row>
    <row r="2102" spans="1:13">
      <c r="A2102" s="18"/>
      <c r="B2102" s="19"/>
      <c r="C2102" s="18"/>
      <c r="D2102" s="18"/>
      <c r="E2102" s="20"/>
      <c r="F2102" s="20"/>
      <c r="G2102" s="18"/>
      <c r="H2102" s="18">
        <v>1</v>
      </c>
      <c r="I2102" s="21" t="s">
        <v>303</v>
      </c>
      <c r="J2102" s="18">
        <v>1</v>
      </c>
      <c r="K2102" s="18">
        <v>2202</v>
      </c>
      <c r="L2102" s="22"/>
      <c r="M2102" s="18"/>
    </row>
    <row r="2103" spans="1:13">
      <c r="A2103" s="18"/>
      <c r="B2103" s="18"/>
      <c r="C2103" s="18"/>
      <c r="D2103" s="18"/>
      <c r="E2103" s="20"/>
      <c r="F2103" s="20"/>
      <c r="G2103" s="18"/>
      <c r="H2103" s="18">
        <v>1</v>
      </c>
      <c r="I2103" s="21" t="s">
        <v>316</v>
      </c>
      <c r="J2103" s="18">
        <v>1</v>
      </c>
      <c r="K2103" s="18">
        <v>828</v>
      </c>
      <c r="L2103" s="22"/>
      <c r="M2103" s="18"/>
    </row>
    <row r="2104" spans="1:13">
      <c r="A2104" s="18"/>
      <c r="B2104" s="18"/>
      <c r="C2104" s="18"/>
      <c r="D2104" s="18"/>
      <c r="E2104" s="20"/>
      <c r="F2104" s="20"/>
      <c r="G2104" s="18"/>
      <c r="H2104" s="18">
        <v>1</v>
      </c>
      <c r="I2104" s="21" t="s">
        <v>333</v>
      </c>
      <c r="J2104" s="18">
        <v>1</v>
      </c>
      <c r="K2104" s="18">
        <v>199</v>
      </c>
      <c r="L2104" s="22"/>
      <c r="M2104" s="18"/>
    </row>
    <row r="2105" spans="1:13">
      <c r="A2105" s="18">
        <v>3</v>
      </c>
      <c r="B2105" s="18">
        <v>0</v>
      </c>
      <c r="C2105" s="18"/>
      <c r="D2105" s="18">
        <v>1</v>
      </c>
      <c r="E2105" s="20">
        <v>11500</v>
      </c>
      <c r="F2105" s="20">
        <v>84</v>
      </c>
      <c r="G2105" s="18"/>
      <c r="H2105" s="18">
        <v>1</v>
      </c>
      <c r="I2105" s="21" t="s">
        <v>334</v>
      </c>
      <c r="J2105" s="18">
        <v>1</v>
      </c>
      <c r="K2105" s="18">
        <v>2643</v>
      </c>
      <c r="L2105" s="22"/>
      <c r="M2105" s="18"/>
    </row>
    <row r="2106" spans="1:13">
      <c r="A2106" s="18"/>
      <c r="B2106" s="18"/>
      <c r="C2106" s="18"/>
      <c r="D2106" s="18"/>
      <c r="E2106" s="20"/>
      <c r="F2106" s="20"/>
      <c r="G2106" s="18"/>
      <c r="H2106" s="18">
        <v>1</v>
      </c>
      <c r="I2106" s="21" t="s">
        <v>332</v>
      </c>
      <c r="J2106" s="18">
        <v>1</v>
      </c>
      <c r="K2106" s="18">
        <v>2643</v>
      </c>
      <c r="L2106" s="22"/>
      <c r="M2106" s="18"/>
    </row>
    <row r="2107" spans="1:13">
      <c r="A2107" s="18"/>
      <c r="B2107" s="18"/>
      <c r="C2107" s="18"/>
      <c r="D2107" s="18"/>
      <c r="E2107" s="20"/>
      <c r="F2107" s="20"/>
      <c r="G2107" s="18"/>
      <c r="H2107" s="18">
        <v>1</v>
      </c>
      <c r="I2107" s="21" t="s">
        <v>330</v>
      </c>
      <c r="J2107" s="18">
        <v>1</v>
      </c>
      <c r="K2107" s="18">
        <v>2643</v>
      </c>
      <c r="L2107" s="22"/>
      <c r="M2107" s="18"/>
    </row>
    <row r="2108" spans="1:13">
      <c r="A2108" s="18"/>
      <c r="B2108" s="18"/>
      <c r="C2108" s="18"/>
      <c r="D2108" s="18"/>
      <c r="E2108" s="20"/>
      <c r="F2108" s="20"/>
      <c r="G2108" s="18"/>
      <c r="H2108" s="18">
        <v>1</v>
      </c>
      <c r="I2108" s="21" t="s">
        <v>328</v>
      </c>
      <c r="J2108" s="18">
        <v>1</v>
      </c>
      <c r="K2108" s="18">
        <v>2643</v>
      </c>
      <c r="L2108" s="22"/>
      <c r="M2108" s="18"/>
    </row>
    <row r="2109" spans="1:13">
      <c r="A2109" s="18"/>
      <c r="B2109" s="18"/>
      <c r="C2109" s="18"/>
      <c r="D2109" s="18"/>
      <c r="E2109" s="20"/>
      <c r="F2109" s="20"/>
      <c r="G2109" s="18"/>
      <c r="H2109" s="18">
        <v>1</v>
      </c>
      <c r="I2109" s="21" t="s">
        <v>335</v>
      </c>
      <c r="J2109" s="18">
        <v>1</v>
      </c>
      <c r="K2109" s="18">
        <v>714</v>
      </c>
      <c r="L2109" s="22"/>
      <c r="M2109" s="18"/>
    </row>
    <row r="2110" spans="1:13">
      <c r="A2110" s="18">
        <v>4</v>
      </c>
      <c r="B2110" s="18">
        <v>0</v>
      </c>
      <c r="C2110" s="18"/>
      <c r="D2110" s="18">
        <v>1</v>
      </c>
      <c r="E2110" s="20">
        <v>11500</v>
      </c>
      <c r="F2110" s="20">
        <v>162</v>
      </c>
      <c r="G2110" s="18"/>
      <c r="H2110" s="18">
        <v>1</v>
      </c>
      <c r="I2110" s="21" t="s">
        <v>297</v>
      </c>
      <c r="J2110" s="18">
        <v>1</v>
      </c>
      <c r="K2110" s="18">
        <v>2202</v>
      </c>
      <c r="L2110" s="22"/>
      <c r="M2110" s="18"/>
    </row>
    <row r="2111" spans="1:13">
      <c r="A2111" s="5"/>
      <c r="B2111" s="5"/>
      <c r="C2111" s="5"/>
      <c r="D2111" s="5"/>
      <c r="E2111" s="6"/>
      <c r="F2111" s="6"/>
      <c r="G2111" s="5"/>
      <c r="H2111" s="5">
        <v>1</v>
      </c>
      <c r="I2111" s="7" t="s">
        <v>296</v>
      </c>
      <c r="J2111" s="5">
        <v>1</v>
      </c>
      <c r="K2111" s="5">
        <v>2202</v>
      </c>
      <c r="L2111" s="8"/>
      <c r="M2111" s="5"/>
    </row>
    <row r="2112" spans="1:13">
      <c r="A2112" s="5"/>
      <c r="B2112" s="5"/>
      <c r="C2112" s="5"/>
      <c r="D2112" s="5"/>
      <c r="E2112" s="6"/>
      <c r="F2112" s="6"/>
      <c r="G2112" s="5"/>
      <c r="H2112" s="5">
        <v>1</v>
      </c>
      <c r="I2112" s="7" t="s">
        <v>295</v>
      </c>
      <c r="J2112" s="5">
        <v>1</v>
      </c>
      <c r="K2112" s="5">
        <v>2202</v>
      </c>
      <c r="L2112" s="8"/>
      <c r="M2112" s="18"/>
    </row>
    <row r="2113" spans="1:13">
      <c r="A2113" s="5"/>
      <c r="B2113" s="5"/>
      <c r="C2113" s="5"/>
      <c r="D2113" s="5"/>
      <c r="E2113" s="6"/>
      <c r="F2113" s="6"/>
      <c r="G2113" s="5"/>
      <c r="H2113" s="5">
        <v>1</v>
      </c>
      <c r="I2113" s="7" t="s">
        <v>294</v>
      </c>
      <c r="J2113" s="5">
        <v>1</v>
      </c>
      <c r="K2113" s="5">
        <v>2202</v>
      </c>
      <c r="L2113" s="8"/>
      <c r="M2113" s="5"/>
    </row>
    <row r="2114" spans="1:13">
      <c r="A2114" s="5"/>
      <c r="B2114" s="5"/>
      <c r="C2114" s="5"/>
      <c r="D2114" s="5"/>
      <c r="E2114" s="6"/>
      <c r="F2114" s="6"/>
      <c r="G2114" s="5"/>
      <c r="H2114" s="5">
        <v>1</v>
      </c>
      <c r="I2114" s="7" t="s">
        <v>321</v>
      </c>
      <c r="J2114" s="5">
        <v>1</v>
      </c>
      <c r="K2114" s="5">
        <v>700</v>
      </c>
      <c r="L2114" s="8"/>
      <c r="M2114" s="5"/>
    </row>
    <row r="2115" spans="1:13">
      <c r="A2115" s="5"/>
      <c r="B2115" s="5"/>
      <c r="C2115" s="5"/>
      <c r="D2115" s="5"/>
      <c r="E2115" s="6"/>
      <c r="F2115" s="6"/>
      <c r="G2115" s="5"/>
      <c r="H2115" s="5">
        <v>1</v>
      </c>
      <c r="I2115" s="7" t="s">
        <v>323</v>
      </c>
      <c r="J2115" s="5">
        <v>1</v>
      </c>
      <c r="K2115" s="5">
        <v>495</v>
      </c>
      <c r="L2115" s="8"/>
      <c r="M2115" s="5"/>
    </row>
    <row r="2116" spans="1:13">
      <c r="A2116" s="5"/>
      <c r="B2116" s="5"/>
      <c r="C2116" s="5"/>
      <c r="D2116" s="5"/>
      <c r="E2116" s="6"/>
      <c r="F2116" s="6"/>
      <c r="G2116" s="5"/>
      <c r="H2116" s="5">
        <v>1</v>
      </c>
      <c r="I2116" s="7" t="s">
        <v>317</v>
      </c>
      <c r="J2116" s="5">
        <v>1</v>
      </c>
      <c r="K2116" s="5">
        <v>466</v>
      </c>
      <c r="L2116" s="8"/>
      <c r="M2116" s="5"/>
    </row>
    <row r="2117" spans="1:13">
      <c r="A2117" s="5"/>
      <c r="B2117" s="5"/>
      <c r="C2117" s="5"/>
      <c r="D2117" s="5"/>
      <c r="E2117" s="6"/>
      <c r="F2117" s="6"/>
      <c r="G2117" s="5"/>
      <c r="H2117" s="5">
        <v>1</v>
      </c>
      <c r="I2117" s="7" t="s">
        <v>322</v>
      </c>
      <c r="J2117" s="5">
        <v>1</v>
      </c>
      <c r="K2117" s="5">
        <v>436</v>
      </c>
      <c r="L2117" s="8"/>
      <c r="M2117" s="5"/>
    </row>
    <row r="2118" spans="1:13">
      <c r="A2118" s="5"/>
      <c r="B2118" s="5"/>
      <c r="C2118" s="5"/>
      <c r="D2118" s="5"/>
      <c r="E2118" s="6"/>
      <c r="F2118" s="6"/>
      <c r="G2118" s="5"/>
      <c r="H2118" s="5">
        <v>1</v>
      </c>
      <c r="I2118" s="7" t="s">
        <v>329</v>
      </c>
      <c r="J2118" s="5">
        <v>1</v>
      </c>
      <c r="K2118" s="5">
        <v>199</v>
      </c>
      <c r="L2118" s="8"/>
      <c r="M2118" s="5"/>
    </row>
    <row r="2119" spans="1:13">
      <c r="A2119" s="5">
        <v>5</v>
      </c>
      <c r="B2119" s="5">
        <v>0</v>
      </c>
      <c r="C2119" s="5"/>
      <c r="D2119" s="5">
        <v>1</v>
      </c>
      <c r="E2119" s="6">
        <v>11500</v>
      </c>
      <c r="F2119" s="6">
        <v>135</v>
      </c>
      <c r="G2119" s="5"/>
      <c r="H2119" s="5">
        <v>1</v>
      </c>
      <c r="I2119" s="7" t="s">
        <v>302</v>
      </c>
      <c r="J2119" s="5">
        <v>1</v>
      </c>
      <c r="K2119" s="5">
        <v>2202</v>
      </c>
      <c r="L2119" s="8"/>
      <c r="M2119" s="5"/>
    </row>
    <row r="2120" spans="1:13">
      <c r="A2120" s="5"/>
      <c r="B2120" s="5"/>
      <c r="C2120" s="5"/>
      <c r="D2120" s="5"/>
      <c r="E2120" s="6"/>
      <c r="F2120" s="6"/>
      <c r="G2120" s="5"/>
      <c r="H2120" s="5">
        <v>1</v>
      </c>
      <c r="I2120" s="7" t="s">
        <v>301</v>
      </c>
      <c r="J2120" s="5">
        <v>1</v>
      </c>
      <c r="K2120" s="5">
        <v>2202</v>
      </c>
      <c r="L2120" s="8"/>
      <c r="M2120" s="5"/>
    </row>
    <row r="2121" spans="1:13">
      <c r="A2121" s="5"/>
      <c r="B2121" s="5"/>
      <c r="C2121" s="5"/>
      <c r="D2121" s="5"/>
      <c r="E2121" s="6"/>
      <c r="F2121" s="6"/>
      <c r="G2121" s="5"/>
      <c r="H2121" s="5">
        <v>1</v>
      </c>
      <c r="I2121" s="7" t="s">
        <v>300</v>
      </c>
      <c r="J2121" s="5">
        <v>1</v>
      </c>
      <c r="K2121" s="5">
        <v>2202</v>
      </c>
      <c r="L2121" s="8"/>
      <c r="M2121" s="5"/>
    </row>
    <row r="2122" spans="1:13">
      <c r="A2122" s="5"/>
      <c r="B2122" s="5"/>
      <c r="C2122" s="5"/>
      <c r="D2122" s="5"/>
      <c r="E2122" s="6"/>
      <c r="F2122" s="6"/>
      <c r="G2122" s="5"/>
      <c r="H2122" s="5">
        <v>1</v>
      </c>
      <c r="I2122" s="7" t="s">
        <v>299</v>
      </c>
      <c r="J2122" s="5">
        <v>1</v>
      </c>
      <c r="K2122" s="5">
        <v>2202</v>
      </c>
      <c r="L2122" s="8"/>
      <c r="M2122" s="5"/>
    </row>
    <row r="2123" spans="1:13">
      <c r="A2123" s="5"/>
      <c r="B2123" s="5"/>
      <c r="C2123" s="5"/>
      <c r="D2123" s="5"/>
      <c r="E2123" s="6"/>
      <c r="F2123" s="6"/>
      <c r="G2123" s="5"/>
      <c r="H2123" s="5">
        <v>1</v>
      </c>
      <c r="I2123" s="7" t="s">
        <v>298</v>
      </c>
      <c r="J2123" s="5">
        <v>1</v>
      </c>
      <c r="K2123" s="5">
        <v>2202</v>
      </c>
      <c r="L2123" s="8"/>
      <c r="M2123" s="5"/>
    </row>
    <row r="2124" spans="1:13">
      <c r="A2124" s="5"/>
      <c r="B2124" s="5"/>
      <c r="C2124" s="5"/>
      <c r="D2124" s="5"/>
      <c r="E2124" s="6"/>
      <c r="F2124" s="6"/>
      <c r="G2124" s="5"/>
      <c r="H2124" s="5">
        <v>1</v>
      </c>
      <c r="I2124" s="7" t="s">
        <v>331</v>
      </c>
      <c r="J2124" s="5">
        <v>1</v>
      </c>
      <c r="K2124" s="5">
        <v>199</v>
      </c>
      <c r="L2124" s="8"/>
      <c r="M2124" s="5"/>
    </row>
    <row r="2125" spans="1:13">
      <c r="A2125" s="5">
        <v>6</v>
      </c>
      <c r="B2125" s="5">
        <v>0</v>
      </c>
      <c r="C2125" s="5"/>
      <c r="D2125" s="5">
        <v>1</v>
      </c>
      <c r="E2125" s="6">
        <v>11500</v>
      </c>
      <c r="F2125" s="6">
        <v>60</v>
      </c>
      <c r="G2125" s="5"/>
      <c r="H2125" s="5">
        <v>1</v>
      </c>
      <c r="I2125" s="7" t="s">
        <v>307</v>
      </c>
      <c r="J2125" s="5">
        <v>1</v>
      </c>
      <c r="K2125" s="5">
        <v>2202</v>
      </c>
      <c r="L2125" s="8"/>
      <c r="M2125" s="5"/>
    </row>
    <row r="2126" spans="1:13">
      <c r="A2126" s="5"/>
      <c r="B2126" s="5"/>
      <c r="C2126" s="5"/>
      <c r="D2126" s="5"/>
      <c r="E2126" s="6"/>
      <c r="F2126" s="6"/>
      <c r="G2126" s="5"/>
      <c r="H2126" s="5">
        <v>1</v>
      </c>
      <c r="I2126" s="7" t="s">
        <v>306</v>
      </c>
      <c r="J2126" s="5">
        <v>1</v>
      </c>
      <c r="K2126" s="5">
        <v>2202</v>
      </c>
      <c r="L2126" s="8"/>
      <c r="M2126" s="5"/>
    </row>
    <row r="2127" spans="1:13">
      <c r="A2127" s="5"/>
      <c r="B2127" s="5"/>
      <c r="C2127" s="5"/>
      <c r="D2127" s="5"/>
      <c r="E2127" s="6"/>
      <c r="F2127" s="6"/>
      <c r="G2127" s="5"/>
      <c r="H2127" s="5">
        <v>1</v>
      </c>
      <c r="I2127" s="7" t="s">
        <v>305</v>
      </c>
      <c r="J2127" s="5">
        <v>1</v>
      </c>
      <c r="K2127" s="5">
        <v>2202</v>
      </c>
      <c r="L2127" s="8"/>
      <c r="M2127" s="5"/>
    </row>
    <row r="2128" spans="1:13">
      <c r="A2128" s="5"/>
      <c r="B2128" s="5"/>
      <c r="C2128" s="5"/>
      <c r="D2128" s="5"/>
      <c r="E2128" s="6"/>
      <c r="F2128" s="6"/>
      <c r="G2128" s="5"/>
      <c r="H2128" s="5">
        <v>1</v>
      </c>
      <c r="I2128" s="7" t="s">
        <v>319</v>
      </c>
      <c r="J2128" s="5">
        <v>1</v>
      </c>
      <c r="K2128" s="5">
        <v>1316</v>
      </c>
      <c r="L2128" s="8"/>
      <c r="M2128" s="5"/>
    </row>
    <row r="2129" spans="1:13">
      <c r="A2129" s="5"/>
      <c r="B2129" s="5"/>
      <c r="C2129" s="5"/>
      <c r="D2129" s="5"/>
      <c r="E2129" s="6"/>
      <c r="F2129" s="6"/>
      <c r="G2129" s="5"/>
      <c r="H2129" s="5">
        <v>1</v>
      </c>
      <c r="I2129" s="7" t="s">
        <v>320</v>
      </c>
      <c r="J2129" s="5">
        <v>1</v>
      </c>
      <c r="K2129" s="5">
        <v>1316</v>
      </c>
      <c r="L2129" s="8"/>
      <c r="M2129" s="5"/>
    </row>
    <row r="2130" spans="1:13">
      <c r="A2130" s="5"/>
      <c r="B2130" s="5"/>
      <c r="C2130" s="5"/>
      <c r="D2130" s="5"/>
      <c r="E2130" s="6"/>
      <c r="F2130" s="6"/>
      <c r="G2130" s="5"/>
      <c r="H2130" s="5">
        <v>1</v>
      </c>
      <c r="I2130" s="7" t="s">
        <v>293</v>
      </c>
      <c r="J2130" s="5">
        <v>1</v>
      </c>
      <c r="K2130" s="5">
        <v>1084</v>
      </c>
      <c r="L2130" s="8"/>
      <c r="M2130" s="5"/>
    </row>
    <row r="2131" spans="1:13">
      <c r="A2131" s="5"/>
      <c r="B2131" s="5"/>
      <c r="C2131" s="5"/>
      <c r="D2131" s="5"/>
      <c r="E2131" s="6"/>
      <c r="F2131" s="6"/>
      <c r="G2131" s="5"/>
      <c r="H2131" s="5">
        <v>1</v>
      </c>
      <c r="I2131" s="7" t="s">
        <v>318</v>
      </c>
      <c r="J2131" s="5">
        <v>1</v>
      </c>
      <c r="K2131" s="5">
        <v>936</v>
      </c>
      <c r="L2131" s="8"/>
      <c r="M2131" s="5"/>
    </row>
    <row r="2132" spans="1:13">
      <c r="A2132" s="5">
        <v>7</v>
      </c>
      <c r="B2132" s="5">
        <v>0</v>
      </c>
      <c r="C2132" s="5"/>
      <c r="D2132" s="5">
        <v>1</v>
      </c>
      <c r="E2132" s="6">
        <v>11500</v>
      </c>
      <c r="F2132" s="6">
        <v>20</v>
      </c>
      <c r="G2132" s="5"/>
      <c r="H2132" s="5">
        <v>1</v>
      </c>
      <c r="I2132" s="7" t="s">
        <v>312</v>
      </c>
      <c r="J2132" s="5">
        <v>1</v>
      </c>
      <c r="K2132" s="5">
        <v>2202</v>
      </c>
      <c r="L2132" s="8"/>
      <c r="M2132" s="5"/>
    </row>
    <row r="2133" spans="1:13">
      <c r="A2133" s="5"/>
      <c r="B2133" s="5"/>
      <c r="C2133" s="5"/>
      <c r="D2133" s="5"/>
      <c r="E2133" s="6"/>
      <c r="F2133" s="6"/>
      <c r="G2133" s="5"/>
      <c r="H2133" s="5">
        <v>1</v>
      </c>
      <c r="I2133" s="7" t="s">
        <v>311</v>
      </c>
      <c r="J2133" s="5">
        <v>1</v>
      </c>
      <c r="K2133" s="5">
        <v>2202</v>
      </c>
      <c r="L2133" s="8"/>
      <c r="M2133" s="5"/>
    </row>
    <row r="2134" spans="1:13">
      <c r="A2134" s="5"/>
      <c r="B2134" s="5"/>
      <c r="C2134" s="5"/>
      <c r="D2134" s="5"/>
      <c r="E2134" s="6"/>
      <c r="F2134" s="6"/>
      <c r="G2134" s="5"/>
      <c r="H2134" s="5">
        <v>1</v>
      </c>
      <c r="I2134" s="7" t="s">
        <v>310</v>
      </c>
      <c r="J2134" s="5">
        <v>1</v>
      </c>
      <c r="K2134" s="5">
        <v>2202</v>
      </c>
      <c r="L2134" s="8"/>
      <c r="M2134" s="5"/>
    </row>
    <row r="2135" spans="1:13">
      <c r="A2135" s="5"/>
      <c r="B2135" s="5"/>
      <c r="C2135" s="5"/>
      <c r="D2135" s="5"/>
      <c r="E2135" s="6"/>
      <c r="F2135" s="6"/>
      <c r="G2135" s="5"/>
      <c r="H2135" s="5">
        <v>1</v>
      </c>
      <c r="I2135" s="7" t="s">
        <v>309</v>
      </c>
      <c r="J2135" s="5">
        <v>1</v>
      </c>
      <c r="K2135" s="5">
        <v>2202</v>
      </c>
      <c r="L2135" s="8"/>
      <c r="M2135" s="5"/>
    </row>
    <row r="2136" spans="1:13">
      <c r="A2136" s="5"/>
      <c r="B2136" s="5"/>
      <c r="C2136" s="5"/>
      <c r="D2136" s="5"/>
      <c r="E2136" s="6"/>
      <c r="F2136" s="6"/>
      <c r="G2136" s="5"/>
      <c r="H2136" s="5">
        <v>1</v>
      </c>
      <c r="I2136" s="7" t="s">
        <v>308</v>
      </c>
      <c r="J2136" s="5">
        <v>1</v>
      </c>
      <c r="K2136" s="5">
        <v>2202</v>
      </c>
      <c r="L2136" s="8"/>
      <c r="M2136" s="5"/>
    </row>
    <row r="2137" spans="1:13">
      <c r="A2137" s="5"/>
      <c r="B2137" s="5"/>
      <c r="C2137" s="5"/>
      <c r="D2137" s="5"/>
      <c r="E2137" s="6"/>
      <c r="F2137" s="6"/>
      <c r="G2137" s="5"/>
      <c r="H2137" s="5">
        <v>1</v>
      </c>
      <c r="I2137" s="7" t="s">
        <v>324</v>
      </c>
      <c r="J2137" s="5">
        <v>1</v>
      </c>
      <c r="K2137" s="5">
        <v>314</v>
      </c>
      <c r="L2137" s="8"/>
      <c r="M2137" s="5"/>
    </row>
    <row r="2138" spans="1:13">
      <c r="A2138" s="5">
        <v>8</v>
      </c>
      <c r="B2138" s="5">
        <v>0</v>
      </c>
      <c r="C2138" s="5"/>
      <c r="D2138" s="5">
        <v>1</v>
      </c>
      <c r="E2138" s="6">
        <v>11500</v>
      </c>
      <c r="F2138" s="6">
        <v>0</v>
      </c>
      <c r="G2138" s="5"/>
      <c r="H2138" s="5">
        <v>1</v>
      </c>
      <c r="I2138" s="7" t="s">
        <v>314</v>
      </c>
      <c r="J2138" s="5">
        <v>1</v>
      </c>
      <c r="K2138" s="5">
        <v>11498</v>
      </c>
      <c r="L2138" s="8"/>
      <c r="M2138" s="5"/>
    </row>
    <row r="2139" spans="1:13">
      <c r="A2139" s="5">
        <v>9</v>
      </c>
      <c r="B2139" s="5">
        <v>0</v>
      </c>
      <c r="C2139" s="5"/>
      <c r="D2139" s="5">
        <v>1</v>
      </c>
      <c r="E2139" s="6">
        <v>11500</v>
      </c>
      <c r="F2139" s="6">
        <v>0</v>
      </c>
      <c r="G2139" s="5"/>
      <c r="H2139" s="5">
        <v>1</v>
      </c>
      <c r="I2139" s="7" t="s">
        <v>315</v>
      </c>
      <c r="J2139" s="5">
        <v>1</v>
      </c>
      <c r="K2139" s="5">
        <v>11498</v>
      </c>
      <c r="L2139" s="8"/>
      <c r="M2139" s="5"/>
    </row>
    <row r="2140" spans="1:13">
      <c r="A2140" s="5">
        <v>10</v>
      </c>
      <c r="B2140" s="5">
        <v>0</v>
      </c>
      <c r="C2140" s="5"/>
      <c r="D2140" s="5">
        <v>1</v>
      </c>
      <c r="E2140" s="6">
        <v>11500</v>
      </c>
      <c r="F2140" s="6">
        <v>0</v>
      </c>
      <c r="G2140" s="5"/>
      <c r="H2140" s="5">
        <v>1</v>
      </c>
      <c r="I2140" s="7" t="s">
        <v>313</v>
      </c>
      <c r="J2140" s="5">
        <v>1</v>
      </c>
      <c r="K2140" s="5">
        <v>11498</v>
      </c>
      <c r="L2140" s="8"/>
      <c r="M2140" s="5"/>
    </row>
    <row r="2141" spans="1:13">
      <c r="A2141" s="5"/>
      <c r="B2141" s="5"/>
      <c r="C2141" s="5"/>
      <c r="D2141" s="5"/>
      <c r="E2141" s="6"/>
      <c r="F2141" s="6"/>
      <c r="G2141" s="5"/>
      <c r="H2141" s="5"/>
      <c r="I2141" s="7"/>
      <c r="J2141" s="5"/>
      <c r="K2141" s="5"/>
      <c r="L2141" s="8"/>
      <c r="M2141" s="5"/>
    </row>
    <row r="2142" spans="1:13">
      <c r="A2142" s="117" t="s">
        <v>4</v>
      </c>
      <c r="B2142" s="117"/>
      <c r="C2142" s="117"/>
      <c r="D2142" s="117"/>
      <c r="E2142" s="117"/>
      <c r="F2142" s="117"/>
      <c r="G2142" s="117"/>
      <c r="H2142" s="117"/>
      <c r="I2142" s="118" t="s">
        <v>8</v>
      </c>
      <c r="J2142" s="118"/>
      <c r="K2142" s="89" t="s">
        <v>70</v>
      </c>
      <c r="L2142" s="119"/>
      <c r="M2142" s="120"/>
    </row>
    <row r="2143" spans="1:13">
      <c r="A2143" s="117"/>
      <c r="B2143" s="117"/>
      <c r="C2143" s="117"/>
      <c r="D2143" s="117"/>
      <c r="E2143" s="117"/>
      <c r="F2143" s="117"/>
      <c r="G2143" s="117"/>
      <c r="H2143" s="117"/>
      <c r="I2143" s="118" t="s">
        <v>25</v>
      </c>
      <c r="J2143" s="118"/>
      <c r="K2143" s="121" t="s">
        <v>291</v>
      </c>
      <c r="L2143" s="118"/>
      <c r="M2143" s="118"/>
    </row>
    <row r="2144" spans="1:13">
      <c r="A2144" s="117"/>
      <c r="B2144" s="117"/>
      <c r="C2144" s="117"/>
      <c r="D2144" s="117"/>
      <c r="E2144" s="117"/>
      <c r="F2144" s="117"/>
      <c r="G2144" s="117"/>
      <c r="H2144" s="117"/>
      <c r="I2144" s="87" t="s">
        <v>26</v>
      </c>
      <c r="J2144" s="88"/>
      <c r="K2144" s="95" t="s">
        <v>290</v>
      </c>
      <c r="L2144" s="104"/>
      <c r="M2144" s="88"/>
    </row>
    <row r="2145" spans="1:13">
      <c r="A2145" s="118" t="s">
        <v>31</v>
      </c>
      <c r="B2145" s="118"/>
      <c r="C2145" s="118" t="s">
        <v>32</v>
      </c>
      <c r="D2145" s="118"/>
      <c r="E2145" s="118"/>
      <c r="F2145" s="118"/>
      <c r="G2145" s="118"/>
      <c r="H2145" s="118"/>
      <c r="I2145" s="40" t="s">
        <v>29</v>
      </c>
      <c r="J2145" s="41"/>
      <c r="K2145" s="118" t="s">
        <v>340</v>
      </c>
      <c r="L2145" s="118"/>
      <c r="M2145" s="118"/>
    </row>
    <row r="2146" spans="1:13">
      <c r="A2146" s="118"/>
      <c r="B2146" s="118"/>
      <c r="C2146" s="118"/>
      <c r="D2146" s="118"/>
      <c r="E2146" s="118"/>
      <c r="F2146" s="118"/>
      <c r="G2146" s="118"/>
      <c r="H2146" s="118"/>
      <c r="I2146" s="118" t="s">
        <v>30</v>
      </c>
      <c r="J2146" s="118"/>
      <c r="K2146" s="118" t="s">
        <v>292</v>
      </c>
      <c r="L2146" s="118"/>
      <c r="M2146" s="118"/>
    </row>
    <row r="2147" spans="1:13">
      <c r="A2147" s="122" t="s">
        <v>24</v>
      </c>
      <c r="B2147" s="122"/>
      <c r="C2147" s="122"/>
      <c r="D2147" s="42">
        <v>10</v>
      </c>
      <c r="E2147" s="117" t="s">
        <v>40</v>
      </c>
      <c r="F2147" s="117"/>
      <c r="G2147" s="117"/>
      <c r="H2147" s="42">
        <v>29</v>
      </c>
      <c r="I2147" s="118" t="s">
        <v>27</v>
      </c>
      <c r="J2147" s="118"/>
      <c r="K2147" s="118" t="s">
        <v>21</v>
      </c>
      <c r="L2147" s="118"/>
      <c r="M2147" s="118"/>
    </row>
    <row r="2148" spans="1:13" ht="45">
      <c r="A2148" s="3" t="s">
        <v>9</v>
      </c>
      <c r="B2148" s="3" t="s">
        <v>10</v>
      </c>
      <c r="C2148" s="3" t="s">
        <v>11</v>
      </c>
      <c r="D2148" s="3" t="s">
        <v>3</v>
      </c>
      <c r="E2148" s="4" t="s">
        <v>41</v>
      </c>
      <c r="F2148" s="4" t="s">
        <v>12</v>
      </c>
      <c r="G2148" s="3" t="s">
        <v>13</v>
      </c>
      <c r="H2148" s="3" t="s">
        <v>14</v>
      </c>
      <c r="I2148" s="3" t="s">
        <v>15</v>
      </c>
      <c r="J2148" s="3" t="s">
        <v>16</v>
      </c>
      <c r="K2148" s="3" t="s">
        <v>17</v>
      </c>
      <c r="L2148" s="3" t="s">
        <v>18</v>
      </c>
      <c r="M2148" s="3" t="s">
        <v>19</v>
      </c>
    </row>
    <row r="2149" spans="1:13">
      <c r="A2149" s="18">
        <v>1</v>
      </c>
      <c r="B2149" s="19">
        <v>0</v>
      </c>
      <c r="C2149" s="18"/>
      <c r="D2149" s="18">
        <v>1</v>
      </c>
      <c r="E2149" s="20">
        <v>11500</v>
      </c>
      <c r="F2149" s="20">
        <v>445</v>
      </c>
      <c r="G2149" s="18"/>
      <c r="H2149" s="18">
        <v>1</v>
      </c>
      <c r="I2149" s="21" t="s">
        <v>261</v>
      </c>
      <c r="J2149" s="18">
        <v>1</v>
      </c>
      <c r="K2149" s="18">
        <v>6961</v>
      </c>
      <c r="L2149" s="22"/>
      <c r="M2149" s="18"/>
    </row>
    <row r="2150" spans="1:13">
      <c r="A2150" s="18"/>
      <c r="B2150" s="18"/>
      <c r="C2150" s="18"/>
      <c r="D2150" s="18"/>
      <c r="E2150" s="20"/>
      <c r="F2150" s="20"/>
      <c r="G2150" s="18"/>
      <c r="H2150" s="18">
        <v>1</v>
      </c>
      <c r="I2150" s="21" t="s">
        <v>283</v>
      </c>
      <c r="J2150" s="18">
        <v>1</v>
      </c>
      <c r="K2150" s="18">
        <v>3040</v>
      </c>
      <c r="L2150" s="22"/>
      <c r="M2150" s="18"/>
    </row>
    <row r="2151" spans="1:13">
      <c r="A2151" s="18"/>
      <c r="B2151" s="18"/>
      <c r="C2151" s="18"/>
      <c r="D2151" s="18"/>
      <c r="E2151" s="20"/>
      <c r="F2151" s="20"/>
      <c r="G2151" s="18"/>
      <c r="H2151" s="18">
        <v>1</v>
      </c>
      <c r="I2151" s="21" t="s">
        <v>289</v>
      </c>
      <c r="J2151" s="18">
        <v>1</v>
      </c>
      <c r="K2151" s="18">
        <v>428</v>
      </c>
      <c r="L2151" s="22"/>
      <c r="M2151" s="18"/>
    </row>
    <row r="2152" spans="1:13">
      <c r="A2152" s="18"/>
      <c r="B2152" s="18"/>
      <c r="C2152" s="18"/>
      <c r="D2152" s="18"/>
      <c r="E2152" s="20"/>
      <c r="F2152" s="20"/>
      <c r="G2152" s="18"/>
      <c r="H2152" s="18">
        <v>1</v>
      </c>
      <c r="I2152" s="21" t="s">
        <v>287</v>
      </c>
      <c r="J2152" s="18">
        <v>1</v>
      </c>
      <c r="K2152" s="18">
        <v>298</v>
      </c>
      <c r="L2152" s="22"/>
      <c r="M2152" s="18"/>
    </row>
    <row r="2153" spans="1:13">
      <c r="A2153" s="18"/>
      <c r="B2153" s="24"/>
      <c r="C2153" s="18"/>
      <c r="D2153" s="18"/>
      <c r="E2153" s="20"/>
      <c r="F2153" s="20"/>
      <c r="G2153" s="18"/>
      <c r="H2153" s="18">
        <v>1</v>
      </c>
      <c r="I2153" s="21" t="s">
        <v>282</v>
      </c>
      <c r="J2153" s="18">
        <v>1</v>
      </c>
      <c r="K2153" s="18">
        <v>198</v>
      </c>
      <c r="L2153" s="22"/>
      <c r="M2153" s="18"/>
    </row>
    <row r="2154" spans="1:13">
      <c r="A2154" s="18">
        <v>2</v>
      </c>
      <c r="B2154" s="19">
        <v>0</v>
      </c>
      <c r="C2154" s="18"/>
      <c r="D2154" s="18">
        <v>1</v>
      </c>
      <c r="E2154" s="20">
        <v>11500</v>
      </c>
      <c r="F2154" s="20">
        <v>171</v>
      </c>
      <c r="G2154" s="18"/>
      <c r="H2154" s="18">
        <v>1</v>
      </c>
      <c r="I2154" s="21" t="s">
        <v>262</v>
      </c>
      <c r="J2154" s="18">
        <v>1</v>
      </c>
      <c r="K2154" s="18">
        <v>5907</v>
      </c>
      <c r="L2154" s="22"/>
      <c r="M2154" s="18"/>
    </row>
    <row r="2155" spans="1:13">
      <c r="A2155" s="18"/>
      <c r="B2155" s="18"/>
      <c r="C2155" s="18"/>
      <c r="D2155" s="18"/>
      <c r="E2155" s="20"/>
      <c r="F2155" s="20"/>
      <c r="G2155" s="18"/>
      <c r="H2155" s="18">
        <v>1</v>
      </c>
      <c r="I2155" s="21" t="s">
        <v>281</v>
      </c>
      <c r="J2155" s="18">
        <v>1</v>
      </c>
      <c r="K2155" s="18">
        <v>3040</v>
      </c>
      <c r="L2155" s="22"/>
      <c r="M2155" s="18"/>
    </row>
    <row r="2156" spans="1:13">
      <c r="A2156" s="18"/>
      <c r="B2156" s="18"/>
      <c r="C2156" s="18"/>
      <c r="D2156" s="18"/>
      <c r="E2156" s="20"/>
      <c r="F2156" s="20"/>
      <c r="G2156" s="18"/>
      <c r="H2156" s="18">
        <v>1</v>
      </c>
      <c r="I2156" s="21" t="s">
        <v>288</v>
      </c>
      <c r="J2156" s="18">
        <v>1</v>
      </c>
      <c r="K2156" s="18">
        <v>2304</v>
      </c>
      <c r="L2156" s="22"/>
      <c r="M2156" s="18"/>
    </row>
    <row r="2157" spans="1:13">
      <c r="A2157" s="18">
        <v>3</v>
      </c>
      <c r="B2157" s="18">
        <v>0</v>
      </c>
      <c r="C2157" s="18"/>
      <c r="D2157" s="18">
        <v>1</v>
      </c>
      <c r="E2157" s="20">
        <v>11500</v>
      </c>
      <c r="F2157" s="20">
        <v>5368</v>
      </c>
      <c r="G2157" s="18"/>
      <c r="H2157" s="18">
        <v>1</v>
      </c>
      <c r="I2157" s="21" t="s">
        <v>264</v>
      </c>
      <c r="J2157" s="18">
        <v>1</v>
      </c>
      <c r="K2157" s="18">
        <v>3040</v>
      </c>
      <c r="L2157" s="22"/>
      <c r="M2157" s="18"/>
    </row>
    <row r="2158" spans="1:13">
      <c r="A2158" s="18"/>
      <c r="B2158" s="18"/>
      <c r="C2158" s="18"/>
      <c r="D2158" s="18"/>
      <c r="E2158" s="20"/>
      <c r="F2158" s="20"/>
      <c r="G2158" s="18"/>
      <c r="H2158" s="18">
        <v>1</v>
      </c>
      <c r="I2158" s="21" t="s">
        <v>263</v>
      </c>
      <c r="J2158" s="18">
        <v>1</v>
      </c>
      <c r="K2158" s="18">
        <v>3040</v>
      </c>
      <c r="L2158" s="22"/>
      <c r="M2158" s="18"/>
    </row>
    <row r="2159" spans="1:13">
      <c r="A2159" s="18">
        <v>4</v>
      </c>
      <c r="B2159" s="18">
        <v>0</v>
      </c>
      <c r="C2159" s="18"/>
      <c r="D2159" s="18">
        <v>1</v>
      </c>
      <c r="E2159" s="20">
        <v>11500</v>
      </c>
      <c r="F2159" s="20">
        <v>2302</v>
      </c>
      <c r="G2159" s="18"/>
      <c r="H2159" s="18">
        <v>1</v>
      </c>
      <c r="I2159" s="21" t="s">
        <v>267</v>
      </c>
      <c r="J2159" s="18">
        <v>1</v>
      </c>
      <c r="K2159" s="18">
        <v>3040</v>
      </c>
      <c r="L2159" s="22"/>
      <c r="M2159" s="18"/>
    </row>
    <row r="2160" spans="1:13">
      <c r="A2160" s="18"/>
      <c r="B2160" s="18"/>
      <c r="C2160" s="18"/>
      <c r="D2160" s="18"/>
      <c r="E2160" s="20"/>
      <c r="F2160" s="20"/>
      <c r="G2160" s="18"/>
      <c r="H2160" s="18">
        <v>1</v>
      </c>
      <c r="I2160" s="21" t="s">
        <v>266</v>
      </c>
      <c r="J2160" s="18">
        <v>1</v>
      </c>
      <c r="K2160" s="18">
        <v>3040</v>
      </c>
      <c r="L2160" s="22"/>
      <c r="M2160" s="18"/>
    </row>
    <row r="2161" spans="1:13">
      <c r="A2161" s="18"/>
      <c r="B2161" s="18"/>
      <c r="C2161" s="18"/>
      <c r="D2161" s="18"/>
      <c r="E2161" s="20"/>
      <c r="F2161" s="20"/>
      <c r="G2161" s="18"/>
      <c r="H2161" s="18">
        <v>1</v>
      </c>
      <c r="I2161" s="21" t="s">
        <v>265</v>
      </c>
      <c r="J2161" s="18">
        <v>1</v>
      </c>
      <c r="K2161" s="18">
        <v>3040</v>
      </c>
      <c r="L2161" s="22"/>
      <c r="M2161" s="18"/>
    </row>
    <row r="2162" spans="1:13">
      <c r="A2162" s="18">
        <v>5</v>
      </c>
      <c r="B2162" s="18">
        <v>0</v>
      </c>
      <c r="C2162" s="18"/>
      <c r="D2162" s="18">
        <v>1</v>
      </c>
      <c r="E2162" s="20">
        <v>11500</v>
      </c>
      <c r="F2162" s="20">
        <v>2302</v>
      </c>
      <c r="G2162" s="18"/>
      <c r="H2162" s="18">
        <v>1</v>
      </c>
      <c r="I2162" s="21" t="s">
        <v>270</v>
      </c>
      <c r="J2162" s="18">
        <v>1</v>
      </c>
      <c r="K2162" s="18">
        <v>3040</v>
      </c>
      <c r="L2162" s="22"/>
      <c r="M2162" s="18"/>
    </row>
    <row r="2163" spans="1:13">
      <c r="A2163" s="5"/>
      <c r="B2163" s="5"/>
      <c r="C2163" s="5"/>
      <c r="D2163" s="5"/>
      <c r="E2163" s="6"/>
      <c r="F2163" s="6"/>
      <c r="G2163" s="5"/>
      <c r="H2163" s="5">
        <v>1</v>
      </c>
      <c r="I2163" s="7" t="s">
        <v>269</v>
      </c>
      <c r="J2163" s="5">
        <v>1</v>
      </c>
      <c r="K2163" s="5">
        <v>3040</v>
      </c>
      <c r="L2163" s="8"/>
      <c r="M2163" s="5"/>
    </row>
    <row r="2164" spans="1:13">
      <c r="A2164" s="5"/>
      <c r="B2164" s="5"/>
      <c r="C2164" s="5"/>
      <c r="D2164" s="5"/>
      <c r="E2164" s="6"/>
      <c r="F2164" s="6"/>
      <c r="G2164" s="5"/>
      <c r="H2164" s="5">
        <v>1</v>
      </c>
      <c r="I2164" s="7" t="s">
        <v>268</v>
      </c>
      <c r="J2164" s="5">
        <v>1</v>
      </c>
      <c r="K2164" s="5">
        <v>3040</v>
      </c>
      <c r="L2164" s="8"/>
      <c r="M2164" s="18"/>
    </row>
    <row r="2165" spans="1:13">
      <c r="A2165" s="5">
        <v>6</v>
      </c>
      <c r="B2165" s="5">
        <v>0</v>
      </c>
      <c r="C2165" s="5"/>
      <c r="D2165" s="5">
        <v>1</v>
      </c>
      <c r="E2165" s="6">
        <v>11500</v>
      </c>
      <c r="F2165" s="6">
        <v>2302</v>
      </c>
      <c r="G2165" s="5"/>
      <c r="H2165" s="5">
        <v>1</v>
      </c>
      <c r="I2165" s="7" t="s">
        <v>273</v>
      </c>
      <c r="J2165" s="5">
        <v>1</v>
      </c>
      <c r="K2165" s="5">
        <v>3040</v>
      </c>
      <c r="L2165" s="8"/>
      <c r="M2165" s="5"/>
    </row>
    <row r="2166" spans="1:13">
      <c r="A2166" s="5"/>
      <c r="B2166" s="5"/>
      <c r="C2166" s="5"/>
      <c r="D2166" s="5"/>
      <c r="E2166" s="6"/>
      <c r="F2166" s="6"/>
      <c r="G2166" s="5"/>
      <c r="H2166" s="5">
        <v>1</v>
      </c>
      <c r="I2166" s="7" t="s">
        <v>272</v>
      </c>
      <c r="J2166" s="5">
        <v>1</v>
      </c>
      <c r="K2166" s="5">
        <v>3040</v>
      </c>
      <c r="L2166" s="8"/>
      <c r="M2166" s="5"/>
    </row>
    <row r="2167" spans="1:13">
      <c r="A2167" s="5"/>
      <c r="B2167" s="5"/>
      <c r="C2167" s="5"/>
      <c r="D2167" s="5"/>
      <c r="E2167" s="6"/>
      <c r="F2167" s="6"/>
      <c r="G2167" s="5"/>
      <c r="H2167" s="5">
        <v>1</v>
      </c>
      <c r="I2167" s="7" t="s">
        <v>271</v>
      </c>
      <c r="J2167" s="5">
        <v>1</v>
      </c>
      <c r="K2167" s="5">
        <v>3040</v>
      </c>
      <c r="L2167" s="8"/>
      <c r="M2167" s="5"/>
    </row>
    <row r="2168" spans="1:13">
      <c r="A2168" s="5">
        <v>7</v>
      </c>
      <c r="B2168" s="5">
        <v>0</v>
      </c>
      <c r="C2168" s="5"/>
      <c r="D2168" s="5">
        <v>1</v>
      </c>
      <c r="E2168" s="6">
        <v>11500</v>
      </c>
      <c r="F2168" s="6">
        <v>2302</v>
      </c>
      <c r="G2168" s="5"/>
      <c r="H2168" s="5">
        <v>1</v>
      </c>
      <c r="I2168" s="7" t="s">
        <v>276</v>
      </c>
      <c r="J2168" s="5">
        <v>1</v>
      </c>
      <c r="K2168" s="5">
        <v>3040</v>
      </c>
      <c r="L2168" s="8"/>
      <c r="M2168" s="5"/>
    </row>
    <row r="2169" spans="1:13">
      <c r="A2169" s="5"/>
      <c r="B2169" s="5"/>
      <c r="C2169" s="5"/>
      <c r="D2169" s="5"/>
      <c r="E2169" s="6"/>
      <c r="F2169" s="6"/>
      <c r="G2169" s="5"/>
      <c r="H2169" s="5">
        <v>1</v>
      </c>
      <c r="I2169" s="7" t="s">
        <v>275</v>
      </c>
      <c r="J2169" s="5">
        <v>1</v>
      </c>
      <c r="K2169" s="5">
        <v>3040</v>
      </c>
      <c r="L2169" s="8"/>
      <c r="M2169" s="5"/>
    </row>
    <row r="2170" spans="1:13">
      <c r="A2170" s="5"/>
      <c r="B2170" s="5"/>
      <c r="C2170" s="5"/>
      <c r="D2170" s="5"/>
      <c r="E2170" s="6"/>
      <c r="F2170" s="6"/>
      <c r="G2170" s="5"/>
      <c r="H2170" s="5">
        <v>1</v>
      </c>
      <c r="I2170" s="7" t="s">
        <v>274</v>
      </c>
      <c r="J2170" s="5">
        <v>1</v>
      </c>
      <c r="K2170" s="5">
        <v>3040</v>
      </c>
      <c r="L2170" s="8"/>
      <c r="M2170" s="5"/>
    </row>
    <row r="2171" spans="1:13">
      <c r="A2171" s="5">
        <v>8</v>
      </c>
      <c r="B2171" s="5">
        <v>0</v>
      </c>
      <c r="C2171" s="5"/>
      <c r="D2171" s="5">
        <v>1</v>
      </c>
      <c r="E2171" s="6">
        <v>11500</v>
      </c>
      <c r="F2171" s="6">
        <v>1783</v>
      </c>
      <c r="G2171" s="5"/>
      <c r="H2171" s="5">
        <v>1</v>
      </c>
      <c r="I2171" s="7" t="s">
        <v>279</v>
      </c>
      <c r="J2171" s="5">
        <v>1</v>
      </c>
      <c r="K2171" s="5">
        <v>3040</v>
      </c>
      <c r="L2171" s="8"/>
      <c r="M2171" s="5"/>
    </row>
    <row r="2172" spans="1:13">
      <c r="A2172" s="5"/>
      <c r="B2172" s="5"/>
      <c r="C2172" s="5"/>
      <c r="D2172" s="5"/>
      <c r="E2172" s="6"/>
      <c r="F2172" s="6"/>
      <c r="G2172" s="5"/>
      <c r="H2172" s="5">
        <v>1</v>
      </c>
      <c r="I2172" s="7" t="s">
        <v>278</v>
      </c>
      <c r="J2172" s="5">
        <v>1</v>
      </c>
      <c r="K2172" s="5">
        <v>3040</v>
      </c>
      <c r="L2172" s="8"/>
      <c r="M2172" s="5"/>
    </row>
    <row r="2173" spans="1:13">
      <c r="A2173" s="5"/>
      <c r="B2173" s="5"/>
      <c r="C2173" s="5"/>
      <c r="D2173" s="5"/>
      <c r="E2173" s="6"/>
      <c r="F2173" s="6"/>
      <c r="G2173" s="5"/>
      <c r="H2173" s="5">
        <v>1</v>
      </c>
      <c r="I2173" s="7" t="s">
        <v>277</v>
      </c>
      <c r="J2173" s="5">
        <v>1</v>
      </c>
      <c r="K2173" s="5">
        <v>3040</v>
      </c>
      <c r="L2173" s="8"/>
      <c r="M2173" s="5"/>
    </row>
    <row r="2174" spans="1:13">
      <c r="A2174" s="5"/>
      <c r="B2174" s="5"/>
      <c r="C2174" s="5"/>
      <c r="D2174" s="5"/>
      <c r="E2174" s="6"/>
      <c r="F2174" s="6"/>
      <c r="G2174" s="5"/>
      <c r="H2174" s="5">
        <v>1</v>
      </c>
      <c r="I2174" s="7" t="s">
        <v>284</v>
      </c>
      <c r="J2174" s="5">
        <v>1</v>
      </c>
      <c r="K2174" s="5">
        <v>269</v>
      </c>
      <c r="L2174" s="8"/>
      <c r="M2174" s="5"/>
    </row>
    <row r="2175" spans="1:13">
      <c r="A2175" s="5"/>
      <c r="B2175" s="5"/>
      <c r="C2175" s="5"/>
      <c r="D2175" s="5"/>
      <c r="E2175" s="6"/>
      <c r="F2175" s="6"/>
      <c r="G2175" s="5"/>
      <c r="H2175" s="5">
        <v>1</v>
      </c>
      <c r="I2175" s="7" t="s">
        <v>280</v>
      </c>
      <c r="J2175" s="5">
        <v>1</v>
      </c>
      <c r="K2175" s="5">
        <v>198</v>
      </c>
      <c r="L2175" s="8"/>
      <c r="M2175" s="5"/>
    </row>
    <row r="2176" spans="1:13">
      <c r="A2176" s="5">
        <v>9</v>
      </c>
      <c r="B2176" s="5">
        <v>0</v>
      </c>
      <c r="C2176" s="5"/>
      <c r="D2176" s="5">
        <v>1</v>
      </c>
      <c r="E2176" s="6">
        <v>11500</v>
      </c>
      <c r="F2176" s="6">
        <v>0</v>
      </c>
      <c r="G2176" s="5"/>
      <c r="H2176" s="5">
        <v>1</v>
      </c>
      <c r="I2176" s="7" t="s">
        <v>286</v>
      </c>
      <c r="J2176" s="5">
        <v>1</v>
      </c>
      <c r="K2176" s="5">
        <v>11498</v>
      </c>
      <c r="L2176" s="8"/>
      <c r="M2176" s="5"/>
    </row>
    <row r="2177" spans="1:13">
      <c r="A2177" s="5">
        <v>10</v>
      </c>
      <c r="B2177" s="5">
        <v>0</v>
      </c>
      <c r="C2177" s="5"/>
      <c r="D2177" s="5">
        <v>1</v>
      </c>
      <c r="E2177" s="6">
        <v>11500</v>
      </c>
      <c r="F2177" s="6">
        <v>0</v>
      </c>
      <c r="G2177" s="5"/>
      <c r="H2177" s="5">
        <v>1</v>
      </c>
      <c r="I2177" s="7" t="s">
        <v>285</v>
      </c>
      <c r="J2177" s="5">
        <v>1</v>
      </c>
      <c r="K2177" s="5">
        <v>11498</v>
      </c>
      <c r="L2177" s="8"/>
      <c r="M2177" s="5"/>
    </row>
    <row r="2178" spans="1:13">
      <c r="A2178" s="5"/>
      <c r="B2178" s="5"/>
      <c r="C2178" s="5"/>
      <c r="D2178" s="5"/>
      <c r="E2178" s="6"/>
      <c r="F2178" s="6"/>
      <c r="G2178" s="5"/>
      <c r="H2178" s="5"/>
      <c r="I2178" s="7"/>
      <c r="J2178" s="5"/>
      <c r="K2178" s="5"/>
      <c r="L2178" s="8"/>
      <c r="M2178" s="5"/>
    </row>
    <row r="2179" spans="1:13">
      <c r="A2179" s="117" t="s">
        <v>4</v>
      </c>
      <c r="B2179" s="117"/>
      <c r="C2179" s="117"/>
      <c r="D2179" s="117"/>
      <c r="E2179" s="117"/>
      <c r="F2179" s="117"/>
      <c r="G2179" s="117"/>
      <c r="H2179" s="117"/>
      <c r="I2179" s="118" t="s">
        <v>8</v>
      </c>
      <c r="J2179" s="118"/>
      <c r="K2179" s="89" t="s">
        <v>70</v>
      </c>
      <c r="L2179" s="119"/>
      <c r="M2179" s="120"/>
    </row>
    <row r="2180" spans="1:13">
      <c r="A2180" s="117"/>
      <c r="B2180" s="117"/>
      <c r="C2180" s="117"/>
      <c r="D2180" s="117"/>
      <c r="E2180" s="117"/>
      <c r="F2180" s="117"/>
      <c r="G2180" s="117"/>
      <c r="H2180" s="117"/>
      <c r="I2180" s="118" t="s">
        <v>25</v>
      </c>
      <c r="J2180" s="118"/>
      <c r="K2180" s="121" t="s">
        <v>65</v>
      </c>
      <c r="L2180" s="118"/>
      <c r="M2180" s="118"/>
    </row>
    <row r="2181" spans="1:13">
      <c r="A2181" s="117"/>
      <c r="B2181" s="117"/>
      <c r="C2181" s="117"/>
      <c r="D2181" s="117"/>
      <c r="E2181" s="117"/>
      <c r="F2181" s="117"/>
      <c r="G2181" s="117"/>
      <c r="H2181" s="117"/>
      <c r="I2181" s="87" t="s">
        <v>26</v>
      </c>
      <c r="J2181" s="88"/>
      <c r="K2181" s="95" t="s">
        <v>47</v>
      </c>
      <c r="L2181" s="104"/>
      <c r="M2181" s="88"/>
    </row>
    <row r="2182" spans="1:13">
      <c r="A2182" s="118" t="s">
        <v>31</v>
      </c>
      <c r="B2182" s="118"/>
      <c r="C2182" s="118" t="s">
        <v>32</v>
      </c>
      <c r="D2182" s="118"/>
      <c r="E2182" s="118"/>
      <c r="F2182" s="118"/>
      <c r="G2182" s="118"/>
      <c r="H2182" s="118"/>
      <c r="I2182" s="40" t="s">
        <v>29</v>
      </c>
      <c r="J2182" s="41"/>
      <c r="K2182" s="118" t="s">
        <v>21</v>
      </c>
      <c r="L2182" s="118"/>
      <c r="M2182" s="118"/>
    </row>
    <row r="2183" spans="1:13">
      <c r="A2183" s="118"/>
      <c r="B2183" s="118"/>
      <c r="C2183" s="118"/>
      <c r="D2183" s="118"/>
      <c r="E2183" s="118"/>
      <c r="F2183" s="118"/>
      <c r="G2183" s="118"/>
      <c r="H2183" s="118"/>
      <c r="I2183" s="118" t="s">
        <v>30</v>
      </c>
      <c r="J2183" s="118"/>
      <c r="K2183" s="118" t="s">
        <v>74</v>
      </c>
      <c r="L2183" s="118"/>
      <c r="M2183" s="118"/>
    </row>
    <row r="2184" spans="1:13">
      <c r="A2184" s="122" t="s">
        <v>24</v>
      </c>
      <c r="B2184" s="122"/>
      <c r="C2184" s="122"/>
      <c r="D2184" s="42">
        <v>17</v>
      </c>
      <c r="E2184" s="117" t="s">
        <v>40</v>
      </c>
      <c r="F2184" s="117"/>
      <c r="G2184" s="117"/>
      <c r="H2184" s="42">
        <v>17</v>
      </c>
      <c r="I2184" s="118" t="s">
        <v>27</v>
      </c>
      <c r="J2184" s="118"/>
      <c r="K2184" s="118" t="s">
        <v>21</v>
      </c>
      <c r="L2184" s="118"/>
      <c r="M2184" s="118"/>
    </row>
    <row r="2185" spans="1:13" ht="45">
      <c r="A2185" s="3" t="s">
        <v>9</v>
      </c>
      <c r="B2185" s="3" t="s">
        <v>10</v>
      </c>
      <c r="C2185" s="3" t="s">
        <v>11</v>
      </c>
      <c r="D2185" s="3" t="s">
        <v>3</v>
      </c>
      <c r="E2185" s="4" t="s">
        <v>41</v>
      </c>
      <c r="F2185" s="4" t="s">
        <v>12</v>
      </c>
      <c r="G2185" s="3" t="s">
        <v>13</v>
      </c>
      <c r="H2185" s="3" t="s">
        <v>14</v>
      </c>
      <c r="I2185" s="3" t="s">
        <v>15</v>
      </c>
      <c r="J2185" s="3" t="s">
        <v>16</v>
      </c>
      <c r="K2185" s="3" t="s">
        <v>17</v>
      </c>
      <c r="L2185" s="3" t="s">
        <v>18</v>
      </c>
      <c r="M2185" s="3" t="s">
        <v>19</v>
      </c>
    </row>
    <row r="2186" spans="1:13">
      <c r="A2186" s="43">
        <v>1</v>
      </c>
      <c r="B2186" s="161" t="s">
        <v>49</v>
      </c>
      <c r="C2186" s="43"/>
      <c r="D2186" s="43">
        <v>1</v>
      </c>
      <c r="E2186" s="44">
        <v>11500</v>
      </c>
      <c r="F2186" s="44"/>
      <c r="G2186" s="43"/>
      <c r="H2186" s="43">
        <v>1</v>
      </c>
      <c r="I2186" s="45" t="s">
        <v>165</v>
      </c>
      <c r="J2186" s="43">
        <v>1</v>
      </c>
      <c r="K2186" s="43">
        <v>11500</v>
      </c>
      <c r="L2186" s="43"/>
      <c r="M2186" s="43"/>
    </row>
    <row r="2187" spans="1:13">
      <c r="A2187" s="43">
        <v>2</v>
      </c>
      <c r="B2187" s="162"/>
      <c r="C2187" s="43"/>
      <c r="D2187" s="43">
        <v>1</v>
      </c>
      <c r="E2187" s="44">
        <v>11500</v>
      </c>
      <c r="F2187" s="44"/>
      <c r="G2187" s="43"/>
      <c r="H2187" s="43">
        <v>1</v>
      </c>
      <c r="I2187" s="45" t="s">
        <v>166</v>
      </c>
      <c r="J2187" s="43">
        <v>1</v>
      </c>
      <c r="K2187" s="43">
        <v>11500</v>
      </c>
      <c r="L2187" s="43"/>
      <c r="M2187" s="43"/>
    </row>
    <row r="2188" spans="1:13">
      <c r="A2188" s="43">
        <v>3</v>
      </c>
      <c r="B2188" s="162"/>
      <c r="C2188" s="43"/>
      <c r="D2188" s="43">
        <v>1</v>
      </c>
      <c r="E2188" s="44">
        <v>11500</v>
      </c>
      <c r="F2188" s="44"/>
      <c r="G2188" s="43"/>
      <c r="H2188" s="43">
        <v>1</v>
      </c>
      <c r="I2188" s="45" t="s">
        <v>167</v>
      </c>
      <c r="J2188" s="43">
        <v>1</v>
      </c>
      <c r="K2188" s="43">
        <v>11500</v>
      </c>
      <c r="L2188" s="43"/>
      <c r="M2188" s="43"/>
    </row>
    <row r="2189" spans="1:13">
      <c r="A2189" s="43">
        <v>4</v>
      </c>
      <c r="B2189" s="162"/>
      <c r="C2189" s="43"/>
      <c r="D2189" s="43">
        <v>1</v>
      </c>
      <c r="E2189" s="44">
        <v>11500</v>
      </c>
      <c r="F2189" s="44"/>
      <c r="G2189" s="43"/>
      <c r="H2189" s="43">
        <v>1</v>
      </c>
      <c r="I2189" s="45" t="s">
        <v>168</v>
      </c>
      <c r="J2189" s="43">
        <v>1</v>
      </c>
      <c r="K2189" s="43">
        <v>11500</v>
      </c>
      <c r="L2189" s="43"/>
      <c r="M2189" s="43"/>
    </row>
    <row r="2190" spans="1:13">
      <c r="A2190" s="43">
        <v>5</v>
      </c>
      <c r="B2190" s="162"/>
      <c r="C2190" s="43"/>
      <c r="D2190" s="43">
        <v>1</v>
      </c>
      <c r="E2190" s="44">
        <v>11500</v>
      </c>
      <c r="F2190" s="44"/>
      <c r="G2190" s="43"/>
      <c r="H2190" s="43">
        <v>1</v>
      </c>
      <c r="I2190" s="45" t="s">
        <v>169</v>
      </c>
      <c r="J2190" s="43">
        <v>1</v>
      </c>
      <c r="K2190" s="43">
        <v>11500</v>
      </c>
      <c r="L2190" s="43"/>
      <c r="M2190" s="43"/>
    </row>
    <row r="2191" spans="1:13">
      <c r="A2191" s="43">
        <v>6</v>
      </c>
      <c r="B2191" s="162"/>
      <c r="C2191" s="43"/>
      <c r="D2191" s="43">
        <v>1</v>
      </c>
      <c r="E2191" s="44">
        <v>11500</v>
      </c>
      <c r="F2191" s="44"/>
      <c r="G2191" s="43"/>
      <c r="H2191" s="43">
        <v>1</v>
      </c>
      <c r="I2191" s="45" t="s">
        <v>170</v>
      </c>
      <c r="J2191" s="43">
        <v>1</v>
      </c>
      <c r="K2191" s="43">
        <v>11500</v>
      </c>
      <c r="L2191" s="43"/>
      <c r="M2191" s="43"/>
    </row>
    <row r="2192" spans="1:13">
      <c r="A2192" s="43">
        <v>7</v>
      </c>
      <c r="B2192" s="162"/>
      <c r="C2192" s="43"/>
      <c r="D2192" s="43">
        <v>1</v>
      </c>
      <c r="E2192" s="44">
        <v>11500</v>
      </c>
      <c r="F2192" s="44"/>
      <c r="G2192" s="43"/>
      <c r="H2192" s="43">
        <v>1</v>
      </c>
      <c r="I2192" s="45" t="s">
        <v>171</v>
      </c>
      <c r="J2192" s="43">
        <v>1</v>
      </c>
      <c r="K2192" s="43">
        <v>11500</v>
      </c>
      <c r="L2192" s="43"/>
      <c r="M2192" s="43"/>
    </row>
    <row r="2193" spans="1:13">
      <c r="A2193" s="43">
        <v>8</v>
      </c>
      <c r="B2193" s="162"/>
      <c r="C2193" s="43"/>
      <c r="D2193" s="43">
        <v>1</v>
      </c>
      <c r="E2193" s="44">
        <v>11500</v>
      </c>
      <c r="F2193" s="44"/>
      <c r="G2193" s="43"/>
      <c r="H2193" s="43">
        <v>1</v>
      </c>
      <c r="I2193" s="50" t="s">
        <v>172</v>
      </c>
      <c r="J2193" s="51">
        <v>1</v>
      </c>
      <c r="K2193" s="51">
        <v>11500</v>
      </c>
      <c r="L2193" s="51"/>
      <c r="M2193" s="51" t="s">
        <v>163</v>
      </c>
    </row>
    <row r="2194" spans="1:13">
      <c r="A2194" s="43">
        <v>9</v>
      </c>
      <c r="B2194" s="162"/>
      <c r="C2194" s="43"/>
      <c r="D2194" s="43">
        <v>1</v>
      </c>
      <c r="E2194" s="44">
        <v>11500</v>
      </c>
      <c r="F2194" s="44"/>
      <c r="G2194" s="43"/>
      <c r="H2194" s="43">
        <v>1</v>
      </c>
      <c r="I2194" s="45" t="s">
        <v>173</v>
      </c>
      <c r="J2194" s="43">
        <v>1</v>
      </c>
      <c r="K2194" s="43">
        <v>11500</v>
      </c>
      <c r="L2194" s="43"/>
      <c r="M2194" s="43"/>
    </row>
    <row r="2195" spans="1:13">
      <c r="A2195" s="43">
        <v>10</v>
      </c>
      <c r="B2195" s="162"/>
      <c r="C2195" s="43"/>
      <c r="D2195" s="43">
        <v>1</v>
      </c>
      <c r="E2195" s="44">
        <v>11500</v>
      </c>
      <c r="F2195" s="44"/>
      <c r="G2195" s="43"/>
      <c r="H2195" s="43">
        <v>1</v>
      </c>
      <c r="I2195" s="45" t="s">
        <v>174</v>
      </c>
      <c r="J2195" s="43">
        <v>1</v>
      </c>
      <c r="K2195" s="43">
        <v>11500</v>
      </c>
      <c r="L2195" s="43"/>
      <c r="M2195" s="43"/>
    </row>
    <row r="2196" spans="1:13">
      <c r="A2196" s="43">
        <v>11</v>
      </c>
      <c r="B2196" s="162"/>
      <c r="C2196" s="43"/>
      <c r="D2196" s="43">
        <v>1</v>
      </c>
      <c r="E2196" s="44">
        <v>11500</v>
      </c>
      <c r="F2196" s="44"/>
      <c r="G2196" s="43"/>
      <c r="H2196" s="43">
        <v>1</v>
      </c>
      <c r="I2196" s="45" t="s">
        <v>175</v>
      </c>
      <c r="J2196" s="43">
        <v>1</v>
      </c>
      <c r="K2196" s="43">
        <v>11500</v>
      </c>
      <c r="L2196" s="43"/>
      <c r="M2196" s="43"/>
    </row>
    <row r="2197" spans="1:13">
      <c r="A2197" s="43">
        <v>12</v>
      </c>
      <c r="B2197" s="162"/>
      <c r="C2197" s="43"/>
      <c r="D2197" s="43">
        <v>1</v>
      </c>
      <c r="E2197" s="44">
        <v>11500</v>
      </c>
      <c r="F2197" s="44"/>
      <c r="G2197" s="43"/>
      <c r="H2197" s="43">
        <v>1</v>
      </c>
      <c r="I2197" s="45" t="s">
        <v>176</v>
      </c>
      <c r="J2197" s="43">
        <v>1</v>
      </c>
      <c r="K2197" s="43">
        <v>11500</v>
      </c>
      <c r="L2197" s="43"/>
      <c r="M2197" s="43"/>
    </row>
    <row r="2198" spans="1:13">
      <c r="A2198" s="43">
        <v>13</v>
      </c>
      <c r="B2198" s="162"/>
      <c r="C2198" s="43"/>
      <c r="D2198" s="43">
        <v>1</v>
      </c>
      <c r="E2198" s="44">
        <v>11500</v>
      </c>
      <c r="F2198" s="44"/>
      <c r="G2198" s="43"/>
      <c r="H2198" s="43">
        <v>1</v>
      </c>
      <c r="I2198" s="50" t="s">
        <v>177</v>
      </c>
      <c r="J2198" s="51">
        <v>1</v>
      </c>
      <c r="K2198" s="51">
        <v>11500</v>
      </c>
      <c r="L2198" s="51"/>
      <c r="M2198" s="51" t="s">
        <v>163</v>
      </c>
    </row>
    <row r="2199" spans="1:13">
      <c r="A2199" s="43">
        <v>14</v>
      </c>
      <c r="B2199" s="162"/>
      <c r="C2199" s="43"/>
      <c r="D2199" s="43">
        <v>1</v>
      </c>
      <c r="E2199" s="44">
        <v>11500</v>
      </c>
      <c r="F2199" s="44"/>
      <c r="G2199" s="43"/>
      <c r="H2199" s="43">
        <v>1</v>
      </c>
      <c r="I2199" s="45" t="s">
        <v>178</v>
      </c>
      <c r="J2199" s="43">
        <v>1</v>
      </c>
      <c r="K2199" s="43">
        <v>11500</v>
      </c>
      <c r="L2199" s="43"/>
      <c r="M2199" s="43"/>
    </row>
    <row r="2200" spans="1:13">
      <c r="A2200" s="43">
        <v>15</v>
      </c>
      <c r="B2200" s="162"/>
      <c r="C2200" s="43"/>
      <c r="D2200" s="43">
        <v>1</v>
      </c>
      <c r="E2200" s="44">
        <v>11500</v>
      </c>
      <c r="F2200" s="44"/>
      <c r="G2200" s="43"/>
      <c r="H2200" s="43">
        <v>1</v>
      </c>
      <c r="I2200" s="45" t="s">
        <v>179</v>
      </c>
      <c r="J2200" s="43">
        <v>1</v>
      </c>
      <c r="K2200" s="43">
        <v>11500</v>
      </c>
      <c r="L2200" s="43"/>
      <c r="M2200" s="43"/>
    </row>
    <row r="2201" spans="1:13">
      <c r="A2201" s="46">
        <v>16</v>
      </c>
      <c r="B2201" s="162"/>
      <c r="C2201" s="46"/>
      <c r="D2201" s="46">
        <v>1</v>
      </c>
      <c r="E2201" s="47">
        <v>11500</v>
      </c>
      <c r="F2201" s="47"/>
      <c r="G2201" s="46"/>
      <c r="H2201" s="46">
        <v>1</v>
      </c>
      <c r="I2201" s="48" t="s">
        <v>180</v>
      </c>
      <c r="J2201" s="46">
        <v>1</v>
      </c>
      <c r="K2201" s="46">
        <v>11500</v>
      </c>
      <c r="L2201" s="46"/>
      <c r="M2201" s="46"/>
    </row>
    <row r="2202" spans="1:13">
      <c r="A2202" s="46">
        <v>17</v>
      </c>
      <c r="B2202" s="163"/>
      <c r="C2202" s="46"/>
      <c r="D2202" s="46">
        <v>1</v>
      </c>
      <c r="E2202" s="47">
        <v>11500</v>
      </c>
      <c r="F2202" s="47"/>
      <c r="G2202" s="46"/>
      <c r="H2202" s="46">
        <v>1</v>
      </c>
      <c r="I2202" s="52" t="s">
        <v>181</v>
      </c>
      <c r="J2202" s="53">
        <v>1</v>
      </c>
      <c r="K2202" s="53">
        <v>11500</v>
      </c>
      <c r="L2202" s="53"/>
      <c r="M2202" s="51" t="s">
        <v>163</v>
      </c>
    </row>
    <row r="2203" spans="1:13">
      <c r="A2203" s="46"/>
      <c r="B2203" s="46"/>
      <c r="C2203" s="46"/>
      <c r="D2203" s="46"/>
      <c r="E2203" s="47"/>
      <c r="F2203" s="47"/>
      <c r="G2203" s="46"/>
      <c r="H2203" s="46"/>
      <c r="I2203" s="48"/>
      <c r="J2203" s="46"/>
      <c r="K2203" s="46"/>
      <c r="L2203" s="46"/>
      <c r="M2203" s="46"/>
    </row>
    <row r="2204" spans="1:13">
      <c r="A2204" s="117" t="s">
        <v>4</v>
      </c>
      <c r="B2204" s="117"/>
      <c r="C2204" s="117"/>
      <c r="D2204" s="117"/>
      <c r="E2204" s="117"/>
      <c r="F2204" s="117"/>
      <c r="G2204" s="117"/>
      <c r="H2204" s="117"/>
      <c r="I2204" s="118" t="s">
        <v>8</v>
      </c>
      <c r="J2204" s="118"/>
      <c r="K2204" s="89" t="s">
        <v>70</v>
      </c>
      <c r="L2204" s="119"/>
      <c r="M2204" s="120"/>
    </row>
    <row r="2205" spans="1:13">
      <c r="A2205" s="117"/>
      <c r="B2205" s="117"/>
      <c r="C2205" s="117"/>
      <c r="D2205" s="117"/>
      <c r="E2205" s="117"/>
      <c r="F2205" s="117"/>
      <c r="G2205" s="117"/>
      <c r="H2205" s="117"/>
      <c r="I2205" s="118" t="s">
        <v>25</v>
      </c>
      <c r="J2205" s="118"/>
      <c r="K2205" s="121" t="s">
        <v>65</v>
      </c>
      <c r="L2205" s="118"/>
      <c r="M2205" s="118"/>
    </row>
    <row r="2206" spans="1:13">
      <c r="A2206" s="117"/>
      <c r="B2206" s="117"/>
      <c r="C2206" s="117"/>
      <c r="D2206" s="117"/>
      <c r="E2206" s="117"/>
      <c r="F2206" s="117"/>
      <c r="G2206" s="117"/>
      <c r="H2206" s="117"/>
      <c r="I2206" s="87" t="s">
        <v>26</v>
      </c>
      <c r="J2206" s="88"/>
      <c r="K2206" s="95" t="s">
        <v>47</v>
      </c>
      <c r="L2206" s="104"/>
      <c r="M2206" s="88"/>
    </row>
    <row r="2207" spans="1:13">
      <c r="A2207" s="118" t="s">
        <v>31</v>
      </c>
      <c r="B2207" s="118"/>
      <c r="C2207" s="118" t="s">
        <v>32</v>
      </c>
      <c r="D2207" s="118"/>
      <c r="E2207" s="118"/>
      <c r="F2207" s="118"/>
      <c r="G2207" s="118"/>
      <c r="H2207" s="118"/>
      <c r="I2207" s="40" t="s">
        <v>29</v>
      </c>
      <c r="J2207" s="41"/>
      <c r="K2207" s="118" t="s">
        <v>21</v>
      </c>
      <c r="L2207" s="118"/>
      <c r="M2207" s="118"/>
    </row>
    <row r="2208" spans="1:13">
      <c r="A2208" s="118"/>
      <c r="B2208" s="118"/>
      <c r="C2208" s="118"/>
      <c r="D2208" s="118"/>
      <c r="E2208" s="118"/>
      <c r="F2208" s="118"/>
      <c r="G2208" s="118"/>
      <c r="H2208" s="118"/>
      <c r="I2208" s="118" t="s">
        <v>30</v>
      </c>
      <c r="J2208" s="118"/>
      <c r="K2208" s="118" t="s">
        <v>73</v>
      </c>
      <c r="L2208" s="118"/>
      <c r="M2208" s="118"/>
    </row>
    <row r="2209" spans="1:13">
      <c r="A2209" s="122" t="s">
        <v>24</v>
      </c>
      <c r="B2209" s="122"/>
      <c r="C2209" s="122"/>
      <c r="D2209" s="42">
        <v>8</v>
      </c>
      <c r="E2209" s="117" t="s">
        <v>40</v>
      </c>
      <c r="F2209" s="117"/>
      <c r="G2209" s="117"/>
      <c r="H2209" s="42">
        <v>55</v>
      </c>
      <c r="I2209" s="118" t="s">
        <v>27</v>
      </c>
      <c r="J2209" s="118"/>
      <c r="K2209" s="118" t="s">
        <v>21</v>
      </c>
      <c r="L2209" s="118"/>
      <c r="M2209" s="118"/>
    </row>
    <row r="2210" spans="1:13" ht="45">
      <c r="A2210" s="3" t="s">
        <v>9</v>
      </c>
      <c r="B2210" s="3" t="s">
        <v>10</v>
      </c>
      <c r="C2210" s="3" t="s">
        <v>11</v>
      </c>
      <c r="D2210" s="3" t="s">
        <v>3</v>
      </c>
      <c r="E2210" s="4" t="s">
        <v>41</v>
      </c>
      <c r="F2210" s="4" t="s">
        <v>12</v>
      </c>
      <c r="G2210" s="3" t="s">
        <v>13</v>
      </c>
      <c r="H2210" s="3" t="s">
        <v>14</v>
      </c>
      <c r="I2210" s="3" t="s">
        <v>15</v>
      </c>
      <c r="J2210" s="3" t="s">
        <v>16</v>
      </c>
      <c r="K2210" s="3" t="s">
        <v>17</v>
      </c>
      <c r="L2210" s="3" t="s">
        <v>18</v>
      </c>
      <c r="M2210" s="3" t="s">
        <v>19</v>
      </c>
    </row>
    <row r="2211" spans="1:13">
      <c r="A2211" s="43">
        <v>1</v>
      </c>
      <c r="B2211" s="158" t="s">
        <v>49</v>
      </c>
      <c r="C2211" s="43"/>
      <c r="D2211" s="43">
        <v>1</v>
      </c>
      <c r="E2211" s="44">
        <v>11500</v>
      </c>
      <c r="F2211" s="44">
        <v>54</v>
      </c>
      <c r="G2211" s="43"/>
      <c r="H2211" s="43">
        <v>1</v>
      </c>
      <c r="I2211" s="45" t="s">
        <v>182</v>
      </c>
      <c r="J2211" s="43">
        <v>1</v>
      </c>
      <c r="K2211" s="43">
        <v>8606</v>
      </c>
      <c r="L2211" s="43"/>
      <c r="M2211" s="43"/>
    </row>
    <row r="2212" spans="1:13">
      <c r="A2212" s="43"/>
      <c r="B2212" s="159"/>
      <c r="C2212" s="43"/>
      <c r="D2212" s="43"/>
      <c r="E2212" s="44"/>
      <c r="F2212" s="44"/>
      <c r="G2212" s="43"/>
      <c r="H2212" s="43">
        <v>1</v>
      </c>
      <c r="I2212" s="45" t="s">
        <v>183</v>
      </c>
      <c r="J2212" s="43">
        <v>1</v>
      </c>
      <c r="K2212" s="43">
        <v>2788</v>
      </c>
      <c r="L2212" s="43"/>
      <c r="M2212" s="43"/>
    </row>
    <row r="2213" spans="1:13">
      <c r="A2213" s="43">
        <v>2</v>
      </c>
      <c r="B2213" s="159"/>
      <c r="C2213" s="43"/>
      <c r="D2213" s="43">
        <v>1</v>
      </c>
      <c r="E2213" s="44">
        <v>11500</v>
      </c>
      <c r="F2213" s="44">
        <v>3</v>
      </c>
      <c r="G2213" s="43"/>
      <c r="H2213" s="43">
        <v>1</v>
      </c>
      <c r="I2213" s="45" t="s">
        <v>184</v>
      </c>
      <c r="J2213" s="43">
        <v>1</v>
      </c>
      <c r="K2213" s="43">
        <v>8558</v>
      </c>
      <c r="L2213" s="43"/>
      <c r="M2213" s="43"/>
    </row>
    <row r="2214" spans="1:13">
      <c r="A2214" s="43"/>
      <c r="B2214" s="159"/>
      <c r="C2214" s="43"/>
      <c r="D2214" s="43"/>
      <c r="E2214" s="44"/>
      <c r="F2214" s="44"/>
      <c r="G2214" s="43"/>
      <c r="H2214" s="43">
        <v>1</v>
      </c>
      <c r="I2214" s="45" t="s">
        <v>185</v>
      </c>
      <c r="J2214" s="43">
        <v>1</v>
      </c>
      <c r="K2214" s="43">
        <v>515</v>
      </c>
      <c r="L2214" s="43"/>
      <c r="M2214" s="43"/>
    </row>
    <row r="2215" spans="1:13">
      <c r="A2215" s="43"/>
      <c r="B2215" s="159"/>
      <c r="C2215" s="43"/>
      <c r="D2215" s="43"/>
      <c r="E2215" s="44"/>
      <c r="F2215" s="44"/>
      <c r="G2215" s="43"/>
      <c r="H2215" s="43">
        <v>1</v>
      </c>
      <c r="I2215" s="45" t="s">
        <v>186</v>
      </c>
      <c r="J2215" s="43">
        <v>1</v>
      </c>
      <c r="K2215" s="43">
        <v>495</v>
      </c>
      <c r="L2215" s="43"/>
      <c r="M2215" s="43"/>
    </row>
    <row r="2216" spans="1:13">
      <c r="A2216" s="43"/>
      <c r="B2216" s="159"/>
      <c r="C2216" s="43"/>
      <c r="D2216" s="43"/>
      <c r="E2216" s="44"/>
      <c r="F2216" s="44"/>
      <c r="G2216" s="43"/>
      <c r="H2216" s="43">
        <v>1</v>
      </c>
      <c r="I2216" s="45" t="s">
        <v>187</v>
      </c>
      <c r="J2216" s="43">
        <v>1</v>
      </c>
      <c r="K2216" s="43">
        <v>488</v>
      </c>
      <c r="L2216" s="43"/>
      <c r="M2216" s="43"/>
    </row>
    <row r="2217" spans="1:13">
      <c r="A2217" s="43"/>
      <c r="B2217" s="159"/>
      <c r="C2217" s="43"/>
      <c r="D2217" s="43"/>
      <c r="E2217" s="44"/>
      <c r="F2217" s="44"/>
      <c r="G2217" s="43"/>
      <c r="H2217" s="43">
        <v>1</v>
      </c>
      <c r="I2217" s="45" t="s">
        <v>188</v>
      </c>
      <c r="J2217" s="43">
        <v>1</v>
      </c>
      <c r="K2217" s="43">
        <v>488</v>
      </c>
      <c r="L2217" s="43"/>
      <c r="M2217" s="43"/>
    </row>
    <row r="2218" spans="1:13">
      <c r="A2218" s="43"/>
      <c r="B2218" s="159"/>
      <c r="C2218" s="43"/>
      <c r="D2218" s="43"/>
      <c r="E2218" s="44"/>
      <c r="F2218" s="44"/>
      <c r="G2218" s="43"/>
      <c r="H2218" s="43">
        <v>1</v>
      </c>
      <c r="I2218" s="45" t="s">
        <v>189</v>
      </c>
      <c r="J2218" s="43">
        <v>1</v>
      </c>
      <c r="K2218" s="43">
        <v>412</v>
      </c>
      <c r="L2218" s="43"/>
      <c r="M2218" s="43"/>
    </row>
    <row r="2219" spans="1:13">
      <c r="A2219" s="43"/>
      <c r="B2219" s="159"/>
      <c r="C2219" s="43"/>
      <c r="D2219" s="43"/>
      <c r="E2219" s="44"/>
      <c r="F2219" s="44"/>
      <c r="G2219" s="43"/>
      <c r="H2219" s="43">
        <v>1</v>
      </c>
      <c r="I2219" s="45" t="s">
        <v>190</v>
      </c>
      <c r="J2219" s="43">
        <v>1</v>
      </c>
      <c r="K2219" s="43">
        <v>359</v>
      </c>
      <c r="L2219" s="43"/>
      <c r="M2219" s="43"/>
    </row>
    <row r="2220" spans="1:13">
      <c r="A2220" s="43">
        <v>3</v>
      </c>
      <c r="B2220" s="159"/>
      <c r="C2220" s="43"/>
      <c r="D2220" s="43">
        <v>1</v>
      </c>
      <c r="E2220" s="44">
        <v>11500</v>
      </c>
      <c r="F2220" s="44">
        <v>21</v>
      </c>
      <c r="G2220" s="43"/>
      <c r="H2220" s="43">
        <v>1</v>
      </c>
      <c r="I2220" s="45" t="s">
        <v>191</v>
      </c>
      <c r="J2220" s="43">
        <v>1</v>
      </c>
      <c r="K2220" s="43">
        <v>6598</v>
      </c>
      <c r="L2220" s="43"/>
      <c r="M2220" s="43"/>
    </row>
    <row r="2221" spans="1:13">
      <c r="A2221" s="43"/>
      <c r="B2221" s="159"/>
      <c r="C2221" s="43"/>
      <c r="D2221" s="43"/>
      <c r="E2221" s="44"/>
      <c r="F2221" s="44"/>
      <c r="G2221" s="43"/>
      <c r="H2221" s="43">
        <v>1</v>
      </c>
      <c r="I2221" s="45" t="s">
        <v>192</v>
      </c>
      <c r="J2221" s="43">
        <v>1</v>
      </c>
      <c r="K2221" s="43">
        <v>4488</v>
      </c>
      <c r="L2221" s="43"/>
      <c r="M2221" s="43"/>
    </row>
    <row r="2222" spans="1:13">
      <c r="A2222" s="43"/>
      <c r="B2222" s="159"/>
      <c r="C2222" s="43"/>
      <c r="D2222" s="43"/>
      <c r="E2222" s="44"/>
      <c r="F2222" s="44"/>
      <c r="G2222" s="43"/>
      <c r="H2222" s="43">
        <v>1</v>
      </c>
      <c r="I2222" s="45" t="s">
        <v>193</v>
      </c>
      <c r="J2222" s="43">
        <v>1</v>
      </c>
      <c r="K2222" s="43">
        <v>315</v>
      </c>
      <c r="L2222" s="43"/>
      <c r="M2222" s="43"/>
    </row>
    <row r="2223" spans="1:13">
      <c r="A2223" s="43">
        <v>4</v>
      </c>
      <c r="B2223" s="159"/>
      <c r="C2223" s="43"/>
      <c r="D2223" s="43">
        <v>1</v>
      </c>
      <c r="E2223" s="44">
        <v>11500</v>
      </c>
      <c r="F2223" s="44">
        <v>8402</v>
      </c>
      <c r="G2223" s="43"/>
      <c r="H2223" s="43">
        <v>1</v>
      </c>
      <c r="I2223" s="45" t="s">
        <v>194</v>
      </c>
      <c r="J2223" s="43">
        <v>1</v>
      </c>
      <c r="K2223" s="43">
        <v>515</v>
      </c>
      <c r="L2223" s="43"/>
      <c r="M2223" s="43"/>
    </row>
    <row r="2224" spans="1:13">
      <c r="A2224" s="43"/>
      <c r="B2224" s="159"/>
      <c r="C2224" s="43"/>
      <c r="D2224" s="43"/>
      <c r="E2224" s="44"/>
      <c r="F2224" s="44"/>
      <c r="G2224" s="43"/>
      <c r="H2224" s="43">
        <v>1</v>
      </c>
      <c r="I2224" s="45" t="s">
        <v>195</v>
      </c>
      <c r="J2224" s="43">
        <v>1</v>
      </c>
      <c r="K2224" s="43">
        <v>359</v>
      </c>
      <c r="L2224" s="43"/>
      <c r="M2224" s="43"/>
    </row>
    <row r="2225" spans="1:13">
      <c r="A2225" s="43"/>
      <c r="B2225" s="159"/>
      <c r="C2225" s="43"/>
      <c r="D2225" s="43"/>
      <c r="E2225" s="44"/>
      <c r="F2225" s="44"/>
      <c r="G2225" s="43"/>
      <c r="H2225" s="43">
        <v>1</v>
      </c>
      <c r="I2225" s="45" t="s">
        <v>196</v>
      </c>
      <c r="J2225" s="43">
        <v>1</v>
      </c>
      <c r="K2225" s="43">
        <v>340</v>
      </c>
      <c r="L2225" s="43"/>
      <c r="M2225" s="43"/>
    </row>
    <row r="2226" spans="1:13">
      <c r="A2226" s="46"/>
      <c r="B2226" s="159"/>
      <c r="C2226" s="46"/>
      <c r="D2226" s="46"/>
      <c r="E2226" s="47"/>
      <c r="F2226" s="47"/>
      <c r="G2226" s="46"/>
      <c r="H2226" s="46">
        <v>1</v>
      </c>
      <c r="I2226" s="48" t="s">
        <v>197</v>
      </c>
      <c r="J2226" s="46">
        <v>1</v>
      </c>
      <c r="K2226" s="46">
        <v>259</v>
      </c>
      <c r="L2226" s="46"/>
      <c r="M2226" s="46"/>
    </row>
    <row r="2227" spans="1:13">
      <c r="A2227" s="46"/>
      <c r="B2227" s="159"/>
      <c r="C2227" s="46"/>
      <c r="D2227" s="46"/>
      <c r="E2227" s="47"/>
      <c r="F2227" s="47"/>
      <c r="G2227" s="46"/>
      <c r="H2227" s="46">
        <v>1</v>
      </c>
      <c r="I2227" s="48" t="s">
        <v>198</v>
      </c>
      <c r="J2227" s="46">
        <v>1</v>
      </c>
      <c r="K2227" s="46">
        <v>198</v>
      </c>
      <c r="L2227" s="46"/>
      <c r="M2227" s="43"/>
    </row>
    <row r="2228" spans="1:13">
      <c r="A2228" s="46"/>
      <c r="B2228" s="159"/>
      <c r="C2228" s="46"/>
      <c r="D2228" s="46"/>
      <c r="E2228" s="47"/>
      <c r="F2228" s="47"/>
      <c r="G2228" s="46"/>
      <c r="H2228" s="46">
        <v>1</v>
      </c>
      <c r="I2228" s="48" t="s">
        <v>199</v>
      </c>
      <c r="J2228" s="46">
        <v>1</v>
      </c>
      <c r="K2228" s="46">
        <v>125</v>
      </c>
      <c r="L2228" s="46"/>
      <c r="M2228" s="46"/>
    </row>
    <row r="2229" spans="1:13">
      <c r="A2229" s="46"/>
      <c r="B2229" s="159"/>
      <c r="C2229" s="46"/>
      <c r="D2229" s="46"/>
      <c r="E2229" s="47"/>
      <c r="F2229" s="47"/>
      <c r="G2229" s="46"/>
      <c r="H2229" s="46">
        <v>1</v>
      </c>
      <c r="I2229" s="48" t="s">
        <v>200</v>
      </c>
      <c r="J2229" s="46">
        <v>1</v>
      </c>
      <c r="K2229" s="46">
        <v>125</v>
      </c>
      <c r="L2229" s="46"/>
      <c r="M2229" s="46"/>
    </row>
    <row r="2230" spans="1:13">
      <c r="A2230" s="46"/>
      <c r="B2230" s="159"/>
      <c r="C2230" s="46"/>
      <c r="D2230" s="46"/>
      <c r="E2230" s="47"/>
      <c r="F2230" s="47"/>
      <c r="G2230" s="46"/>
      <c r="H2230" s="46">
        <v>1</v>
      </c>
      <c r="I2230" s="48" t="s">
        <v>201</v>
      </c>
      <c r="J2230" s="46">
        <v>1</v>
      </c>
      <c r="K2230" s="46">
        <v>123</v>
      </c>
      <c r="L2230" s="46"/>
      <c r="M2230" s="46"/>
    </row>
    <row r="2231" spans="1:13">
      <c r="A2231" s="46"/>
      <c r="B2231" s="159"/>
      <c r="C2231" s="46"/>
      <c r="D2231" s="46"/>
      <c r="E2231" s="47"/>
      <c r="F2231" s="47"/>
      <c r="G2231" s="46"/>
      <c r="H2231" s="46">
        <v>1</v>
      </c>
      <c r="I2231" s="48" t="s">
        <v>202</v>
      </c>
      <c r="J2231" s="46">
        <v>1</v>
      </c>
      <c r="K2231" s="46">
        <v>115</v>
      </c>
      <c r="L2231" s="46"/>
      <c r="M2231" s="46"/>
    </row>
    <row r="2232" spans="1:13">
      <c r="A2232" s="46"/>
      <c r="B2232" s="159"/>
      <c r="C2232" s="46"/>
      <c r="D2232" s="46"/>
      <c r="E2232" s="47"/>
      <c r="F2232" s="47"/>
      <c r="G2232" s="46"/>
      <c r="H2232" s="46">
        <v>2</v>
      </c>
      <c r="I2232" s="48" t="s">
        <v>203</v>
      </c>
      <c r="J2232" s="46">
        <v>1</v>
      </c>
      <c r="K2232" s="46">
        <v>115</v>
      </c>
      <c r="L2232" s="46"/>
      <c r="M2232" s="46"/>
    </row>
    <row r="2233" spans="1:13">
      <c r="A2233" s="46"/>
      <c r="B2233" s="159"/>
      <c r="C2233" s="46"/>
      <c r="D2233" s="46"/>
      <c r="E2233" s="47"/>
      <c r="F2233" s="47"/>
      <c r="G2233" s="46"/>
      <c r="H2233" s="46">
        <v>1</v>
      </c>
      <c r="I2233" s="48" t="s">
        <v>204</v>
      </c>
      <c r="J2233" s="46">
        <v>1</v>
      </c>
      <c r="K2233" s="46">
        <v>115</v>
      </c>
      <c r="L2233" s="46"/>
      <c r="M2233" s="46"/>
    </row>
    <row r="2234" spans="1:13">
      <c r="A2234" s="46"/>
      <c r="B2234" s="159"/>
      <c r="C2234" s="46"/>
      <c r="D2234" s="46"/>
      <c r="E2234" s="47"/>
      <c r="F2234" s="47"/>
      <c r="G2234" s="46"/>
      <c r="H2234" s="46">
        <v>1</v>
      </c>
      <c r="I2234" s="48" t="s">
        <v>205</v>
      </c>
      <c r="J2234" s="46">
        <v>1</v>
      </c>
      <c r="K2234" s="46">
        <v>115</v>
      </c>
      <c r="L2234" s="46"/>
      <c r="M2234" s="46"/>
    </row>
    <row r="2235" spans="1:13">
      <c r="A2235" s="46"/>
      <c r="B2235" s="159"/>
      <c r="C2235" s="46"/>
      <c r="D2235" s="46"/>
      <c r="E2235" s="47"/>
      <c r="F2235" s="47"/>
      <c r="G2235" s="46"/>
      <c r="H2235" s="46">
        <v>1</v>
      </c>
      <c r="I2235" s="48" t="s">
        <v>206</v>
      </c>
      <c r="J2235" s="46">
        <v>1</v>
      </c>
      <c r="K2235" s="46">
        <v>115</v>
      </c>
      <c r="L2235" s="46"/>
      <c r="M2235" s="46"/>
    </row>
    <row r="2236" spans="1:13">
      <c r="A2236" s="46">
        <v>5</v>
      </c>
      <c r="B2236" s="159"/>
      <c r="C2236" s="46"/>
      <c r="D2236" s="46">
        <v>1</v>
      </c>
      <c r="E2236" s="47">
        <v>11500</v>
      </c>
      <c r="F2236" s="47">
        <v>18</v>
      </c>
      <c r="G2236" s="46"/>
      <c r="H2236" s="46">
        <v>1</v>
      </c>
      <c r="I2236" s="48" t="s">
        <v>207</v>
      </c>
      <c r="J2236" s="46">
        <v>1</v>
      </c>
      <c r="K2236" s="46">
        <v>4988</v>
      </c>
      <c r="L2236" s="46"/>
      <c r="M2236" s="46"/>
    </row>
    <row r="2237" spans="1:13">
      <c r="A2237" s="46"/>
      <c r="B2237" s="159"/>
      <c r="C2237" s="46"/>
      <c r="D2237" s="46"/>
      <c r="E2237" s="47"/>
      <c r="F2237" s="47"/>
      <c r="G2237" s="46"/>
      <c r="H2237" s="46">
        <v>2</v>
      </c>
      <c r="I2237" s="52" t="s">
        <v>208</v>
      </c>
      <c r="J2237" s="53">
        <v>2</v>
      </c>
      <c r="K2237" s="53">
        <v>988</v>
      </c>
      <c r="L2237" s="53"/>
      <c r="M2237" s="54" t="s">
        <v>255</v>
      </c>
    </row>
    <row r="2238" spans="1:13">
      <c r="A2238" s="46"/>
      <c r="B2238" s="159"/>
      <c r="C2238" s="46"/>
      <c r="D2238" s="46"/>
      <c r="E2238" s="47"/>
      <c r="F2238" s="47"/>
      <c r="G2238" s="46"/>
      <c r="H2238" s="46">
        <v>1</v>
      </c>
      <c r="I2238" s="48" t="s">
        <v>209</v>
      </c>
      <c r="J2238" s="46">
        <v>1</v>
      </c>
      <c r="K2238" s="46">
        <v>786</v>
      </c>
      <c r="L2238" s="46"/>
      <c r="M2238" s="46"/>
    </row>
    <row r="2239" spans="1:13">
      <c r="A2239" s="46"/>
      <c r="B2239" s="159"/>
      <c r="C2239" s="46"/>
      <c r="D2239" s="46"/>
      <c r="E2239" s="47"/>
      <c r="F2239" s="47"/>
      <c r="G2239" s="46"/>
      <c r="H2239" s="46">
        <v>1</v>
      </c>
      <c r="I2239" s="48" t="s">
        <v>210</v>
      </c>
      <c r="J2239" s="46">
        <v>1</v>
      </c>
      <c r="K2239" s="46">
        <v>786</v>
      </c>
      <c r="L2239" s="46"/>
      <c r="M2239" s="46"/>
    </row>
    <row r="2240" spans="1:13">
      <c r="A2240" s="46"/>
      <c r="B2240" s="159"/>
      <c r="C2240" s="46"/>
      <c r="D2240" s="46"/>
      <c r="E2240" s="47"/>
      <c r="F2240" s="47"/>
      <c r="G2240" s="46"/>
      <c r="H2240" s="46">
        <v>1</v>
      </c>
      <c r="I2240" s="48" t="s">
        <v>211</v>
      </c>
      <c r="J2240" s="46">
        <v>1</v>
      </c>
      <c r="K2240" s="46">
        <v>656</v>
      </c>
      <c r="L2240" s="46"/>
      <c r="M2240" s="46"/>
    </row>
    <row r="2241" spans="1:13">
      <c r="A2241" s="46"/>
      <c r="B2241" s="159"/>
      <c r="C2241" s="46"/>
      <c r="D2241" s="46"/>
      <c r="E2241" s="47"/>
      <c r="F2241" s="47"/>
      <c r="G2241" s="46"/>
      <c r="H2241" s="46">
        <v>1</v>
      </c>
      <c r="I2241" s="48" t="s">
        <v>212</v>
      </c>
      <c r="J2241" s="46">
        <v>1</v>
      </c>
      <c r="K2241" s="46">
        <v>656</v>
      </c>
      <c r="L2241" s="46"/>
      <c r="M2241" s="46"/>
    </row>
    <row r="2242" spans="1:13">
      <c r="A2242" s="46"/>
      <c r="B2242" s="159"/>
      <c r="C2242" s="46"/>
      <c r="D2242" s="46"/>
      <c r="E2242" s="47"/>
      <c r="F2242" s="47"/>
      <c r="G2242" s="46"/>
      <c r="H2242" s="46">
        <v>1</v>
      </c>
      <c r="I2242" s="49" t="s">
        <v>213</v>
      </c>
      <c r="J2242" s="46">
        <v>1</v>
      </c>
      <c r="K2242" s="46">
        <v>598</v>
      </c>
      <c r="L2242" s="46"/>
      <c r="M2242" s="46"/>
    </row>
    <row r="2243" spans="1:13">
      <c r="A2243" s="46"/>
      <c r="B2243" s="159"/>
      <c r="C2243" s="46"/>
      <c r="D2243" s="46"/>
      <c r="E2243" s="47"/>
      <c r="F2243" s="47"/>
      <c r="G2243" s="46"/>
      <c r="H2243" s="46">
        <v>1</v>
      </c>
      <c r="I2243" s="48" t="s">
        <v>214</v>
      </c>
      <c r="J2243" s="46">
        <v>1</v>
      </c>
      <c r="K2243" s="46">
        <v>538</v>
      </c>
      <c r="L2243" s="46"/>
      <c r="M2243" s="46"/>
    </row>
    <row r="2244" spans="1:13">
      <c r="A2244" s="46"/>
      <c r="B2244" s="159"/>
      <c r="C2244" s="46"/>
      <c r="D2244" s="46"/>
      <c r="E2244" s="47"/>
      <c r="F2244" s="47"/>
      <c r="G2244" s="46"/>
      <c r="H2244" s="46">
        <v>1</v>
      </c>
      <c r="I2244" s="48" t="s">
        <v>215</v>
      </c>
      <c r="J2244" s="46">
        <v>1</v>
      </c>
      <c r="K2244" s="46">
        <v>238</v>
      </c>
      <c r="L2244" s="46"/>
      <c r="M2244" s="46"/>
    </row>
    <row r="2245" spans="1:13">
      <c r="A2245" s="46">
        <v>6</v>
      </c>
      <c r="B2245" s="159"/>
      <c r="C2245" s="46"/>
      <c r="D2245" s="46">
        <v>1</v>
      </c>
      <c r="E2245" s="47">
        <v>11500</v>
      </c>
      <c r="F2245" s="47">
        <v>37</v>
      </c>
      <c r="G2245" s="46"/>
      <c r="H2245" s="46">
        <v>1</v>
      </c>
      <c r="I2245" s="48" t="s">
        <v>216</v>
      </c>
      <c r="J2245" s="46">
        <v>1</v>
      </c>
      <c r="K2245" s="46">
        <v>2908</v>
      </c>
      <c r="L2245" s="46"/>
      <c r="M2245" s="46"/>
    </row>
    <row r="2246" spans="1:13">
      <c r="A2246" s="46"/>
      <c r="B2246" s="159"/>
      <c r="C2246" s="46"/>
      <c r="D2246" s="46"/>
      <c r="E2246" s="47"/>
      <c r="F2246" s="47"/>
      <c r="G2246" s="46"/>
      <c r="H2246" s="46">
        <v>1</v>
      </c>
      <c r="I2246" s="48" t="s">
        <v>217</v>
      </c>
      <c r="J2246" s="46">
        <v>1</v>
      </c>
      <c r="K2246" s="46">
        <v>2338</v>
      </c>
      <c r="L2246" s="46"/>
      <c r="M2246" s="46"/>
    </row>
    <row r="2247" spans="1:13">
      <c r="A2247" s="46"/>
      <c r="B2247" s="159"/>
      <c r="C2247" s="46"/>
      <c r="D2247" s="46"/>
      <c r="E2247" s="47"/>
      <c r="F2247" s="47"/>
      <c r="G2247" s="46"/>
      <c r="H2247" s="46">
        <v>1</v>
      </c>
      <c r="I2247" s="48" t="s">
        <v>218</v>
      </c>
      <c r="J2247" s="46">
        <v>1</v>
      </c>
      <c r="K2247" s="46">
        <v>2244</v>
      </c>
      <c r="L2247" s="46"/>
      <c r="M2247" s="46"/>
    </row>
    <row r="2248" spans="1:13">
      <c r="A2248" s="46"/>
      <c r="B2248" s="159"/>
      <c r="C2248" s="46"/>
      <c r="D2248" s="46"/>
      <c r="E2248" s="47"/>
      <c r="F2248" s="47"/>
      <c r="G2248" s="46"/>
      <c r="H2248" s="46">
        <v>1</v>
      </c>
      <c r="I2248" s="48" t="s">
        <v>219</v>
      </c>
      <c r="J2248" s="46">
        <v>1</v>
      </c>
      <c r="K2248" s="46">
        <v>2087</v>
      </c>
      <c r="L2248" s="46"/>
      <c r="M2248" s="46"/>
    </row>
    <row r="2249" spans="1:13">
      <c r="A2249" s="46"/>
      <c r="B2249" s="159"/>
      <c r="C2249" s="46"/>
      <c r="D2249" s="46"/>
      <c r="E2249" s="47"/>
      <c r="F2249" s="47"/>
      <c r="G2249" s="46"/>
      <c r="H2249" s="46">
        <v>1</v>
      </c>
      <c r="I2249" s="48" t="s">
        <v>220</v>
      </c>
      <c r="J2249" s="46">
        <v>1</v>
      </c>
      <c r="K2249" s="46">
        <v>1756</v>
      </c>
      <c r="L2249" s="46"/>
      <c r="M2249" s="46"/>
    </row>
    <row r="2250" spans="1:13">
      <c r="A2250" s="46">
        <v>7</v>
      </c>
      <c r="B2250" s="159"/>
      <c r="C2250" s="46"/>
      <c r="D2250" s="46">
        <v>1</v>
      </c>
      <c r="E2250" s="47">
        <v>11500</v>
      </c>
      <c r="F2250" s="47">
        <v>78</v>
      </c>
      <c r="G2250" s="46"/>
      <c r="H2250" s="46">
        <v>1</v>
      </c>
      <c r="I2250" s="48" t="s">
        <v>221</v>
      </c>
      <c r="J2250" s="46">
        <v>1</v>
      </c>
      <c r="K2250" s="46">
        <v>2069</v>
      </c>
      <c r="L2250" s="46"/>
      <c r="M2250" s="46"/>
    </row>
    <row r="2251" spans="1:13">
      <c r="A2251" s="46"/>
      <c r="B2251" s="159"/>
      <c r="C2251" s="46"/>
      <c r="D2251" s="46"/>
      <c r="E2251" s="47"/>
      <c r="F2251" s="47"/>
      <c r="G2251" s="46"/>
      <c r="H2251" s="46">
        <v>1</v>
      </c>
      <c r="I2251" s="48" t="s">
        <v>222</v>
      </c>
      <c r="J2251" s="46">
        <v>1</v>
      </c>
      <c r="K2251" s="46">
        <v>2018</v>
      </c>
      <c r="L2251" s="46"/>
      <c r="M2251" s="46"/>
    </row>
    <row r="2252" spans="1:13">
      <c r="A2252" s="46"/>
      <c r="B2252" s="159"/>
      <c r="C2252" s="46"/>
      <c r="D2252" s="46"/>
      <c r="E2252" s="47"/>
      <c r="F2252" s="47"/>
      <c r="G2252" s="46"/>
      <c r="H2252" s="46">
        <v>1</v>
      </c>
      <c r="I2252" s="48" t="s">
        <v>223</v>
      </c>
      <c r="J2252" s="46">
        <v>1</v>
      </c>
      <c r="K2252" s="46">
        <v>2018</v>
      </c>
      <c r="L2252" s="46"/>
      <c r="M2252" s="46"/>
    </row>
    <row r="2253" spans="1:13">
      <c r="A2253" s="46"/>
      <c r="B2253" s="159"/>
      <c r="C2253" s="46"/>
      <c r="D2253" s="46"/>
      <c r="E2253" s="47"/>
      <c r="F2253" s="47"/>
      <c r="G2253" s="46"/>
      <c r="H2253" s="46">
        <v>1</v>
      </c>
      <c r="I2253" s="48" t="s">
        <v>224</v>
      </c>
      <c r="J2253" s="46">
        <v>1</v>
      </c>
      <c r="K2253" s="46">
        <v>1911</v>
      </c>
      <c r="L2253" s="46"/>
      <c r="M2253" s="46"/>
    </row>
    <row r="2254" spans="1:13">
      <c r="A2254" s="46"/>
      <c r="B2254" s="159"/>
      <c r="C2254" s="46"/>
      <c r="D2254" s="46"/>
      <c r="E2254" s="47"/>
      <c r="F2254" s="47"/>
      <c r="G2254" s="46"/>
      <c r="H2254" s="46">
        <v>1</v>
      </c>
      <c r="I2254" s="48" t="s">
        <v>225</v>
      </c>
      <c r="J2254" s="46">
        <v>1</v>
      </c>
      <c r="K2254" s="46">
        <v>1911</v>
      </c>
      <c r="L2254" s="46"/>
      <c r="M2254" s="46"/>
    </row>
    <row r="2255" spans="1:13">
      <c r="A2255" s="46"/>
      <c r="B2255" s="159"/>
      <c r="C2255" s="46"/>
      <c r="D2255" s="46"/>
      <c r="E2255" s="47"/>
      <c r="F2255" s="47"/>
      <c r="G2255" s="46"/>
      <c r="H2255" s="46">
        <v>1</v>
      </c>
      <c r="I2255" s="48" t="s">
        <v>226</v>
      </c>
      <c r="J2255" s="46">
        <v>1</v>
      </c>
      <c r="K2255" s="46">
        <v>1339</v>
      </c>
      <c r="L2255" s="46"/>
      <c r="M2255" s="46"/>
    </row>
    <row r="2256" spans="1:13">
      <c r="A2256" s="46">
        <v>8</v>
      </c>
      <c r="B2256" s="159"/>
      <c r="C2256" s="46"/>
      <c r="D2256" s="46">
        <v>1</v>
      </c>
      <c r="E2256" s="47">
        <v>11500</v>
      </c>
      <c r="F2256" s="47">
        <v>100</v>
      </c>
      <c r="G2256" s="46"/>
      <c r="H2256" s="46">
        <v>1</v>
      </c>
      <c r="I2256" s="48" t="s">
        <v>227</v>
      </c>
      <c r="J2256" s="46">
        <v>1</v>
      </c>
      <c r="K2256" s="46">
        <v>1819</v>
      </c>
      <c r="L2256" s="46"/>
      <c r="M2256" s="46"/>
    </row>
    <row r="2257" spans="1:13">
      <c r="A2257" s="46"/>
      <c r="B2257" s="159"/>
      <c r="C2257" s="46"/>
      <c r="D2257" s="46"/>
      <c r="E2257" s="47"/>
      <c r="F2257" s="47"/>
      <c r="G2257" s="46"/>
      <c r="H2257" s="46">
        <v>1</v>
      </c>
      <c r="I2257" s="48" t="s">
        <v>228</v>
      </c>
      <c r="J2257" s="46">
        <v>1</v>
      </c>
      <c r="K2257" s="46">
        <v>1797</v>
      </c>
      <c r="L2257" s="46"/>
      <c r="M2257" s="46"/>
    </row>
    <row r="2258" spans="1:13">
      <c r="A2258" s="46"/>
      <c r="B2258" s="159"/>
      <c r="C2258" s="46"/>
      <c r="D2258" s="46"/>
      <c r="E2258" s="47"/>
      <c r="F2258" s="47"/>
      <c r="G2258" s="46"/>
      <c r="H2258" s="46">
        <v>1</v>
      </c>
      <c r="I2258" s="48" t="s">
        <v>229</v>
      </c>
      <c r="J2258" s="46">
        <v>1</v>
      </c>
      <c r="K2258" s="46">
        <v>1756</v>
      </c>
      <c r="L2258" s="46"/>
      <c r="M2258" s="46"/>
    </row>
    <row r="2259" spans="1:13">
      <c r="A2259" s="46"/>
      <c r="B2259" s="159"/>
      <c r="C2259" s="46"/>
      <c r="D2259" s="46"/>
      <c r="E2259" s="47"/>
      <c r="F2259" s="47"/>
      <c r="G2259" s="46"/>
      <c r="H2259" s="46">
        <v>1</v>
      </c>
      <c r="I2259" s="48" t="s">
        <v>230</v>
      </c>
      <c r="J2259" s="46">
        <v>1</v>
      </c>
      <c r="K2259" s="46">
        <v>1618</v>
      </c>
      <c r="L2259" s="46"/>
      <c r="M2259" s="46"/>
    </row>
    <row r="2260" spans="1:13">
      <c r="A2260" s="46"/>
      <c r="B2260" s="159"/>
      <c r="C2260" s="46"/>
      <c r="D2260" s="46"/>
      <c r="E2260" s="47"/>
      <c r="F2260" s="47"/>
      <c r="G2260" s="46"/>
      <c r="H2260" s="46">
        <v>1</v>
      </c>
      <c r="I2260" s="48" t="s">
        <v>231</v>
      </c>
      <c r="J2260" s="46">
        <v>1</v>
      </c>
      <c r="K2260" s="46">
        <v>1488</v>
      </c>
      <c r="L2260" s="46"/>
      <c r="M2260" s="46"/>
    </row>
    <row r="2261" spans="1:13">
      <c r="A2261" s="46"/>
      <c r="B2261" s="159"/>
      <c r="C2261" s="46"/>
      <c r="D2261" s="46"/>
      <c r="E2261" s="47"/>
      <c r="F2261" s="47"/>
      <c r="G2261" s="46"/>
      <c r="H2261" s="46">
        <v>1</v>
      </c>
      <c r="I2261" s="48" t="s">
        <v>232</v>
      </c>
      <c r="J2261" s="46">
        <v>1</v>
      </c>
      <c r="K2261" s="46">
        <v>1288</v>
      </c>
      <c r="L2261" s="46"/>
      <c r="M2261" s="46"/>
    </row>
    <row r="2262" spans="1:13">
      <c r="A2262" s="46"/>
      <c r="B2262" s="159"/>
      <c r="C2262" s="46"/>
      <c r="D2262" s="46"/>
      <c r="E2262" s="47"/>
      <c r="F2262" s="47"/>
      <c r="G2262" s="46"/>
      <c r="H2262" s="46">
        <v>1</v>
      </c>
      <c r="I2262" s="48" t="s">
        <v>233</v>
      </c>
      <c r="J2262" s="46">
        <v>1</v>
      </c>
      <c r="K2262" s="46">
        <v>1038</v>
      </c>
      <c r="L2262" s="46"/>
      <c r="M2262" s="46"/>
    </row>
    <row r="2263" spans="1:13">
      <c r="A2263" s="46"/>
      <c r="B2263" s="160"/>
      <c r="C2263" s="46"/>
      <c r="D2263" s="46"/>
      <c r="E2263" s="47"/>
      <c r="F2263" s="47"/>
      <c r="G2263" s="46"/>
      <c r="H2263" s="46">
        <v>1</v>
      </c>
      <c r="I2263" s="48" t="s">
        <v>234</v>
      </c>
      <c r="J2263" s="46">
        <v>1</v>
      </c>
      <c r="K2263" s="46">
        <v>388</v>
      </c>
      <c r="L2263" s="46"/>
      <c r="M2263" s="46"/>
    </row>
    <row r="2264" spans="1:13">
      <c r="A2264" s="46"/>
      <c r="B2264" s="46"/>
      <c r="C2264" s="46"/>
      <c r="D2264" s="46"/>
      <c r="E2264" s="47"/>
      <c r="F2264" s="47"/>
      <c r="G2264" s="46"/>
      <c r="H2264" s="46"/>
      <c r="I2264" s="48"/>
      <c r="J2264" s="46"/>
      <c r="K2264" s="46"/>
      <c r="L2264" s="46"/>
      <c r="M2264" s="46"/>
    </row>
    <row r="2265" spans="1:13">
      <c r="A2265" s="117" t="s">
        <v>4</v>
      </c>
      <c r="B2265" s="117"/>
      <c r="C2265" s="117"/>
      <c r="D2265" s="117"/>
      <c r="E2265" s="117"/>
      <c r="F2265" s="117"/>
      <c r="G2265" s="117"/>
      <c r="H2265" s="117"/>
      <c r="I2265" s="118" t="s">
        <v>8</v>
      </c>
      <c r="J2265" s="118"/>
      <c r="K2265" s="89" t="s">
        <v>70</v>
      </c>
      <c r="L2265" s="119"/>
      <c r="M2265" s="120"/>
    </row>
    <row r="2266" spans="1:13">
      <c r="A2266" s="117"/>
      <c r="B2266" s="117"/>
      <c r="C2266" s="117"/>
      <c r="D2266" s="117"/>
      <c r="E2266" s="117"/>
      <c r="F2266" s="117"/>
      <c r="G2266" s="117"/>
      <c r="H2266" s="117"/>
      <c r="I2266" s="118" t="s">
        <v>25</v>
      </c>
      <c r="J2266" s="118"/>
      <c r="K2266" s="121" t="s">
        <v>65</v>
      </c>
      <c r="L2266" s="118"/>
      <c r="M2266" s="118"/>
    </row>
    <row r="2267" spans="1:13">
      <c r="A2267" s="117"/>
      <c r="B2267" s="117"/>
      <c r="C2267" s="117"/>
      <c r="D2267" s="117"/>
      <c r="E2267" s="117"/>
      <c r="F2267" s="117"/>
      <c r="G2267" s="117"/>
      <c r="H2267" s="117"/>
      <c r="I2267" s="87" t="s">
        <v>26</v>
      </c>
      <c r="J2267" s="88"/>
      <c r="K2267" s="95" t="s">
        <v>69</v>
      </c>
      <c r="L2267" s="104"/>
      <c r="M2267" s="88"/>
    </row>
    <row r="2268" spans="1:13">
      <c r="A2268" s="118" t="s">
        <v>31</v>
      </c>
      <c r="B2268" s="118"/>
      <c r="C2268" s="118" t="s">
        <v>32</v>
      </c>
      <c r="D2268" s="118"/>
      <c r="E2268" s="118"/>
      <c r="F2268" s="118"/>
      <c r="G2268" s="118"/>
      <c r="H2268" s="118"/>
      <c r="I2268" s="40" t="s">
        <v>29</v>
      </c>
      <c r="J2268" s="41"/>
      <c r="K2268" s="118" t="s">
        <v>21</v>
      </c>
      <c r="L2268" s="118"/>
      <c r="M2268" s="118"/>
    </row>
    <row r="2269" spans="1:13">
      <c r="A2269" s="118"/>
      <c r="B2269" s="118"/>
      <c r="C2269" s="118"/>
      <c r="D2269" s="118"/>
      <c r="E2269" s="118"/>
      <c r="F2269" s="118"/>
      <c r="G2269" s="118"/>
      <c r="H2269" s="118"/>
      <c r="I2269" s="118" t="s">
        <v>30</v>
      </c>
      <c r="J2269" s="118"/>
      <c r="K2269" s="118" t="s">
        <v>72</v>
      </c>
      <c r="L2269" s="118"/>
      <c r="M2269" s="118"/>
    </row>
    <row r="2270" spans="1:13">
      <c r="A2270" s="122" t="s">
        <v>24</v>
      </c>
      <c r="B2270" s="122"/>
      <c r="C2270" s="122"/>
      <c r="D2270" s="42">
        <v>7</v>
      </c>
      <c r="E2270" s="117" t="s">
        <v>40</v>
      </c>
      <c r="F2270" s="117"/>
      <c r="G2270" s="117"/>
      <c r="H2270" s="42">
        <v>12</v>
      </c>
      <c r="I2270" s="118" t="s">
        <v>27</v>
      </c>
      <c r="J2270" s="118"/>
      <c r="K2270" s="118" t="s">
        <v>21</v>
      </c>
      <c r="L2270" s="118"/>
      <c r="M2270" s="118"/>
    </row>
    <row r="2271" spans="1:13" ht="45">
      <c r="A2271" s="3" t="s">
        <v>9</v>
      </c>
      <c r="B2271" s="3" t="s">
        <v>10</v>
      </c>
      <c r="C2271" s="3" t="s">
        <v>11</v>
      </c>
      <c r="D2271" s="3" t="s">
        <v>3</v>
      </c>
      <c r="E2271" s="4" t="s">
        <v>41</v>
      </c>
      <c r="F2271" s="4" t="s">
        <v>12</v>
      </c>
      <c r="G2271" s="3" t="s">
        <v>13</v>
      </c>
      <c r="H2271" s="3" t="s">
        <v>14</v>
      </c>
      <c r="I2271" s="3" t="s">
        <v>15</v>
      </c>
      <c r="J2271" s="3" t="s">
        <v>16</v>
      </c>
      <c r="K2271" s="3" t="s">
        <v>17</v>
      </c>
      <c r="L2271" s="3" t="s">
        <v>18</v>
      </c>
      <c r="M2271" s="3" t="s">
        <v>19</v>
      </c>
    </row>
    <row r="2272" spans="1:13">
      <c r="A2272" s="43">
        <v>1</v>
      </c>
      <c r="B2272" s="161" t="s">
        <v>68</v>
      </c>
      <c r="C2272" s="43"/>
      <c r="D2272" s="43">
        <v>1</v>
      </c>
      <c r="E2272" s="44">
        <v>11500</v>
      </c>
      <c r="F2272" s="44">
        <v>7480</v>
      </c>
      <c r="G2272" s="43"/>
      <c r="H2272" s="43">
        <v>1</v>
      </c>
      <c r="I2272" s="45" t="s">
        <v>235</v>
      </c>
      <c r="J2272" s="43">
        <v>1</v>
      </c>
      <c r="K2272" s="43">
        <v>1412</v>
      </c>
      <c r="L2272" s="43"/>
      <c r="M2272" s="43"/>
    </row>
    <row r="2273" spans="1:13">
      <c r="A2273" s="43"/>
      <c r="B2273" s="162"/>
      <c r="C2273" s="43"/>
      <c r="D2273" s="43"/>
      <c r="E2273" s="44"/>
      <c r="F2273" s="44"/>
      <c r="G2273" s="43"/>
      <c r="H2273" s="43">
        <v>1</v>
      </c>
      <c r="I2273" s="45" t="s">
        <v>236</v>
      </c>
      <c r="J2273" s="43">
        <v>1</v>
      </c>
      <c r="K2273" s="43">
        <v>788</v>
      </c>
      <c r="L2273" s="43"/>
      <c r="M2273" s="43"/>
    </row>
    <row r="2274" spans="1:13">
      <c r="A2274" s="43"/>
      <c r="B2274" s="162"/>
      <c r="C2274" s="43"/>
      <c r="D2274" s="43"/>
      <c r="E2274" s="44"/>
      <c r="F2274" s="44"/>
      <c r="G2274" s="43"/>
      <c r="H2274" s="43">
        <v>1</v>
      </c>
      <c r="I2274" s="45" t="s">
        <v>237</v>
      </c>
      <c r="J2274" s="43">
        <v>1</v>
      </c>
      <c r="K2274" s="43">
        <v>488</v>
      </c>
      <c r="L2274" s="43"/>
      <c r="M2274" s="43"/>
    </row>
    <row r="2275" spans="1:13">
      <c r="A2275" s="43"/>
      <c r="B2275" s="162"/>
      <c r="C2275" s="43"/>
      <c r="D2275" s="43"/>
      <c r="E2275" s="44"/>
      <c r="F2275" s="44"/>
      <c r="G2275" s="43"/>
      <c r="H2275" s="43">
        <v>1</v>
      </c>
      <c r="I2275" s="50" t="s">
        <v>238</v>
      </c>
      <c r="J2275" s="51">
        <v>1</v>
      </c>
      <c r="K2275" s="51">
        <v>388</v>
      </c>
      <c r="L2275" s="51"/>
      <c r="M2275" s="51" t="s">
        <v>164</v>
      </c>
    </row>
    <row r="2276" spans="1:13">
      <c r="A2276" s="43"/>
      <c r="B2276" s="162"/>
      <c r="C2276" s="43"/>
      <c r="D2276" s="43"/>
      <c r="E2276" s="44"/>
      <c r="F2276" s="44"/>
      <c r="G2276" s="43"/>
      <c r="H2276" s="43">
        <v>1</v>
      </c>
      <c r="I2276" s="45" t="s">
        <v>239</v>
      </c>
      <c r="J2276" s="43">
        <v>1</v>
      </c>
      <c r="K2276" s="43">
        <v>388</v>
      </c>
      <c r="L2276" s="43"/>
      <c r="M2276" s="43"/>
    </row>
    <row r="2277" spans="1:13">
      <c r="A2277" s="43"/>
      <c r="B2277" s="162"/>
      <c r="C2277" s="43"/>
      <c r="D2277" s="43"/>
      <c r="E2277" s="44"/>
      <c r="F2277" s="44"/>
      <c r="G2277" s="43"/>
      <c r="H2277" s="43">
        <v>1</v>
      </c>
      <c r="I2277" s="45" t="s">
        <v>240</v>
      </c>
      <c r="J2277" s="43">
        <v>1</v>
      </c>
      <c r="K2277" s="43">
        <v>388</v>
      </c>
      <c r="L2277" s="43"/>
      <c r="M2277" s="43"/>
    </row>
    <row r="2278" spans="1:13">
      <c r="A2278" s="43">
        <v>2</v>
      </c>
      <c r="B2278" s="162"/>
      <c r="C2278" s="43"/>
      <c r="D2278" s="43">
        <v>1</v>
      </c>
      <c r="E2278" s="44">
        <v>11500</v>
      </c>
      <c r="F2278" s="44"/>
      <c r="G2278" s="43"/>
      <c r="H2278" s="43">
        <v>1</v>
      </c>
      <c r="I2278" s="45" t="s">
        <v>241</v>
      </c>
      <c r="J2278" s="43">
        <v>1</v>
      </c>
      <c r="K2278" s="43">
        <v>11500</v>
      </c>
      <c r="L2278" s="43"/>
      <c r="M2278" s="43"/>
    </row>
    <row r="2279" spans="1:13">
      <c r="A2279" s="43">
        <v>3</v>
      </c>
      <c r="B2279" s="162"/>
      <c r="C2279" s="43"/>
      <c r="D2279" s="43">
        <v>1</v>
      </c>
      <c r="E2279" s="44">
        <v>11500</v>
      </c>
      <c r="F2279" s="44"/>
      <c r="G2279" s="43"/>
      <c r="H2279" s="43">
        <v>1</v>
      </c>
      <c r="I2279" s="45" t="s">
        <v>242</v>
      </c>
      <c r="J2279" s="43">
        <v>1</v>
      </c>
      <c r="K2279" s="43">
        <v>11500</v>
      </c>
      <c r="L2279" s="43"/>
      <c r="M2279" s="43"/>
    </row>
    <row r="2280" spans="1:13">
      <c r="A2280" s="43">
        <v>4</v>
      </c>
      <c r="B2280" s="162"/>
      <c r="C2280" s="43"/>
      <c r="D2280" s="43">
        <v>1</v>
      </c>
      <c r="E2280" s="44">
        <v>11500</v>
      </c>
      <c r="F2280" s="44"/>
      <c r="G2280" s="43"/>
      <c r="H2280" s="43">
        <v>1</v>
      </c>
      <c r="I2280" s="45" t="s">
        <v>243</v>
      </c>
      <c r="J2280" s="43">
        <v>1</v>
      </c>
      <c r="K2280" s="43">
        <v>11500</v>
      </c>
      <c r="L2280" s="43"/>
      <c r="M2280" s="43"/>
    </row>
    <row r="2281" spans="1:13">
      <c r="A2281" s="43">
        <v>5</v>
      </c>
      <c r="B2281" s="162"/>
      <c r="C2281" s="43"/>
      <c r="D2281" s="43">
        <v>1</v>
      </c>
      <c r="E2281" s="44">
        <v>11500</v>
      </c>
      <c r="F2281" s="44"/>
      <c r="G2281" s="43"/>
      <c r="H2281" s="43">
        <v>1</v>
      </c>
      <c r="I2281" s="50" t="s">
        <v>244</v>
      </c>
      <c r="J2281" s="51">
        <v>1</v>
      </c>
      <c r="K2281" s="51">
        <v>11500</v>
      </c>
      <c r="L2281" s="51"/>
      <c r="M2281" s="51" t="s">
        <v>164</v>
      </c>
    </row>
    <row r="2282" spans="1:13">
      <c r="A2282" s="43">
        <v>6</v>
      </c>
      <c r="B2282" s="162"/>
      <c r="C2282" s="43"/>
      <c r="D2282" s="43">
        <v>1</v>
      </c>
      <c r="E2282" s="44">
        <v>11500</v>
      </c>
      <c r="F2282" s="44"/>
      <c r="G2282" s="43"/>
      <c r="H2282" s="43">
        <v>1</v>
      </c>
      <c r="I2282" s="45" t="s">
        <v>245</v>
      </c>
      <c r="J2282" s="43">
        <v>1</v>
      </c>
      <c r="K2282" s="43">
        <v>11500</v>
      </c>
      <c r="L2282" s="43"/>
      <c r="M2282" s="43"/>
    </row>
    <row r="2283" spans="1:13">
      <c r="A2283" s="43">
        <v>7</v>
      </c>
      <c r="B2283" s="163"/>
      <c r="C2283" s="43"/>
      <c r="D2283" s="43">
        <v>1</v>
      </c>
      <c r="E2283" s="44">
        <v>11500</v>
      </c>
      <c r="F2283" s="44"/>
      <c r="G2283" s="43"/>
      <c r="H2283" s="43">
        <v>1</v>
      </c>
      <c r="I2283" s="45" t="s">
        <v>246</v>
      </c>
      <c r="J2283" s="43">
        <v>1</v>
      </c>
      <c r="K2283" s="43">
        <v>11500</v>
      </c>
      <c r="L2283" s="43"/>
      <c r="M2283" s="43"/>
    </row>
    <row r="2284" spans="1:13">
      <c r="A2284" s="43"/>
      <c r="B2284" s="43"/>
      <c r="C2284" s="43"/>
      <c r="D2284" s="43"/>
      <c r="E2284" s="44"/>
      <c r="F2284" s="44"/>
      <c r="G2284" s="43"/>
      <c r="H2284" s="43"/>
      <c r="I2284" s="45"/>
      <c r="J2284" s="43"/>
      <c r="K2284" s="43"/>
      <c r="L2284" s="43"/>
      <c r="M2284" s="43"/>
    </row>
    <row r="2285" spans="1:13">
      <c r="A2285" s="117" t="s">
        <v>4</v>
      </c>
      <c r="B2285" s="117"/>
      <c r="C2285" s="117"/>
      <c r="D2285" s="117"/>
      <c r="E2285" s="117"/>
      <c r="F2285" s="117"/>
      <c r="G2285" s="117"/>
      <c r="H2285" s="117"/>
      <c r="I2285" s="118" t="s">
        <v>8</v>
      </c>
      <c r="J2285" s="118"/>
      <c r="K2285" s="89" t="s">
        <v>70</v>
      </c>
      <c r="L2285" s="119"/>
      <c r="M2285" s="120"/>
    </row>
    <row r="2286" spans="1:13">
      <c r="A2286" s="117"/>
      <c r="B2286" s="117"/>
      <c r="C2286" s="117"/>
      <c r="D2286" s="117"/>
      <c r="E2286" s="117"/>
      <c r="F2286" s="117"/>
      <c r="G2286" s="117"/>
      <c r="H2286" s="117"/>
      <c r="I2286" s="118" t="s">
        <v>25</v>
      </c>
      <c r="J2286" s="118"/>
      <c r="K2286" s="121" t="s">
        <v>65</v>
      </c>
      <c r="L2286" s="118"/>
      <c r="M2286" s="118"/>
    </row>
    <row r="2287" spans="1:13">
      <c r="A2287" s="117"/>
      <c r="B2287" s="117"/>
      <c r="C2287" s="117"/>
      <c r="D2287" s="117"/>
      <c r="E2287" s="117"/>
      <c r="F2287" s="117"/>
      <c r="G2287" s="117"/>
      <c r="H2287" s="117"/>
      <c r="I2287" s="87" t="s">
        <v>26</v>
      </c>
      <c r="J2287" s="88"/>
      <c r="K2287" s="95" t="s">
        <v>67</v>
      </c>
      <c r="L2287" s="104"/>
      <c r="M2287" s="88"/>
    </row>
    <row r="2288" spans="1:13">
      <c r="A2288" s="118" t="s">
        <v>31</v>
      </c>
      <c r="B2288" s="118"/>
      <c r="C2288" s="118" t="s">
        <v>32</v>
      </c>
      <c r="D2288" s="118"/>
      <c r="E2288" s="118"/>
      <c r="F2288" s="118"/>
      <c r="G2288" s="118"/>
      <c r="H2288" s="118"/>
      <c r="I2288" s="40" t="s">
        <v>29</v>
      </c>
      <c r="J2288" s="41"/>
      <c r="K2288" s="118" t="s">
        <v>21</v>
      </c>
      <c r="L2288" s="118"/>
      <c r="M2288" s="118"/>
    </row>
    <row r="2289" spans="1:13">
      <c r="A2289" s="118"/>
      <c r="B2289" s="118"/>
      <c r="C2289" s="118"/>
      <c r="D2289" s="118"/>
      <c r="E2289" s="118"/>
      <c r="F2289" s="118"/>
      <c r="G2289" s="118"/>
      <c r="H2289" s="118"/>
      <c r="I2289" s="118" t="s">
        <v>30</v>
      </c>
      <c r="J2289" s="118"/>
      <c r="K2289" s="118" t="s">
        <v>71</v>
      </c>
      <c r="L2289" s="118"/>
      <c r="M2289" s="118"/>
    </row>
    <row r="2290" spans="1:13">
      <c r="A2290" s="122" t="s">
        <v>24</v>
      </c>
      <c r="B2290" s="122"/>
      <c r="C2290" s="122"/>
      <c r="D2290" s="42">
        <v>1</v>
      </c>
      <c r="E2290" s="117" t="s">
        <v>40</v>
      </c>
      <c r="F2290" s="117"/>
      <c r="G2290" s="117"/>
      <c r="H2290" s="42">
        <v>8</v>
      </c>
      <c r="I2290" s="118" t="s">
        <v>27</v>
      </c>
      <c r="J2290" s="118"/>
      <c r="K2290" s="118" t="s">
        <v>21</v>
      </c>
      <c r="L2290" s="118"/>
      <c r="M2290" s="118"/>
    </row>
    <row r="2291" spans="1:13" ht="45">
      <c r="A2291" s="3" t="s">
        <v>9</v>
      </c>
      <c r="B2291" s="3" t="s">
        <v>10</v>
      </c>
      <c r="C2291" s="3" t="s">
        <v>11</v>
      </c>
      <c r="D2291" s="3" t="s">
        <v>3</v>
      </c>
      <c r="E2291" s="4" t="s">
        <v>41</v>
      </c>
      <c r="F2291" s="4" t="s">
        <v>12</v>
      </c>
      <c r="G2291" s="3" t="s">
        <v>13</v>
      </c>
      <c r="H2291" s="3" t="s">
        <v>14</v>
      </c>
      <c r="I2291" s="3" t="s">
        <v>15</v>
      </c>
      <c r="J2291" s="3" t="s">
        <v>16</v>
      </c>
      <c r="K2291" s="3" t="s">
        <v>17</v>
      </c>
      <c r="L2291" s="3" t="s">
        <v>18</v>
      </c>
      <c r="M2291" s="3" t="s">
        <v>19</v>
      </c>
    </row>
    <row r="2292" spans="1:13">
      <c r="A2292" s="43">
        <v>1</v>
      </c>
      <c r="B2292" s="161" t="s">
        <v>66</v>
      </c>
      <c r="C2292" s="43"/>
      <c r="D2292" s="43">
        <v>1</v>
      </c>
      <c r="E2292" s="44">
        <v>11500</v>
      </c>
      <c r="F2292" s="44">
        <v>1202</v>
      </c>
      <c r="G2292" s="43"/>
      <c r="H2292" s="43">
        <v>1</v>
      </c>
      <c r="I2292" s="45" t="s">
        <v>247</v>
      </c>
      <c r="J2292" s="43">
        <v>1</v>
      </c>
      <c r="K2292" s="43">
        <v>1678</v>
      </c>
      <c r="L2292" s="43"/>
      <c r="M2292" s="43"/>
    </row>
    <row r="2293" spans="1:13">
      <c r="A2293" s="43"/>
      <c r="B2293" s="162"/>
      <c r="C2293" s="43"/>
      <c r="D2293" s="43"/>
      <c r="E2293" s="44"/>
      <c r="F2293" s="44"/>
      <c r="G2293" s="43"/>
      <c r="H2293" s="43">
        <v>1</v>
      </c>
      <c r="I2293" s="45" t="s">
        <v>248</v>
      </c>
      <c r="J2293" s="43">
        <v>1</v>
      </c>
      <c r="K2293" s="43">
        <v>1678</v>
      </c>
      <c r="L2293" s="43"/>
      <c r="M2293" s="43"/>
    </row>
    <row r="2294" spans="1:13">
      <c r="A2294" s="43"/>
      <c r="B2294" s="162"/>
      <c r="C2294" s="43"/>
      <c r="D2294" s="43"/>
      <c r="E2294" s="44"/>
      <c r="F2294" s="44"/>
      <c r="G2294" s="43"/>
      <c r="H2294" s="43">
        <v>1</v>
      </c>
      <c r="I2294" s="45" t="s">
        <v>249</v>
      </c>
      <c r="J2294" s="43">
        <v>1</v>
      </c>
      <c r="K2294" s="43">
        <v>1678</v>
      </c>
      <c r="L2294" s="43"/>
      <c r="M2294" s="43"/>
    </row>
    <row r="2295" spans="1:13">
      <c r="A2295" s="43"/>
      <c r="B2295" s="162"/>
      <c r="C2295" s="43"/>
      <c r="D2295" s="43"/>
      <c r="E2295" s="44"/>
      <c r="F2295" s="44"/>
      <c r="G2295" s="43"/>
      <c r="H2295" s="43">
        <v>1</v>
      </c>
      <c r="I2295" s="45" t="s">
        <v>250</v>
      </c>
      <c r="J2295" s="43">
        <v>1</v>
      </c>
      <c r="K2295" s="43">
        <v>1678</v>
      </c>
      <c r="L2295" s="43"/>
      <c r="M2295" s="43"/>
    </row>
    <row r="2296" spans="1:13">
      <c r="A2296" s="43"/>
      <c r="B2296" s="162"/>
      <c r="C2296" s="43"/>
      <c r="D2296" s="43"/>
      <c r="E2296" s="44"/>
      <c r="F2296" s="44"/>
      <c r="G2296" s="43"/>
      <c r="H2296" s="43">
        <v>1</v>
      </c>
      <c r="I2296" s="45" t="s">
        <v>251</v>
      </c>
      <c r="J2296" s="43">
        <v>1</v>
      </c>
      <c r="K2296" s="43">
        <v>876</v>
      </c>
      <c r="L2296" s="43"/>
      <c r="M2296" s="43"/>
    </row>
    <row r="2297" spans="1:13">
      <c r="A2297" s="43"/>
      <c r="B2297" s="162"/>
      <c r="C2297" s="43"/>
      <c r="D2297" s="43"/>
      <c r="E2297" s="44"/>
      <c r="F2297" s="44"/>
      <c r="G2297" s="43"/>
      <c r="H2297" s="43">
        <v>1</v>
      </c>
      <c r="I2297" s="45" t="s">
        <v>252</v>
      </c>
      <c r="J2297" s="43">
        <v>1</v>
      </c>
      <c r="K2297" s="43">
        <v>876</v>
      </c>
      <c r="L2297" s="43"/>
      <c r="M2297" s="43"/>
    </row>
    <row r="2298" spans="1:13">
      <c r="A2298" s="43"/>
      <c r="B2298" s="162"/>
      <c r="C2298" s="43"/>
      <c r="D2298" s="43"/>
      <c r="E2298" s="44"/>
      <c r="F2298" s="44"/>
      <c r="G2298" s="43"/>
      <c r="H2298" s="43">
        <v>1</v>
      </c>
      <c r="I2298" s="45" t="s">
        <v>253</v>
      </c>
      <c r="J2298" s="43">
        <v>1</v>
      </c>
      <c r="K2298" s="43">
        <v>876</v>
      </c>
      <c r="L2298" s="43"/>
      <c r="M2298" s="43"/>
    </row>
    <row r="2299" spans="1:13">
      <c r="A2299" s="43"/>
      <c r="B2299" s="163"/>
      <c r="C2299" s="43"/>
      <c r="D2299" s="43"/>
      <c r="E2299" s="44"/>
      <c r="F2299" s="44"/>
      <c r="G2299" s="43"/>
      <c r="H2299" s="43">
        <v>1</v>
      </c>
      <c r="I2299" s="45" t="s">
        <v>254</v>
      </c>
      <c r="J2299" s="43">
        <v>1</v>
      </c>
      <c r="K2299" s="43">
        <v>750</v>
      </c>
      <c r="L2299" s="43"/>
      <c r="M2299" s="43"/>
    </row>
    <row r="2300" spans="1:13">
      <c r="A2300" s="43"/>
      <c r="B2300" s="43"/>
      <c r="C2300" s="43"/>
      <c r="D2300" s="43"/>
      <c r="E2300" s="44"/>
      <c r="F2300" s="44"/>
      <c r="G2300" s="43"/>
      <c r="H2300" s="43"/>
      <c r="I2300" s="45"/>
      <c r="J2300" s="43"/>
      <c r="K2300" s="43"/>
      <c r="L2300" s="43"/>
      <c r="M2300" s="43"/>
    </row>
    <row r="2301" spans="1:13" ht="15.75">
      <c r="A2301" s="146" t="s">
        <v>4</v>
      </c>
      <c r="B2301" s="146"/>
      <c r="C2301" s="146"/>
      <c r="D2301" s="146"/>
      <c r="E2301" s="146"/>
      <c r="F2301" s="146"/>
      <c r="G2301" s="146"/>
      <c r="H2301" s="146"/>
      <c r="I2301" s="147" t="s">
        <v>8</v>
      </c>
      <c r="J2301" s="147"/>
      <c r="K2301" s="148" t="s">
        <v>58</v>
      </c>
      <c r="L2301" s="149"/>
      <c r="M2301" s="150"/>
    </row>
    <row r="2302" spans="1:13" ht="15.75">
      <c r="A2302" s="146"/>
      <c r="B2302" s="146"/>
      <c r="C2302" s="146"/>
      <c r="D2302" s="146"/>
      <c r="E2302" s="146"/>
      <c r="F2302" s="146"/>
      <c r="G2302" s="146"/>
      <c r="H2302" s="146"/>
      <c r="I2302" s="147" t="s">
        <v>25</v>
      </c>
      <c r="J2302" s="147"/>
      <c r="K2302" s="151" t="s">
        <v>62</v>
      </c>
      <c r="L2302" s="147"/>
      <c r="M2302" s="147"/>
    </row>
    <row r="2303" spans="1:13" ht="15.75">
      <c r="A2303" s="146"/>
      <c r="B2303" s="146"/>
      <c r="C2303" s="146"/>
      <c r="D2303" s="146"/>
      <c r="E2303" s="146"/>
      <c r="F2303" s="146"/>
      <c r="G2303" s="146"/>
      <c r="H2303" s="146"/>
      <c r="I2303" s="152" t="s">
        <v>26</v>
      </c>
      <c r="J2303" s="153"/>
      <c r="K2303" s="154" t="s">
        <v>47</v>
      </c>
      <c r="L2303" s="155"/>
      <c r="M2303" s="153"/>
    </row>
    <row r="2304" spans="1:13" ht="15.75">
      <c r="A2304" s="147" t="s">
        <v>31</v>
      </c>
      <c r="B2304" s="147"/>
      <c r="C2304" s="147" t="s">
        <v>32</v>
      </c>
      <c r="D2304" s="147"/>
      <c r="E2304" s="147"/>
      <c r="F2304" s="147"/>
      <c r="G2304" s="147"/>
      <c r="H2304" s="147"/>
      <c r="I2304" s="36" t="s">
        <v>29</v>
      </c>
      <c r="J2304" s="37"/>
      <c r="K2304" s="147" t="s">
        <v>64</v>
      </c>
      <c r="L2304" s="147"/>
      <c r="M2304" s="147"/>
    </row>
    <row r="2305" spans="1:13" ht="15.75">
      <c r="A2305" s="147"/>
      <c r="B2305" s="147"/>
      <c r="C2305" s="147"/>
      <c r="D2305" s="147"/>
      <c r="E2305" s="147"/>
      <c r="F2305" s="147"/>
      <c r="G2305" s="147"/>
      <c r="H2305" s="147"/>
      <c r="I2305" s="147" t="s">
        <v>30</v>
      </c>
      <c r="J2305" s="147"/>
      <c r="K2305" s="147" t="s">
        <v>63</v>
      </c>
      <c r="L2305" s="147"/>
      <c r="M2305" s="147"/>
    </row>
    <row r="2306" spans="1:13" ht="15.75">
      <c r="A2306" s="156" t="s">
        <v>24</v>
      </c>
      <c r="B2306" s="156"/>
      <c r="C2306" s="156"/>
      <c r="D2306" s="35">
        <v>1</v>
      </c>
      <c r="E2306" s="157" t="s">
        <v>40</v>
      </c>
      <c r="F2306" s="157"/>
      <c r="G2306" s="157"/>
      <c r="H2306" s="35">
        <v>2</v>
      </c>
      <c r="I2306" s="147" t="s">
        <v>27</v>
      </c>
      <c r="J2306" s="147"/>
      <c r="K2306" s="147" t="s">
        <v>21</v>
      </c>
      <c r="L2306" s="147"/>
      <c r="M2306" s="147"/>
    </row>
    <row r="2307" spans="1:13" ht="45">
      <c r="A2307" s="38" t="s">
        <v>9</v>
      </c>
      <c r="B2307" s="38" t="s">
        <v>10</v>
      </c>
      <c r="C2307" s="38" t="s">
        <v>11</v>
      </c>
      <c r="D2307" s="38" t="s">
        <v>3</v>
      </c>
      <c r="E2307" s="39" t="s">
        <v>41</v>
      </c>
      <c r="F2307" s="39" t="s">
        <v>12</v>
      </c>
      <c r="G2307" s="38" t="s">
        <v>13</v>
      </c>
      <c r="H2307" s="38" t="s">
        <v>14</v>
      </c>
      <c r="I2307" s="38" t="s">
        <v>15</v>
      </c>
      <c r="J2307" s="38" t="s">
        <v>16</v>
      </c>
      <c r="K2307" s="38" t="s">
        <v>17</v>
      </c>
      <c r="L2307" s="38" t="s">
        <v>18</v>
      </c>
      <c r="M2307" s="38" t="s">
        <v>19</v>
      </c>
    </row>
    <row r="2308" spans="1:13">
      <c r="A2308" s="18">
        <v>1</v>
      </c>
      <c r="B2308" s="111" t="s">
        <v>49</v>
      </c>
      <c r="C2308" s="18" t="s">
        <v>1045</v>
      </c>
      <c r="D2308" s="18">
        <v>1</v>
      </c>
      <c r="E2308" s="20">
        <v>7581</v>
      </c>
      <c r="F2308" s="20">
        <v>4921</v>
      </c>
      <c r="G2308" s="18"/>
      <c r="H2308" s="18">
        <v>1</v>
      </c>
      <c r="I2308" s="21" t="s">
        <v>61</v>
      </c>
      <c r="J2308" s="18">
        <v>1</v>
      </c>
      <c r="K2308" s="18">
        <v>1618</v>
      </c>
      <c r="L2308" s="22"/>
      <c r="M2308" s="18"/>
    </row>
    <row r="2309" spans="1:13">
      <c r="A2309" s="18"/>
      <c r="B2309" s="113"/>
      <c r="C2309" s="18"/>
      <c r="D2309" s="18"/>
      <c r="E2309" s="20"/>
      <c r="F2309" s="20"/>
      <c r="G2309" s="18"/>
      <c r="H2309" s="18">
        <v>1</v>
      </c>
      <c r="I2309" s="21" t="s">
        <v>60</v>
      </c>
      <c r="J2309" s="18">
        <v>1</v>
      </c>
      <c r="K2309" s="18">
        <v>990</v>
      </c>
      <c r="L2309" s="22"/>
      <c r="M2309" s="18"/>
    </row>
    <row r="2310" spans="1:13">
      <c r="A2310" s="18"/>
      <c r="B2310" s="112"/>
      <c r="C2310" s="18"/>
      <c r="D2310" s="18"/>
      <c r="E2310" s="20"/>
      <c r="F2310" s="20"/>
      <c r="G2310" s="18"/>
      <c r="H2310" s="18"/>
      <c r="I2310" s="21"/>
      <c r="J2310" s="18"/>
      <c r="K2310" s="18"/>
      <c r="L2310" s="22"/>
      <c r="M2310" s="18"/>
    </row>
    <row r="2311" spans="1:13" ht="15.75">
      <c r="A2311" s="146" t="s">
        <v>4</v>
      </c>
      <c r="B2311" s="146"/>
      <c r="C2311" s="146"/>
      <c r="D2311" s="146"/>
      <c r="E2311" s="146"/>
      <c r="F2311" s="146"/>
      <c r="G2311" s="146"/>
      <c r="H2311" s="146"/>
      <c r="I2311" s="147" t="s">
        <v>8</v>
      </c>
      <c r="J2311" s="147"/>
      <c r="K2311" s="148" t="s">
        <v>58</v>
      </c>
      <c r="L2311" s="149"/>
      <c r="M2311" s="150"/>
    </row>
    <row r="2312" spans="1:13" ht="15.75">
      <c r="A2312" s="146"/>
      <c r="B2312" s="146"/>
      <c r="C2312" s="146"/>
      <c r="D2312" s="146"/>
      <c r="E2312" s="146"/>
      <c r="F2312" s="146"/>
      <c r="G2312" s="146"/>
      <c r="H2312" s="146"/>
      <c r="I2312" s="147" t="s">
        <v>25</v>
      </c>
      <c r="J2312" s="147"/>
      <c r="K2312" s="151" t="s">
        <v>42</v>
      </c>
      <c r="L2312" s="147"/>
      <c r="M2312" s="147"/>
    </row>
    <row r="2313" spans="1:13" ht="15.75">
      <c r="A2313" s="146"/>
      <c r="B2313" s="146"/>
      <c r="C2313" s="146"/>
      <c r="D2313" s="146"/>
      <c r="E2313" s="146"/>
      <c r="F2313" s="146"/>
      <c r="G2313" s="146"/>
      <c r="H2313" s="146"/>
      <c r="I2313" s="152" t="s">
        <v>26</v>
      </c>
      <c r="J2313" s="153"/>
      <c r="K2313" s="154" t="s">
        <v>56</v>
      </c>
      <c r="L2313" s="155"/>
      <c r="M2313" s="153"/>
    </row>
    <row r="2314" spans="1:13" ht="15.75">
      <c r="A2314" s="147" t="s">
        <v>31</v>
      </c>
      <c r="B2314" s="147"/>
      <c r="C2314" s="147" t="s">
        <v>32</v>
      </c>
      <c r="D2314" s="147"/>
      <c r="E2314" s="147"/>
      <c r="F2314" s="147"/>
      <c r="G2314" s="147"/>
      <c r="H2314" s="147"/>
      <c r="I2314" s="36" t="s">
        <v>29</v>
      </c>
      <c r="J2314" s="37"/>
      <c r="K2314" s="36" t="s">
        <v>44</v>
      </c>
      <c r="L2314" s="33"/>
      <c r="M2314" s="37"/>
    </row>
    <row r="2315" spans="1:13" ht="15.75">
      <c r="A2315" s="147"/>
      <c r="B2315" s="147"/>
      <c r="C2315" s="147"/>
      <c r="D2315" s="147"/>
      <c r="E2315" s="147"/>
      <c r="F2315" s="147"/>
      <c r="G2315" s="147"/>
      <c r="H2315" s="147"/>
      <c r="I2315" s="147" t="s">
        <v>30</v>
      </c>
      <c r="J2315" s="147"/>
      <c r="K2315" s="147" t="s">
        <v>57</v>
      </c>
      <c r="L2315" s="147"/>
      <c r="M2315" s="147"/>
    </row>
    <row r="2316" spans="1:13" ht="15.75">
      <c r="A2316" s="156" t="s">
        <v>24</v>
      </c>
      <c r="B2316" s="156"/>
      <c r="C2316" s="156"/>
      <c r="D2316" s="35">
        <v>3</v>
      </c>
      <c r="E2316" s="157" t="s">
        <v>40</v>
      </c>
      <c r="F2316" s="157"/>
      <c r="G2316" s="157"/>
      <c r="H2316" s="35">
        <v>4</v>
      </c>
      <c r="I2316" s="147" t="s">
        <v>27</v>
      </c>
      <c r="J2316" s="147"/>
      <c r="K2316" s="147" t="s">
        <v>21</v>
      </c>
      <c r="L2316" s="147"/>
      <c r="M2316" s="147"/>
    </row>
    <row r="2317" spans="1:13" ht="45">
      <c r="A2317" s="3" t="s">
        <v>9</v>
      </c>
      <c r="B2317" s="3" t="s">
        <v>10</v>
      </c>
      <c r="C2317" s="3" t="s">
        <v>11</v>
      </c>
      <c r="D2317" s="3" t="s">
        <v>3</v>
      </c>
      <c r="E2317" s="4" t="s">
        <v>41</v>
      </c>
      <c r="F2317" s="4" t="s">
        <v>12</v>
      </c>
      <c r="G2317" s="3" t="s">
        <v>13</v>
      </c>
      <c r="H2317" s="3" t="s">
        <v>14</v>
      </c>
      <c r="I2317" s="3" t="s">
        <v>15</v>
      </c>
      <c r="J2317" s="3" t="s">
        <v>16</v>
      </c>
      <c r="K2317" s="3" t="s">
        <v>17</v>
      </c>
      <c r="L2317" s="3" t="s">
        <v>18</v>
      </c>
      <c r="M2317" s="3" t="s">
        <v>19</v>
      </c>
    </row>
    <row r="2318" spans="1:13">
      <c r="A2318" s="18">
        <v>1</v>
      </c>
      <c r="B2318" s="111" t="s">
        <v>59</v>
      </c>
      <c r="C2318" s="18"/>
      <c r="D2318" s="18">
        <v>1</v>
      </c>
      <c r="E2318" s="20">
        <v>11500</v>
      </c>
      <c r="F2318" s="20">
        <v>10058</v>
      </c>
      <c r="G2318" s="18"/>
      <c r="H2318" s="18">
        <v>1</v>
      </c>
      <c r="I2318" s="21" t="s">
        <v>75</v>
      </c>
      <c r="J2318" s="18">
        <v>1</v>
      </c>
      <c r="K2318" s="18">
        <v>695</v>
      </c>
      <c r="L2318" s="22"/>
      <c r="M2318" s="18"/>
    </row>
    <row r="2319" spans="1:13">
      <c r="A2319" s="18"/>
      <c r="B2319" s="113"/>
      <c r="C2319" s="18"/>
      <c r="D2319" s="18"/>
      <c r="E2319" s="20"/>
      <c r="F2319" s="20"/>
      <c r="G2319" s="18"/>
      <c r="H2319" s="18">
        <v>1</v>
      </c>
      <c r="I2319" s="21" t="s">
        <v>76</v>
      </c>
      <c r="J2319" s="18">
        <v>1</v>
      </c>
      <c r="K2319" s="18">
        <v>695</v>
      </c>
      <c r="L2319" s="22"/>
      <c r="M2319" s="18"/>
    </row>
    <row r="2320" spans="1:13">
      <c r="A2320" s="18">
        <v>2</v>
      </c>
      <c r="B2320" s="113"/>
      <c r="C2320" s="18"/>
      <c r="D2320" s="18">
        <v>1</v>
      </c>
      <c r="E2320" s="20">
        <v>11500</v>
      </c>
      <c r="F2320" s="20">
        <v>-26</v>
      </c>
      <c r="G2320" s="18"/>
      <c r="H2320" s="18">
        <v>1</v>
      </c>
      <c r="I2320" s="21" t="s">
        <v>77</v>
      </c>
      <c r="J2320" s="18">
        <v>1</v>
      </c>
      <c r="K2320" s="18">
        <v>11500</v>
      </c>
      <c r="L2320" s="22"/>
      <c r="M2320" s="18"/>
    </row>
    <row r="2321" spans="1:13">
      <c r="A2321" s="18">
        <v>3</v>
      </c>
      <c r="B2321" s="113"/>
      <c r="C2321" s="18"/>
      <c r="D2321" s="18">
        <v>1</v>
      </c>
      <c r="E2321" s="20">
        <v>11500</v>
      </c>
      <c r="F2321" s="20">
        <v>-26</v>
      </c>
      <c r="G2321" s="18"/>
      <c r="H2321" s="18">
        <v>1</v>
      </c>
      <c r="I2321" s="21" t="s">
        <v>78</v>
      </c>
      <c r="J2321" s="18">
        <v>1</v>
      </c>
      <c r="K2321" s="18">
        <v>11500</v>
      </c>
      <c r="L2321" s="22"/>
      <c r="M2321" s="18"/>
    </row>
    <row r="2322" spans="1:13">
      <c r="A2322" s="18"/>
      <c r="B2322" s="112"/>
      <c r="C2322" s="18"/>
      <c r="D2322" s="18"/>
      <c r="E2322" s="20"/>
      <c r="F2322" s="20"/>
      <c r="G2322" s="18"/>
      <c r="H2322" s="18"/>
      <c r="I2322" s="21"/>
      <c r="J2322" s="18"/>
      <c r="K2322" s="18"/>
      <c r="L2322" s="22"/>
      <c r="M2322" s="18"/>
    </row>
    <row r="2323" spans="1:13" ht="15.75">
      <c r="A2323" s="146" t="s">
        <v>4</v>
      </c>
      <c r="B2323" s="146"/>
      <c r="C2323" s="146"/>
      <c r="D2323" s="146"/>
      <c r="E2323" s="146"/>
      <c r="F2323" s="146"/>
      <c r="G2323" s="146"/>
      <c r="H2323" s="146"/>
      <c r="I2323" s="147" t="s">
        <v>8</v>
      </c>
      <c r="J2323" s="147"/>
      <c r="K2323" s="148" t="s">
        <v>58</v>
      </c>
      <c r="L2323" s="149"/>
      <c r="M2323" s="150"/>
    </row>
    <row r="2324" spans="1:13" ht="15.75">
      <c r="A2324" s="146"/>
      <c r="B2324" s="146"/>
      <c r="C2324" s="146"/>
      <c r="D2324" s="146"/>
      <c r="E2324" s="146"/>
      <c r="F2324" s="146"/>
      <c r="G2324" s="146"/>
      <c r="H2324" s="146"/>
      <c r="I2324" s="147" t="s">
        <v>25</v>
      </c>
      <c r="J2324" s="147"/>
      <c r="K2324" s="151" t="s">
        <v>42</v>
      </c>
      <c r="L2324" s="147"/>
      <c r="M2324" s="147"/>
    </row>
    <row r="2325" spans="1:13" ht="15.75">
      <c r="A2325" s="146"/>
      <c r="B2325" s="146"/>
      <c r="C2325" s="146"/>
      <c r="D2325" s="146"/>
      <c r="E2325" s="146"/>
      <c r="F2325" s="146"/>
      <c r="G2325" s="146"/>
      <c r="H2325" s="146"/>
      <c r="I2325" s="152" t="s">
        <v>26</v>
      </c>
      <c r="J2325" s="153"/>
      <c r="K2325" s="154" t="s">
        <v>53</v>
      </c>
      <c r="L2325" s="155"/>
      <c r="M2325" s="153"/>
    </row>
    <row r="2326" spans="1:13" ht="15.75">
      <c r="A2326" s="147" t="s">
        <v>31</v>
      </c>
      <c r="B2326" s="147"/>
      <c r="C2326" s="147" t="s">
        <v>32</v>
      </c>
      <c r="D2326" s="147"/>
      <c r="E2326" s="147"/>
      <c r="F2326" s="147"/>
      <c r="G2326" s="147"/>
      <c r="H2326" s="147"/>
      <c r="I2326" s="36" t="s">
        <v>29</v>
      </c>
      <c r="J2326" s="37"/>
      <c r="K2326" s="36" t="s">
        <v>44</v>
      </c>
      <c r="L2326" s="33"/>
      <c r="M2326" s="37"/>
    </row>
    <row r="2327" spans="1:13" ht="15.75">
      <c r="A2327" s="147"/>
      <c r="B2327" s="147"/>
      <c r="C2327" s="147"/>
      <c r="D2327" s="147"/>
      <c r="E2327" s="147"/>
      <c r="F2327" s="147"/>
      <c r="G2327" s="147"/>
      <c r="H2327" s="147"/>
      <c r="I2327" s="147" t="s">
        <v>30</v>
      </c>
      <c r="J2327" s="147"/>
      <c r="K2327" s="147" t="s">
        <v>54</v>
      </c>
      <c r="L2327" s="147"/>
      <c r="M2327" s="147"/>
    </row>
    <row r="2328" spans="1:13" ht="15.75">
      <c r="A2328" s="156" t="s">
        <v>24</v>
      </c>
      <c r="B2328" s="156"/>
      <c r="C2328" s="156"/>
      <c r="D2328" s="35">
        <v>2</v>
      </c>
      <c r="E2328" s="157" t="s">
        <v>40</v>
      </c>
      <c r="F2328" s="157"/>
      <c r="G2328" s="157"/>
      <c r="H2328" s="35">
        <v>3</v>
      </c>
      <c r="I2328" s="147" t="s">
        <v>27</v>
      </c>
      <c r="J2328" s="147"/>
      <c r="K2328" s="147" t="s">
        <v>21</v>
      </c>
      <c r="L2328" s="147"/>
      <c r="M2328" s="147"/>
    </row>
    <row r="2329" spans="1:13" ht="45">
      <c r="A2329" s="3" t="s">
        <v>9</v>
      </c>
      <c r="B2329" s="3" t="s">
        <v>10</v>
      </c>
      <c r="C2329" s="3" t="s">
        <v>11</v>
      </c>
      <c r="D2329" s="3" t="s">
        <v>3</v>
      </c>
      <c r="E2329" s="4" t="s">
        <v>41</v>
      </c>
      <c r="F2329" s="4" t="s">
        <v>12</v>
      </c>
      <c r="G2329" s="3" t="s">
        <v>13</v>
      </c>
      <c r="H2329" s="3" t="s">
        <v>14</v>
      </c>
      <c r="I2329" s="3" t="s">
        <v>15</v>
      </c>
      <c r="J2329" s="3" t="s">
        <v>16</v>
      </c>
      <c r="K2329" s="3" t="s">
        <v>17</v>
      </c>
      <c r="L2329" s="3" t="s">
        <v>18</v>
      </c>
      <c r="M2329" s="3" t="s">
        <v>19</v>
      </c>
    </row>
    <row r="2330" spans="1:13">
      <c r="A2330" s="18">
        <v>1</v>
      </c>
      <c r="B2330" s="111" t="s">
        <v>55</v>
      </c>
      <c r="C2330" s="18"/>
      <c r="D2330" s="18">
        <v>1</v>
      </c>
      <c r="E2330" s="20">
        <v>11500</v>
      </c>
      <c r="F2330" s="20">
        <v>5258</v>
      </c>
      <c r="G2330" s="18"/>
      <c r="H2330" s="18">
        <v>1</v>
      </c>
      <c r="I2330" s="21" t="s">
        <v>79</v>
      </c>
      <c r="J2330" s="18">
        <v>1</v>
      </c>
      <c r="K2330" s="18">
        <v>3195</v>
      </c>
      <c r="L2330" s="22"/>
      <c r="M2330" s="18"/>
    </row>
    <row r="2331" spans="1:13">
      <c r="A2331" s="18"/>
      <c r="B2331" s="113"/>
      <c r="C2331" s="18"/>
      <c r="D2331" s="18"/>
      <c r="E2331" s="20"/>
      <c r="F2331" s="20"/>
      <c r="G2331" s="18"/>
      <c r="H2331" s="18">
        <v>1</v>
      </c>
      <c r="I2331" s="21" t="s">
        <v>80</v>
      </c>
      <c r="J2331" s="18">
        <v>1</v>
      </c>
      <c r="K2331" s="18">
        <v>2995</v>
      </c>
      <c r="L2331" s="22"/>
      <c r="M2331" s="18"/>
    </row>
    <row r="2332" spans="1:13">
      <c r="A2332" s="18">
        <v>2</v>
      </c>
      <c r="B2332" s="113"/>
      <c r="C2332" s="18"/>
      <c r="D2332" s="18">
        <v>1</v>
      </c>
      <c r="E2332" s="20">
        <v>11500</v>
      </c>
      <c r="F2332" s="20">
        <v>0</v>
      </c>
      <c r="G2332" s="18"/>
      <c r="H2332" s="18">
        <v>1</v>
      </c>
      <c r="I2332" s="21" t="s">
        <v>81</v>
      </c>
      <c r="J2332" s="18">
        <v>1</v>
      </c>
      <c r="K2332" s="18">
        <v>11500</v>
      </c>
      <c r="L2332" s="22"/>
      <c r="M2332" s="18"/>
    </row>
    <row r="2333" spans="1:13">
      <c r="A2333" s="18"/>
      <c r="B2333" s="112"/>
      <c r="C2333" s="18"/>
      <c r="D2333" s="18"/>
      <c r="E2333" s="20"/>
      <c r="F2333" s="20"/>
      <c r="G2333" s="18"/>
      <c r="H2333" s="18"/>
      <c r="I2333" s="21"/>
      <c r="J2333" s="18"/>
      <c r="K2333" s="18"/>
      <c r="L2333" s="22"/>
      <c r="M2333" s="18"/>
    </row>
    <row r="2334" spans="1:13" ht="15.75">
      <c r="A2334" s="146" t="s">
        <v>4</v>
      </c>
      <c r="B2334" s="146"/>
      <c r="C2334" s="146"/>
      <c r="D2334" s="146"/>
      <c r="E2334" s="146"/>
      <c r="F2334" s="146"/>
      <c r="G2334" s="146"/>
      <c r="H2334" s="146"/>
      <c r="I2334" s="147" t="s">
        <v>8</v>
      </c>
      <c r="J2334" s="147"/>
      <c r="K2334" s="148" t="s">
        <v>58</v>
      </c>
      <c r="L2334" s="149"/>
      <c r="M2334" s="150"/>
    </row>
    <row r="2335" spans="1:13" ht="15.75">
      <c r="A2335" s="146"/>
      <c r="B2335" s="146"/>
      <c r="C2335" s="146"/>
      <c r="D2335" s="146"/>
      <c r="E2335" s="146"/>
      <c r="F2335" s="146"/>
      <c r="G2335" s="146"/>
      <c r="H2335" s="146"/>
      <c r="I2335" s="147" t="s">
        <v>25</v>
      </c>
      <c r="J2335" s="147"/>
      <c r="K2335" s="151" t="s">
        <v>42</v>
      </c>
      <c r="L2335" s="147"/>
      <c r="M2335" s="147"/>
    </row>
    <row r="2336" spans="1:13" ht="15.75">
      <c r="A2336" s="146"/>
      <c r="B2336" s="146"/>
      <c r="C2336" s="146"/>
      <c r="D2336" s="146"/>
      <c r="E2336" s="146"/>
      <c r="F2336" s="146"/>
      <c r="G2336" s="146"/>
      <c r="H2336" s="146"/>
      <c r="I2336" s="152" t="s">
        <v>26</v>
      </c>
      <c r="J2336" s="153"/>
      <c r="K2336" s="154" t="s">
        <v>50</v>
      </c>
      <c r="L2336" s="155"/>
      <c r="M2336" s="153"/>
    </row>
    <row r="2337" spans="1:13" ht="15.75">
      <c r="A2337" s="147" t="s">
        <v>31</v>
      </c>
      <c r="B2337" s="147"/>
      <c r="C2337" s="147" t="s">
        <v>32</v>
      </c>
      <c r="D2337" s="147"/>
      <c r="E2337" s="147"/>
      <c r="F2337" s="147"/>
      <c r="G2337" s="147"/>
      <c r="H2337" s="147"/>
      <c r="I2337" s="36" t="s">
        <v>29</v>
      </c>
      <c r="J2337" s="37"/>
      <c r="K2337" s="36" t="s">
        <v>44</v>
      </c>
      <c r="L2337" s="33"/>
      <c r="M2337" s="37"/>
    </row>
    <row r="2338" spans="1:13" ht="15.75">
      <c r="A2338" s="147"/>
      <c r="B2338" s="147"/>
      <c r="C2338" s="147"/>
      <c r="D2338" s="147"/>
      <c r="E2338" s="147"/>
      <c r="F2338" s="147"/>
      <c r="G2338" s="147"/>
      <c r="H2338" s="147"/>
      <c r="I2338" s="147" t="s">
        <v>30</v>
      </c>
      <c r="J2338" s="147"/>
      <c r="K2338" s="147" t="s">
        <v>51</v>
      </c>
      <c r="L2338" s="147"/>
      <c r="M2338" s="147"/>
    </row>
    <row r="2339" spans="1:13" ht="15.75">
      <c r="A2339" s="156" t="s">
        <v>24</v>
      </c>
      <c r="B2339" s="156"/>
      <c r="C2339" s="156"/>
      <c r="D2339" s="35">
        <v>7</v>
      </c>
      <c r="E2339" s="157" t="s">
        <v>40</v>
      </c>
      <c r="F2339" s="157"/>
      <c r="G2339" s="157"/>
      <c r="H2339" s="35">
        <v>17</v>
      </c>
      <c r="I2339" s="147" t="s">
        <v>27</v>
      </c>
      <c r="J2339" s="147"/>
      <c r="K2339" s="147" t="s">
        <v>21</v>
      </c>
      <c r="L2339" s="147"/>
      <c r="M2339" s="147"/>
    </row>
    <row r="2340" spans="1:13" ht="45">
      <c r="A2340" s="3" t="s">
        <v>9</v>
      </c>
      <c r="B2340" s="3" t="s">
        <v>10</v>
      </c>
      <c r="C2340" s="3" t="s">
        <v>11</v>
      </c>
      <c r="D2340" s="3" t="s">
        <v>3</v>
      </c>
      <c r="E2340" s="4" t="s">
        <v>41</v>
      </c>
      <c r="F2340" s="4" t="s">
        <v>12</v>
      </c>
      <c r="G2340" s="3" t="s">
        <v>13</v>
      </c>
      <c r="H2340" s="3" t="s">
        <v>14</v>
      </c>
      <c r="I2340" s="3" t="s">
        <v>15</v>
      </c>
      <c r="J2340" s="3" t="s">
        <v>16</v>
      </c>
      <c r="K2340" s="3" t="s">
        <v>17</v>
      </c>
      <c r="L2340" s="3" t="s">
        <v>18</v>
      </c>
      <c r="M2340" s="3" t="s">
        <v>19</v>
      </c>
    </row>
    <row r="2341" spans="1:13">
      <c r="A2341" s="18">
        <v>1</v>
      </c>
      <c r="B2341" s="111" t="s">
        <v>52</v>
      </c>
      <c r="C2341" s="18"/>
      <c r="D2341" s="18">
        <v>1</v>
      </c>
      <c r="E2341" s="20">
        <v>11500</v>
      </c>
      <c r="F2341" s="20">
        <v>51</v>
      </c>
      <c r="G2341" s="18"/>
      <c r="H2341" s="18">
        <v>1</v>
      </c>
      <c r="I2341" s="21" t="s">
        <v>82</v>
      </c>
      <c r="J2341" s="18">
        <v>1</v>
      </c>
      <c r="K2341" s="18">
        <v>9943</v>
      </c>
      <c r="L2341" s="22"/>
      <c r="M2341" s="18"/>
    </row>
    <row r="2342" spans="1:13">
      <c r="A2342" s="18"/>
      <c r="B2342" s="113"/>
      <c r="C2342" s="18"/>
      <c r="D2342" s="18"/>
      <c r="E2342" s="20"/>
      <c r="F2342" s="20"/>
      <c r="G2342" s="18"/>
      <c r="H2342" s="18">
        <v>1</v>
      </c>
      <c r="I2342" s="21" t="s">
        <v>83</v>
      </c>
      <c r="J2342" s="18">
        <v>1</v>
      </c>
      <c r="K2342" s="18">
        <v>1155</v>
      </c>
      <c r="L2342" s="22"/>
      <c r="M2342" s="18"/>
    </row>
    <row r="2343" spans="1:13">
      <c r="A2343" s="18"/>
      <c r="B2343" s="113"/>
      <c r="C2343" s="18"/>
      <c r="D2343" s="18"/>
      <c r="E2343" s="20"/>
      <c r="F2343" s="20"/>
      <c r="G2343" s="18"/>
      <c r="H2343" s="18">
        <v>1</v>
      </c>
      <c r="I2343" s="21" t="s">
        <v>84</v>
      </c>
      <c r="J2343" s="18">
        <v>1</v>
      </c>
      <c r="K2343" s="18">
        <v>273</v>
      </c>
      <c r="L2343" s="22"/>
      <c r="M2343" s="18"/>
    </row>
    <row r="2344" spans="1:13">
      <c r="A2344" s="18">
        <v>2</v>
      </c>
      <c r="B2344" s="113"/>
      <c r="C2344" s="18"/>
      <c r="D2344" s="18">
        <v>1</v>
      </c>
      <c r="E2344" s="20">
        <v>11500</v>
      </c>
      <c r="F2344" s="20">
        <v>263</v>
      </c>
      <c r="G2344" s="18"/>
      <c r="H2344" s="18">
        <v>1</v>
      </c>
      <c r="I2344" s="21" t="s">
        <v>85</v>
      </c>
      <c r="J2344" s="18">
        <v>1</v>
      </c>
      <c r="K2344" s="18">
        <v>8373</v>
      </c>
      <c r="L2344" s="22"/>
      <c r="M2344" s="18"/>
    </row>
    <row r="2345" spans="1:13">
      <c r="A2345" s="18"/>
      <c r="B2345" s="113"/>
      <c r="C2345" s="18"/>
      <c r="D2345" s="18"/>
      <c r="E2345" s="20"/>
      <c r="F2345" s="20"/>
      <c r="G2345" s="18"/>
      <c r="H2345" s="18">
        <v>1</v>
      </c>
      <c r="I2345" s="21" t="s">
        <v>86</v>
      </c>
      <c r="J2345" s="18">
        <v>1</v>
      </c>
      <c r="K2345" s="18">
        <v>1793</v>
      </c>
      <c r="L2345" s="22"/>
      <c r="M2345" s="18"/>
    </row>
    <row r="2346" spans="1:13">
      <c r="A2346" s="18"/>
      <c r="B2346" s="113"/>
      <c r="C2346" s="18"/>
      <c r="D2346" s="18"/>
      <c r="E2346" s="20"/>
      <c r="F2346" s="20"/>
      <c r="G2346" s="18"/>
      <c r="H2346" s="18">
        <v>1</v>
      </c>
      <c r="I2346" s="21" t="s">
        <v>87</v>
      </c>
      <c r="J2346" s="18">
        <v>1</v>
      </c>
      <c r="K2346" s="18">
        <v>993</v>
      </c>
      <c r="L2346" s="22"/>
      <c r="M2346" s="18"/>
    </row>
    <row r="2347" spans="1:13">
      <c r="A2347" s="18">
        <v>3</v>
      </c>
      <c r="B2347" s="113"/>
      <c r="C2347" s="18"/>
      <c r="D2347" s="18">
        <v>1</v>
      </c>
      <c r="E2347" s="20">
        <v>11500</v>
      </c>
      <c r="F2347" s="20">
        <v>21</v>
      </c>
      <c r="G2347" s="18"/>
      <c r="H2347" s="18">
        <v>1</v>
      </c>
      <c r="I2347" s="21" t="s">
        <v>88</v>
      </c>
      <c r="J2347" s="18">
        <v>1</v>
      </c>
      <c r="K2347" s="18">
        <v>5043</v>
      </c>
      <c r="L2347" s="22"/>
      <c r="M2347" s="18"/>
    </row>
    <row r="2348" spans="1:13">
      <c r="A2348" s="18"/>
      <c r="B2348" s="113"/>
      <c r="C2348" s="18"/>
      <c r="D2348" s="18"/>
      <c r="E2348" s="20"/>
      <c r="F2348" s="20"/>
      <c r="G2348" s="18"/>
      <c r="H2348" s="18">
        <v>1</v>
      </c>
      <c r="I2348" s="21" t="s">
        <v>89</v>
      </c>
      <c r="J2348" s="18">
        <v>1</v>
      </c>
      <c r="K2348" s="18">
        <v>3743</v>
      </c>
      <c r="L2348" s="22"/>
      <c r="M2348" s="18"/>
    </row>
    <row r="2349" spans="1:13">
      <c r="A2349" s="18"/>
      <c r="B2349" s="113"/>
      <c r="C2349" s="18"/>
      <c r="D2349" s="18"/>
      <c r="E2349" s="20"/>
      <c r="F2349" s="20"/>
      <c r="G2349" s="18"/>
      <c r="H2349" s="18">
        <v>1</v>
      </c>
      <c r="I2349" s="21" t="s">
        <v>90</v>
      </c>
      <c r="J2349" s="18">
        <v>1</v>
      </c>
      <c r="K2349" s="18">
        <v>1319</v>
      </c>
      <c r="L2349" s="22"/>
      <c r="M2349" s="18"/>
    </row>
    <row r="2350" spans="1:13">
      <c r="A2350" s="18"/>
      <c r="B2350" s="113"/>
      <c r="C2350" s="18"/>
      <c r="D2350" s="18"/>
      <c r="E2350" s="20"/>
      <c r="F2350" s="20"/>
      <c r="G2350" s="18"/>
      <c r="H2350" s="18">
        <v>1</v>
      </c>
      <c r="I2350" s="21" t="s">
        <v>91</v>
      </c>
      <c r="J2350" s="18">
        <v>1</v>
      </c>
      <c r="K2350" s="18">
        <v>1270</v>
      </c>
      <c r="L2350" s="22"/>
      <c r="M2350" s="18"/>
    </row>
    <row r="2351" spans="1:13">
      <c r="A2351" s="18">
        <v>4</v>
      </c>
      <c r="B2351" s="113"/>
      <c r="C2351" s="18"/>
      <c r="D2351" s="18">
        <v>1</v>
      </c>
      <c r="E2351" s="20">
        <v>11500</v>
      </c>
      <c r="F2351" s="20">
        <v>6228</v>
      </c>
      <c r="G2351" s="18"/>
      <c r="H2351" s="18">
        <v>1</v>
      </c>
      <c r="I2351" s="21" t="s">
        <v>92</v>
      </c>
      <c r="J2351" s="18">
        <v>1</v>
      </c>
      <c r="K2351" s="18">
        <v>2643</v>
      </c>
      <c r="L2351" s="22"/>
      <c r="M2351" s="18"/>
    </row>
    <row r="2352" spans="1:13">
      <c r="A2352" s="18"/>
      <c r="B2352" s="113"/>
      <c r="C2352" s="18"/>
      <c r="D2352" s="18"/>
      <c r="E2352" s="20"/>
      <c r="F2352" s="20"/>
      <c r="G2352" s="18"/>
      <c r="H2352" s="18">
        <v>1</v>
      </c>
      <c r="I2352" s="21" t="s">
        <v>93</v>
      </c>
      <c r="J2352" s="18">
        <v>1</v>
      </c>
      <c r="K2352" s="18">
        <v>979</v>
      </c>
      <c r="L2352" s="22"/>
      <c r="M2352" s="18"/>
    </row>
    <row r="2353" spans="1:13">
      <c r="A2353" s="18"/>
      <c r="B2353" s="113"/>
      <c r="C2353" s="18"/>
      <c r="D2353" s="18"/>
      <c r="E2353" s="20"/>
      <c r="F2353" s="20"/>
      <c r="G2353" s="18"/>
      <c r="H2353" s="18">
        <v>1</v>
      </c>
      <c r="I2353" s="21" t="s">
        <v>94</v>
      </c>
      <c r="J2353" s="18">
        <v>1</v>
      </c>
      <c r="K2353" s="18">
        <v>943</v>
      </c>
      <c r="L2353" s="22"/>
      <c r="M2353" s="18"/>
    </row>
    <row r="2354" spans="1:13">
      <c r="A2354" s="18"/>
      <c r="B2354" s="113"/>
      <c r="C2354" s="18"/>
      <c r="D2354" s="18"/>
      <c r="E2354" s="20"/>
      <c r="F2354" s="20"/>
      <c r="G2354" s="18"/>
      <c r="H2354" s="18">
        <v>1</v>
      </c>
      <c r="I2354" s="21" t="s">
        <v>95</v>
      </c>
      <c r="J2354" s="18">
        <v>1</v>
      </c>
      <c r="K2354" s="18">
        <v>603</v>
      </c>
      <c r="L2354" s="22"/>
      <c r="M2354" s="18"/>
    </row>
    <row r="2355" spans="1:13">
      <c r="A2355" s="18">
        <v>5</v>
      </c>
      <c r="B2355" s="113"/>
      <c r="C2355" s="18"/>
      <c r="D2355" s="18">
        <v>1</v>
      </c>
      <c r="E2355" s="20">
        <v>11500</v>
      </c>
      <c r="F2355" s="20">
        <v>-26</v>
      </c>
      <c r="G2355" s="18"/>
      <c r="H2355" s="18">
        <v>1</v>
      </c>
      <c r="I2355" s="21" t="s">
        <v>96</v>
      </c>
      <c r="J2355" s="18">
        <v>1</v>
      </c>
      <c r="K2355" s="18">
        <v>11500</v>
      </c>
      <c r="L2355" s="22"/>
      <c r="M2355" s="18"/>
    </row>
    <row r="2356" spans="1:13">
      <c r="A2356" s="5">
        <v>6</v>
      </c>
      <c r="B2356" s="113"/>
      <c r="C2356" s="5"/>
      <c r="D2356" s="5">
        <v>1</v>
      </c>
      <c r="E2356" s="6">
        <v>11500</v>
      </c>
      <c r="F2356" s="6">
        <v>-26</v>
      </c>
      <c r="G2356" s="5"/>
      <c r="H2356" s="5">
        <v>1</v>
      </c>
      <c r="I2356" s="7" t="s">
        <v>97</v>
      </c>
      <c r="J2356" s="5">
        <v>1</v>
      </c>
      <c r="K2356" s="5">
        <v>11500</v>
      </c>
      <c r="L2356" s="8"/>
      <c r="M2356" s="5"/>
    </row>
    <row r="2357" spans="1:13">
      <c r="A2357" s="5">
        <v>7</v>
      </c>
      <c r="B2357" s="112"/>
      <c r="C2357" s="5"/>
      <c r="D2357" s="5">
        <v>1</v>
      </c>
      <c r="E2357" s="6">
        <v>11500</v>
      </c>
      <c r="F2357" s="6">
        <v>-26</v>
      </c>
      <c r="G2357" s="5"/>
      <c r="H2357" s="5">
        <v>1</v>
      </c>
      <c r="I2357" s="7" t="s">
        <v>98</v>
      </c>
      <c r="J2357" s="5">
        <v>1</v>
      </c>
      <c r="K2357" s="5">
        <v>11500</v>
      </c>
      <c r="L2357" s="8"/>
      <c r="M2357" s="18"/>
    </row>
    <row r="2358" spans="1:13">
      <c r="A2358" s="5"/>
      <c r="B2358" s="5"/>
      <c r="C2358" s="5"/>
      <c r="D2358" s="5"/>
      <c r="E2358" s="6"/>
      <c r="F2358" s="6"/>
      <c r="G2358" s="5"/>
      <c r="H2358" s="5"/>
      <c r="I2358" s="7"/>
      <c r="J2358" s="5"/>
      <c r="K2358" s="5"/>
      <c r="L2358" s="8"/>
      <c r="M2358" s="5"/>
    </row>
    <row r="2359" spans="1:13" ht="15.75">
      <c r="A2359" s="146" t="s">
        <v>4</v>
      </c>
      <c r="B2359" s="146"/>
      <c r="C2359" s="146"/>
      <c r="D2359" s="146"/>
      <c r="E2359" s="146"/>
      <c r="F2359" s="146"/>
      <c r="G2359" s="146"/>
      <c r="H2359" s="146"/>
      <c r="I2359" s="147" t="s">
        <v>8</v>
      </c>
      <c r="J2359" s="147"/>
      <c r="K2359" s="148" t="s">
        <v>58</v>
      </c>
      <c r="L2359" s="149"/>
      <c r="M2359" s="150"/>
    </row>
    <row r="2360" spans="1:13" ht="15.75">
      <c r="A2360" s="146"/>
      <c r="B2360" s="146"/>
      <c r="C2360" s="146"/>
      <c r="D2360" s="146"/>
      <c r="E2360" s="146"/>
      <c r="F2360" s="146"/>
      <c r="G2360" s="146"/>
      <c r="H2360" s="146"/>
      <c r="I2360" s="147" t="s">
        <v>25</v>
      </c>
      <c r="J2360" s="147"/>
      <c r="K2360" s="151" t="s">
        <v>42</v>
      </c>
      <c r="L2360" s="147"/>
      <c r="M2360" s="147"/>
    </row>
    <row r="2361" spans="1:13" ht="15.75">
      <c r="A2361" s="146"/>
      <c r="B2361" s="146"/>
      <c r="C2361" s="146"/>
      <c r="D2361" s="146"/>
      <c r="E2361" s="146"/>
      <c r="F2361" s="146"/>
      <c r="G2361" s="146"/>
      <c r="H2361" s="146"/>
      <c r="I2361" s="152" t="s">
        <v>26</v>
      </c>
      <c r="J2361" s="153"/>
      <c r="K2361" s="154" t="s">
        <v>47</v>
      </c>
      <c r="L2361" s="155"/>
      <c r="M2361" s="153"/>
    </row>
    <row r="2362" spans="1:13" ht="15.75">
      <c r="A2362" s="147" t="s">
        <v>31</v>
      </c>
      <c r="B2362" s="147"/>
      <c r="C2362" s="147" t="s">
        <v>32</v>
      </c>
      <c r="D2362" s="147"/>
      <c r="E2362" s="147"/>
      <c r="F2362" s="147"/>
      <c r="G2362" s="147"/>
      <c r="H2362" s="147"/>
      <c r="I2362" s="36" t="s">
        <v>29</v>
      </c>
      <c r="J2362" s="37"/>
      <c r="K2362" s="36" t="s">
        <v>44</v>
      </c>
      <c r="L2362" s="33"/>
      <c r="M2362" s="37"/>
    </row>
    <row r="2363" spans="1:13" ht="15.75">
      <c r="A2363" s="147"/>
      <c r="B2363" s="147"/>
      <c r="C2363" s="147"/>
      <c r="D2363" s="147"/>
      <c r="E2363" s="147"/>
      <c r="F2363" s="147"/>
      <c r="G2363" s="147"/>
      <c r="H2363" s="147"/>
      <c r="I2363" s="147" t="s">
        <v>30</v>
      </c>
      <c r="J2363" s="147"/>
      <c r="K2363" s="147" t="s">
        <v>48</v>
      </c>
      <c r="L2363" s="147"/>
      <c r="M2363" s="147"/>
    </row>
    <row r="2364" spans="1:13" ht="15.75">
      <c r="A2364" s="156" t="s">
        <v>24</v>
      </c>
      <c r="B2364" s="156"/>
      <c r="C2364" s="156"/>
      <c r="D2364" s="35">
        <v>23</v>
      </c>
      <c r="E2364" s="157" t="s">
        <v>40</v>
      </c>
      <c r="F2364" s="157"/>
      <c r="G2364" s="157"/>
      <c r="H2364" s="35">
        <v>54</v>
      </c>
      <c r="I2364" s="147" t="s">
        <v>27</v>
      </c>
      <c r="J2364" s="147"/>
      <c r="K2364" s="147" t="s">
        <v>21</v>
      </c>
      <c r="L2364" s="147"/>
      <c r="M2364" s="147"/>
    </row>
    <row r="2365" spans="1:13" ht="45">
      <c r="A2365" s="3" t="s">
        <v>9</v>
      </c>
      <c r="B2365" s="3" t="s">
        <v>10</v>
      </c>
      <c r="C2365" s="3" t="s">
        <v>11</v>
      </c>
      <c r="D2365" s="3" t="s">
        <v>3</v>
      </c>
      <c r="E2365" s="4" t="s">
        <v>41</v>
      </c>
      <c r="F2365" s="4" t="s">
        <v>12</v>
      </c>
      <c r="G2365" s="3" t="s">
        <v>13</v>
      </c>
      <c r="H2365" s="3" t="s">
        <v>14</v>
      </c>
      <c r="I2365" s="3" t="s">
        <v>15</v>
      </c>
      <c r="J2365" s="3" t="s">
        <v>16</v>
      </c>
      <c r="K2365" s="3" t="s">
        <v>17</v>
      </c>
      <c r="L2365" s="3" t="s">
        <v>18</v>
      </c>
      <c r="M2365" s="3" t="s">
        <v>19</v>
      </c>
    </row>
    <row r="2366" spans="1:13">
      <c r="A2366" s="18">
        <v>1</v>
      </c>
      <c r="B2366" s="111" t="s">
        <v>49</v>
      </c>
      <c r="C2366" s="18"/>
      <c r="D2366" s="18">
        <v>1</v>
      </c>
      <c r="E2366" s="20">
        <v>11500</v>
      </c>
      <c r="F2366" s="20">
        <v>9678</v>
      </c>
      <c r="G2366" s="18"/>
      <c r="H2366" s="18">
        <v>1</v>
      </c>
      <c r="I2366" s="21" t="s">
        <v>99</v>
      </c>
      <c r="J2366" s="18">
        <v>1</v>
      </c>
      <c r="K2366" s="18">
        <v>889</v>
      </c>
      <c r="L2366" s="22"/>
      <c r="M2366" s="18"/>
    </row>
    <row r="2367" spans="1:13">
      <c r="A2367" s="18"/>
      <c r="B2367" s="113"/>
      <c r="C2367" s="18"/>
      <c r="D2367" s="18"/>
      <c r="E2367" s="20"/>
      <c r="F2367" s="20"/>
      <c r="G2367" s="18"/>
      <c r="H2367" s="18">
        <v>1</v>
      </c>
      <c r="I2367" s="21" t="s">
        <v>100</v>
      </c>
      <c r="J2367" s="18">
        <v>1</v>
      </c>
      <c r="K2367" s="18">
        <v>881</v>
      </c>
      <c r="L2367" s="22"/>
      <c r="M2367" s="18"/>
    </row>
    <row r="2368" spans="1:13">
      <c r="A2368" s="18">
        <v>2</v>
      </c>
      <c r="B2368" s="113"/>
      <c r="C2368" s="18"/>
      <c r="D2368" s="18">
        <v>1</v>
      </c>
      <c r="E2368" s="20">
        <v>11500</v>
      </c>
      <c r="F2368" s="20">
        <v>107</v>
      </c>
      <c r="G2368" s="18"/>
      <c r="H2368" s="18">
        <v>1</v>
      </c>
      <c r="I2368" s="21" t="s">
        <v>101</v>
      </c>
      <c r="J2368" s="18">
        <v>1</v>
      </c>
      <c r="K2368" s="18">
        <v>7589</v>
      </c>
      <c r="L2368" s="22"/>
      <c r="M2368" s="18"/>
    </row>
    <row r="2369" spans="1:13">
      <c r="A2369" s="18"/>
      <c r="B2369" s="113"/>
      <c r="C2369" s="18"/>
      <c r="D2369" s="18"/>
      <c r="E2369" s="20"/>
      <c r="F2369" s="20"/>
      <c r="G2369" s="18"/>
      <c r="H2369" s="18">
        <v>1</v>
      </c>
      <c r="I2369" s="21" t="s">
        <v>102</v>
      </c>
      <c r="J2369" s="18">
        <v>1</v>
      </c>
      <c r="K2369" s="18">
        <v>547</v>
      </c>
      <c r="L2369" s="22"/>
      <c r="M2369" s="18"/>
    </row>
    <row r="2370" spans="1:13">
      <c r="A2370" s="18"/>
      <c r="B2370" s="113"/>
      <c r="C2370" s="18"/>
      <c r="D2370" s="18"/>
      <c r="E2370" s="20"/>
      <c r="F2370" s="20"/>
      <c r="G2370" s="18"/>
      <c r="H2370" s="18">
        <v>1</v>
      </c>
      <c r="I2370" s="21" t="s">
        <v>103</v>
      </c>
      <c r="J2370" s="18">
        <v>1</v>
      </c>
      <c r="K2370" s="18">
        <v>517</v>
      </c>
      <c r="L2370" s="22"/>
      <c r="M2370" s="18"/>
    </row>
    <row r="2371" spans="1:13">
      <c r="A2371" s="18"/>
      <c r="B2371" s="113"/>
      <c r="C2371" s="18"/>
      <c r="D2371" s="18"/>
      <c r="E2371" s="20"/>
      <c r="F2371" s="20"/>
      <c r="G2371" s="18"/>
      <c r="H2371" s="18">
        <v>1</v>
      </c>
      <c r="I2371" s="21" t="s">
        <v>104</v>
      </c>
      <c r="J2371" s="18">
        <v>1</v>
      </c>
      <c r="K2371" s="18">
        <v>390</v>
      </c>
      <c r="L2371" s="22"/>
      <c r="M2371" s="18"/>
    </row>
    <row r="2372" spans="1:13">
      <c r="A2372" s="18"/>
      <c r="B2372" s="113"/>
      <c r="C2372" s="18"/>
      <c r="D2372" s="18"/>
      <c r="E2372" s="20"/>
      <c r="F2372" s="20"/>
      <c r="G2372" s="18"/>
      <c r="H2372" s="18">
        <v>1</v>
      </c>
      <c r="I2372" s="21" t="s">
        <v>105</v>
      </c>
      <c r="J2372" s="18">
        <v>1</v>
      </c>
      <c r="K2372" s="18">
        <v>390</v>
      </c>
      <c r="L2372" s="22"/>
      <c r="M2372" s="18"/>
    </row>
    <row r="2373" spans="1:13">
      <c r="A2373" s="18"/>
      <c r="B2373" s="113"/>
      <c r="C2373" s="18"/>
      <c r="D2373" s="18"/>
      <c r="E2373" s="20"/>
      <c r="F2373" s="20"/>
      <c r="G2373" s="18"/>
      <c r="H2373" s="18">
        <v>1</v>
      </c>
      <c r="I2373" s="21" t="s">
        <v>106</v>
      </c>
      <c r="J2373" s="18">
        <v>1</v>
      </c>
      <c r="K2373" s="18">
        <v>390</v>
      </c>
      <c r="L2373" s="22"/>
      <c r="M2373" s="18"/>
    </row>
    <row r="2374" spans="1:13">
      <c r="A2374" s="18"/>
      <c r="B2374" s="113"/>
      <c r="C2374" s="18"/>
      <c r="D2374" s="18"/>
      <c r="E2374" s="20"/>
      <c r="F2374" s="20"/>
      <c r="G2374" s="18"/>
      <c r="H2374" s="18">
        <v>1</v>
      </c>
      <c r="I2374" s="21" t="s">
        <v>107</v>
      </c>
      <c r="J2374" s="18">
        <v>1</v>
      </c>
      <c r="K2374" s="18">
        <v>390</v>
      </c>
      <c r="L2374" s="22"/>
      <c r="M2374" s="18"/>
    </row>
    <row r="2375" spans="1:13">
      <c r="A2375" s="18"/>
      <c r="B2375" s="113"/>
      <c r="C2375" s="18"/>
      <c r="D2375" s="18"/>
      <c r="E2375" s="20"/>
      <c r="F2375" s="20"/>
      <c r="G2375" s="18"/>
      <c r="H2375" s="18">
        <v>1</v>
      </c>
      <c r="I2375" s="21" t="s">
        <v>108</v>
      </c>
      <c r="J2375" s="18">
        <v>1</v>
      </c>
      <c r="K2375" s="18">
        <v>390</v>
      </c>
      <c r="L2375" s="22"/>
      <c r="M2375" s="18"/>
    </row>
    <row r="2376" spans="1:13">
      <c r="A2376" s="18"/>
      <c r="B2376" s="113"/>
      <c r="C2376" s="18"/>
      <c r="D2376" s="18"/>
      <c r="E2376" s="20"/>
      <c r="F2376" s="20"/>
      <c r="G2376" s="18"/>
      <c r="H2376" s="18">
        <v>1</v>
      </c>
      <c r="I2376" s="21" t="s">
        <v>109</v>
      </c>
      <c r="J2376" s="18">
        <v>1</v>
      </c>
      <c r="K2376" s="18">
        <v>390</v>
      </c>
      <c r="L2376" s="22"/>
      <c r="M2376" s="18"/>
    </row>
    <row r="2377" spans="1:13">
      <c r="A2377" s="18"/>
      <c r="B2377" s="113"/>
      <c r="C2377" s="18"/>
      <c r="D2377" s="18"/>
      <c r="E2377" s="20"/>
      <c r="F2377" s="20"/>
      <c r="G2377" s="18"/>
      <c r="H2377" s="18">
        <v>1</v>
      </c>
      <c r="I2377" s="21" t="s">
        <v>110</v>
      </c>
      <c r="J2377" s="18">
        <v>1</v>
      </c>
      <c r="K2377" s="18">
        <v>140</v>
      </c>
      <c r="L2377" s="22"/>
      <c r="M2377" s="18"/>
    </row>
    <row r="2378" spans="1:13">
      <c r="A2378" s="18">
        <v>3</v>
      </c>
      <c r="B2378" s="113"/>
      <c r="C2378" s="18"/>
      <c r="D2378" s="18">
        <v>1</v>
      </c>
      <c r="E2378" s="20">
        <v>11500</v>
      </c>
      <c r="F2378" s="20">
        <v>72</v>
      </c>
      <c r="G2378" s="18"/>
      <c r="H2378" s="18">
        <v>1</v>
      </c>
      <c r="I2378" s="21" t="s">
        <v>111</v>
      </c>
      <c r="J2378" s="18">
        <v>1</v>
      </c>
      <c r="K2378" s="18">
        <v>6990</v>
      </c>
      <c r="L2378" s="22"/>
      <c r="M2378" s="18"/>
    </row>
    <row r="2379" spans="1:13">
      <c r="A2379" s="18"/>
      <c r="B2379" s="113"/>
      <c r="C2379" s="18"/>
      <c r="D2379" s="18"/>
      <c r="E2379" s="20"/>
      <c r="F2379" s="20"/>
      <c r="G2379" s="18"/>
      <c r="H2379" s="18">
        <v>1</v>
      </c>
      <c r="I2379" s="21" t="s">
        <v>112</v>
      </c>
      <c r="J2379" s="18">
        <v>1</v>
      </c>
      <c r="K2379" s="18">
        <v>4220</v>
      </c>
      <c r="L2379" s="22"/>
      <c r="M2379" s="18"/>
    </row>
    <row r="2380" spans="1:13">
      <c r="A2380" s="18"/>
      <c r="B2380" s="113"/>
      <c r="C2380" s="18"/>
      <c r="D2380" s="18"/>
      <c r="E2380" s="20"/>
      <c r="F2380" s="20"/>
      <c r="G2380" s="18"/>
      <c r="H2380" s="18">
        <v>1</v>
      </c>
      <c r="I2380" s="21" t="s">
        <v>113</v>
      </c>
      <c r="J2380" s="18">
        <v>1</v>
      </c>
      <c r="K2380" s="18">
        <v>140</v>
      </c>
      <c r="L2380" s="22"/>
      <c r="M2380" s="18"/>
    </row>
    <row r="2381" spans="1:13">
      <c r="A2381" s="5">
        <v>4</v>
      </c>
      <c r="B2381" s="113"/>
      <c r="C2381" s="5"/>
      <c r="D2381" s="5">
        <v>1</v>
      </c>
      <c r="E2381" s="6">
        <v>11500</v>
      </c>
      <c r="F2381" s="6">
        <v>89</v>
      </c>
      <c r="G2381" s="5"/>
      <c r="H2381" s="5">
        <v>1</v>
      </c>
      <c r="I2381" s="7" t="s">
        <v>114</v>
      </c>
      <c r="J2381" s="5">
        <v>1</v>
      </c>
      <c r="K2381" s="5">
        <v>5978</v>
      </c>
      <c r="L2381" s="8"/>
      <c r="M2381" s="5"/>
    </row>
    <row r="2382" spans="1:13">
      <c r="A2382" s="5"/>
      <c r="B2382" s="113"/>
      <c r="C2382" s="5"/>
      <c r="D2382" s="5"/>
      <c r="E2382" s="6"/>
      <c r="F2382" s="6"/>
      <c r="G2382" s="5"/>
      <c r="H2382" s="5">
        <v>1</v>
      </c>
      <c r="I2382" s="7" t="s">
        <v>115</v>
      </c>
      <c r="J2382" s="5">
        <v>1</v>
      </c>
      <c r="K2382" s="5">
        <v>4990</v>
      </c>
      <c r="L2382" s="8"/>
      <c r="M2382" s="18"/>
    </row>
    <row r="2383" spans="1:13">
      <c r="A2383" s="5"/>
      <c r="B2383" s="113"/>
      <c r="C2383" s="5"/>
      <c r="D2383" s="5"/>
      <c r="E2383" s="6"/>
      <c r="F2383" s="6"/>
      <c r="G2383" s="5"/>
      <c r="H2383" s="5">
        <v>1</v>
      </c>
      <c r="I2383" s="7" t="s">
        <v>116</v>
      </c>
      <c r="J2383" s="5">
        <v>1</v>
      </c>
      <c r="K2383" s="5">
        <v>365</v>
      </c>
      <c r="L2383" s="8"/>
      <c r="M2383" s="5"/>
    </row>
    <row r="2384" spans="1:13">
      <c r="A2384" s="5">
        <v>5</v>
      </c>
      <c r="B2384" s="113"/>
      <c r="C2384" s="5"/>
      <c r="D2384" s="5">
        <v>1</v>
      </c>
      <c r="E2384" s="6">
        <v>11500</v>
      </c>
      <c r="F2384" s="6">
        <v>103</v>
      </c>
      <c r="G2384" s="5"/>
      <c r="H2384" s="5">
        <v>1</v>
      </c>
      <c r="I2384" s="7" t="s">
        <v>117</v>
      </c>
      <c r="J2384" s="5">
        <v>1</v>
      </c>
      <c r="K2384" s="5">
        <v>5590</v>
      </c>
      <c r="L2384" s="8"/>
      <c r="M2384" s="5"/>
    </row>
    <row r="2385" spans="1:13">
      <c r="A2385" s="5"/>
      <c r="B2385" s="113"/>
      <c r="C2385" s="5"/>
      <c r="D2385" s="5"/>
      <c r="E2385" s="6"/>
      <c r="F2385" s="6"/>
      <c r="G2385" s="5"/>
      <c r="H2385" s="5">
        <v>1</v>
      </c>
      <c r="I2385" s="7" t="s">
        <v>118</v>
      </c>
      <c r="J2385" s="5">
        <v>1</v>
      </c>
      <c r="K2385" s="5">
        <v>4689</v>
      </c>
      <c r="L2385" s="8"/>
      <c r="M2385" s="5"/>
    </row>
    <row r="2386" spans="1:13">
      <c r="A2386" s="5"/>
      <c r="B2386" s="113"/>
      <c r="C2386" s="5"/>
      <c r="D2386" s="5"/>
      <c r="E2386" s="6"/>
      <c r="F2386" s="6"/>
      <c r="G2386" s="5"/>
      <c r="H2386" s="5">
        <v>1</v>
      </c>
      <c r="I2386" s="7" t="s">
        <v>119</v>
      </c>
      <c r="J2386" s="5">
        <v>1</v>
      </c>
      <c r="K2386" s="5">
        <v>1040</v>
      </c>
      <c r="L2386" s="8"/>
      <c r="M2386" s="5"/>
    </row>
    <row r="2387" spans="1:13">
      <c r="A2387" s="5">
        <v>6</v>
      </c>
      <c r="B2387" s="113"/>
      <c r="C2387" s="5"/>
      <c r="D2387" s="5">
        <v>1</v>
      </c>
      <c r="E2387" s="6">
        <v>11500</v>
      </c>
      <c r="F2387" s="6">
        <v>95</v>
      </c>
      <c r="G2387" s="5"/>
      <c r="H2387" s="5">
        <v>1</v>
      </c>
      <c r="I2387" s="7" t="s">
        <v>120</v>
      </c>
      <c r="J2387" s="5">
        <v>1</v>
      </c>
      <c r="K2387" s="5">
        <v>5221</v>
      </c>
      <c r="L2387" s="8"/>
      <c r="M2387" s="5"/>
    </row>
    <row r="2388" spans="1:13">
      <c r="A2388" s="5"/>
      <c r="B2388" s="113"/>
      <c r="C2388" s="5"/>
      <c r="D2388" s="5"/>
      <c r="E2388" s="6"/>
      <c r="F2388" s="6"/>
      <c r="G2388" s="5"/>
      <c r="H2388" s="5">
        <v>1</v>
      </c>
      <c r="I2388" s="7" t="s">
        <v>121</v>
      </c>
      <c r="J2388" s="5">
        <v>1</v>
      </c>
      <c r="K2388" s="5">
        <v>4689</v>
      </c>
      <c r="L2388" s="8"/>
      <c r="M2388" s="5"/>
    </row>
    <row r="2389" spans="1:13">
      <c r="A2389" s="5"/>
      <c r="B2389" s="113"/>
      <c r="C2389" s="5"/>
      <c r="D2389" s="5"/>
      <c r="E2389" s="6"/>
      <c r="F2389" s="6"/>
      <c r="G2389" s="5"/>
      <c r="H2389" s="5">
        <v>1</v>
      </c>
      <c r="I2389" s="7" t="s">
        <v>122</v>
      </c>
      <c r="J2389" s="5">
        <v>1</v>
      </c>
      <c r="K2389" s="5">
        <v>1417</v>
      </c>
      <c r="L2389" s="8"/>
      <c r="M2389" s="5"/>
    </row>
    <row r="2390" spans="1:13">
      <c r="A2390" s="5">
        <v>7</v>
      </c>
      <c r="B2390" s="113"/>
      <c r="C2390" s="5"/>
      <c r="D2390" s="5">
        <v>1</v>
      </c>
      <c r="E2390" s="6">
        <v>11500</v>
      </c>
      <c r="F2390" s="6">
        <v>164</v>
      </c>
      <c r="G2390" s="5"/>
      <c r="H2390" s="5">
        <v>1</v>
      </c>
      <c r="I2390" s="7" t="s">
        <v>123</v>
      </c>
      <c r="J2390" s="5">
        <v>1</v>
      </c>
      <c r="K2390" s="5">
        <v>4560</v>
      </c>
      <c r="L2390" s="8"/>
      <c r="M2390" s="5"/>
    </row>
    <row r="2391" spans="1:13">
      <c r="A2391" s="5"/>
      <c r="B2391" s="113"/>
      <c r="C2391" s="5"/>
      <c r="D2391" s="5"/>
      <c r="E2391" s="6"/>
      <c r="F2391" s="6"/>
      <c r="G2391" s="5"/>
      <c r="H2391" s="5">
        <v>1</v>
      </c>
      <c r="I2391" s="7" t="s">
        <v>124</v>
      </c>
      <c r="J2391" s="5">
        <v>1</v>
      </c>
      <c r="K2391" s="5">
        <v>2991</v>
      </c>
      <c r="L2391" s="8"/>
      <c r="M2391" s="5"/>
    </row>
    <row r="2392" spans="1:13">
      <c r="A2392" s="5"/>
      <c r="B2392" s="113"/>
      <c r="C2392" s="5"/>
      <c r="D2392" s="5"/>
      <c r="E2392" s="6"/>
      <c r="F2392" s="6"/>
      <c r="G2392" s="5"/>
      <c r="H2392" s="5">
        <v>1</v>
      </c>
      <c r="I2392" s="7" t="s">
        <v>125</v>
      </c>
      <c r="J2392" s="5">
        <v>1</v>
      </c>
      <c r="K2392" s="5">
        <v>2991</v>
      </c>
      <c r="L2392" s="8"/>
      <c r="M2392" s="5"/>
    </row>
    <row r="2393" spans="1:13">
      <c r="A2393" s="5"/>
      <c r="B2393" s="113"/>
      <c r="C2393" s="5"/>
      <c r="D2393" s="5"/>
      <c r="E2393" s="6"/>
      <c r="F2393" s="6"/>
      <c r="G2393" s="5"/>
      <c r="H2393" s="5">
        <v>1</v>
      </c>
      <c r="I2393" s="7" t="s">
        <v>126</v>
      </c>
      <c r="J2393" s="5">
        <v>1</v>
      </c>
      <c r="K2393" s="5">
        <v>690</v>
      </c>
      <c r="L2393" s="8"/>
      <c r="M2393" s="5"/>
    </row>
    <row r="2394" spans="1:13">
      <c r="A2394" s="5">
        <v>8</v>
      </c>
      <c r="B2394" s="113"/>
      <c r="C2394" s="5"/>
      <c r="D2394" s="5">
        <v>1</v>
      </c>
      <c r="E2394" s="6">
        <v>11500</v>
      </c>
      <c r="F2394" s="6">
        <v>876</v>
      </c>
      <c r="G2394" s="5"/>
      <c r="H2394" s="5">
        <v>1</v>
      </c>
      <c r="I2394" s="7" t="s">
        <v>127</v>
      </c>
      <c r="J2394" s="5">
        <v>1</v>
      </c>
      <c r="K2394" s="5">
        <v>2990</v>
      </c>
      <c r="L2394" s="8"/>
      <c r="M2394" s="5"/>
    </row>
    <row r="2395" spans="1:13">
      <c r="A2395" s="5"/>
      <c r="B2395" s="113"/>
      <c r="C2395" s="5"/>
      <c r="D2395" s="5"/>
      <c r="E2395" s="6"/>
      <c r="F2395" s="6"/>
      <c r="G2395" s="5"/>
      <c r="H2395" s="5">
        <v>1</v>
      </c>
      <c r="I2395" s="7" t="s">
        <v>128</v>
      </c>
      <c r="J2395" s="5">
        <v>1</v>
      </c>
      <c r="K2395" s="5">
        <v>1790</v>
      </c>
      <c r="L2395" s="8"/>
      <c r="M2395" s="5"/>
    </row>
    <row r="2396" spans="1:13">
      <c r="A2396" s="5"/>
      <c r="B2396" s="113"/>
      <c r="C2396" s="5"/>
      <c r="D2396" s="5"/>
      <c r="E2396" s="6"/>
      <c r="F2396" s="6"/>
      <c r="G2396" s="5"/>
      <c r="H2396" s="5">
        <v>1</v>
      </c>
      <c r="I2396" s="7" t="s">
        <v>129</v>
      </c>
      <c r="J2396" s="5">
        <v>1</v>
      </c>
      <c r="K2396" s="5">
        <v>1690</v>
      </c>
      <c r="L2396" s="8"/>
      <c r="M2396" s="5"/>
    </row>
    <row r="2397" spans="1:13">
      <c r="A2397" s="5"/>
      <c r="B2397" s="113"/>
      <c r="C2397" s="5"/>
      <c r="D2397" s="5"/>
      <c r="E2397" s="6"/>
      <c r="F2397" s="6"/>
      <c r="G2397" s="5"/>
      <c r="H2397" s="5">
        <v>1</v>
      </c>
      <c r="I2397" s="7" t="s">
        <v>130</v>
      </c>
      <c r="J2397" s="5">
        <v>1</v>
      </c>
      <c r="K2397" s="5">
        <v>1365</v>
      </c>
      <c r="L2397" s="8"/>
      <c r="M2397" s="5"/>
    </row>
    <row r="2398" spans="1:13">
      <c r="A2398" s="5"/>
      <c r="B2398" s="113"/>
      <c r="C2398" s="5"/>
      <c r="D2398" s="5"/>
      <c r="E2398" s="6"/>
      <c r="F2398" s="6"/>
      <c r="G2398" s="5"/>
      <c r="H2398" s="5">
        <v>1</v>
      </c>
      <c r="I2398" s="7" t="s">
        <v>131</v>
      </c>
      <c r="J2398" s="5">
        <v>1</v>
      </c>
      <c r="K2398" s="5">
        <v>1365</v>
      </c>
      <c r="L2398" s="8"/>
      <c r="M2398" s="5"/>
    </row>
    <row r="2399" spans="1:13">
      <c r="A2399" s="5"/>
      <c r="B2399" s="113"/>
      <c r="C2399" s="5"/>
      <c r="D2399" s="5"/>
      <c r="E2399" s="6"/>
      <c r="F2399" s="6"/>
      <c r="G2399" s="5"/>
      <c r="H2399" s="5">
        <v>1</v>
      </c>
      <c r="I2399" s="7" t="s">
        <v>132</v>
      </c>
      <c r="J2399" s="5">
        <v>1</v>
      </c>
      <c r="K2399" s="5">
        <v>1268</v>
      </c>
      <c r="L2399" s="8"/>
      <c r="M2399" s="5"/>
    </row>
    <row r="2400" spans="1:13">
      <c r="A2400" s="5">
        <v>9</v>
      </c>
      <c r="B2400" s="113"/>
      <c r="C2400" s="5"/>
      <c r="D2400" s="5">
        <v>1</v>
      </c>
      <c r="E2400" s="6">
        <v>11500</v>
      </c>
      <c r="F2400" s="6">
        <v>250</v>
      </c>
      <c r="G2400" s="5"/>
      <c r="H2400" s="5">
        <v>1</v>
      </c>
      <c r="I2400" s="7" t="s">
        <v>133</v>
      </c>
      <c r="J2400" s="5">
        <v>1</v>
      </c>
      <c r="K2400" s="5">
        <v>2990</v>
      </c>
      <c r="L2400" s="8"/>
      <c r="M2400" s="5"/>
    </row>
    <row r="2401" spans="1:13">
      <c r="A2401" s="5"/>
      <c r="B2401" s="113"/>
      <c r="C2401" s="5"/>
      <c r="D2401" s="5"/>
      <c r="E2401" s="6"/>
      <c r="F2401" s="6"/>
      <c r="G2401" s="5"/>
      <c r="H2401" s="5">
        <v>1</v>
      </c>
      <c r="I2401" s="7" t="s">
        <v>134</v>
      </c>
      <c r="J2401" s="5">
        <v>1</v>
      </c>
      <c r="K2401" s="5">
        <v>2880</v>
      </c>
      <c r="L2401" s="8"/>
      <c r="M2401" s="5"/>
    </row>
    <row r="2402" spans="1:13">
      <c r="A2402" s="5"/>
      <c r="B2402" s="113"/>
      <c r="C2402" s="5"/>
      <c r="D2402" s="5"/>
      <c r="E2402" s="6"/>
      <c r="F2402" s="6"/>
      <c r="G2402" s="5"/>
      <c r="H2402" s="5">
        <v>1</v>
      </c>
      <c r="I2402" s="7" t="s">
        <v>135</v>
      </c>
      <c r="J2402" s="5">
        <v>1</v>
      </c>
      <c r="K2402" s="5">
        <v>2190</v>
      </c>
      <c r="L2402" s="8"/>
      <c r="M2402" s="5"/>
    </row>
    <row r="2403" spans="1:13">
      <c r="A2403" s="5"/>
      <c r="B2403" s="113"/>
      <c r="C2403" s="5"/>
      <c r="D2403" s="5"/>
      <c r="E2403" s="6"/>
      <c r="F2403" s="6"/>
      <c r="G2403" s="5"/>
      <c r="H2403" s="5">
        <v>1</v>
      </c>
      <c r="I2403" s="7" t="s">
        <v>136</v>
      </c>
      <c r="J2403" s="5">
        <v>1</v>
      </c>
      <c r="K2403" s="5">
        <v>2070</v>
      </c>
      <c r="L2403" s="8"/>
      <c r="M2403" s="5"/>
    </row>
    <row r="2404" spans="1:13">
      <c r="A2404" s="5"/>
      <c r="B2404" s="113"/>
      <c r="C2404" s="5"/>
      <c r="D2404" s="5"/>
      <c r="E2404" s="6"/>
      <c r="F2404" s="6"/>
      <c r="G2404" s="5"/>
      <c r="H2404" s="5">
        <v>1</v>
      </c>
      <c r="I2404" s="7" t="s">
        <v>137</v>
      </c>
      <c r="J2404" s="5">
        <v>1</v>
      </c>
      <c r="K2404" s="5">
        <v>990</v>
      </c>
      <c r="L2404" s="8"/>
      <c r="M2404" s="5"/>
    </row>
    <row r="2405" spans="1:13">
      <c r="A2405" s="5">
        <v>10</v>
      </c>
      <c r="B2405" s="113"/>
      <c r="C2405" s="5"/>
      <c r="D2405" s="5">
        <v>1</v>
      </c>
      <c r="E2405" s="6">
        <v>11500</v>
      </c>
      <c r="F2405" s="6">
        <v>0</v>
      </c>
      <c r="G2405" s="5"/>
      <c r="H2405" s="5">
        <v>1</v>
      </c>
      <c r="I2405" s="7" t="s">
        <v>138</v>
      </c>
      <c r="J2405" s="5">
        <v>1</v>
      </c>
      <c r="K2405" s="5">
        <v>11500</v>
      </c>
      <c r="L2405" s="8"/>
      <c r="M2405" s="5"/>
    </row>
    <row r="2406" spans="1:13">
      <c r="A2406" s="5">
        <v>11</v>
      </c>
      <c r="B2406" s="113"/>
      <c r="C2406" s="5"/>
      <c r="D2406" s="5">
        <v>1</v>
      </c>
      <c r="E2406" s="6">
        <v>11500</v>
      </c>
      <c r="F2406" s="6">
        <v>0</v>
      </c>
      <c r="G2406" s="5"/>
      <c r="H2406" s="5">
        <v>1</v>
      </c>
      <c r="I2406" s="7" t="s">
        <v>139</v>
      </c>
      <c r="J2406" s="5">
        <v>1</v>
      </c>
      <c r="K2406" s="5">
        <v>11500</v>
      </c>
      <c r="L2406" s="8"/>
      <c r="M2406" s="5"/>
    </row>
    <row r="2407" spans="1:13">
      <c r="A2407" s="5">
        <v>12</v>
      </c>
      <c r="B2407" s="113"/>
      <c r="C2407" s="5"/>
      <c r="D2407" s="5">
        <v>1</v>
      </c>
      <c r="E2407" s="6">
        <v>11500</v>
      </c>
      <c r="F2407" s="6">
        <v>0</v>
      </c>
      <c r="G2407" s="5"/>
      <c r="H2407" s="5">
        <v>1</v>
      </c>
      <c r="I2407" s="7" t="s">
        <v>140</v>
      </c>
      <c r="J2407" s="5">
        <v>1</v>
      </c>
      <c r="K2407" s="5">
        <v>11500</v>
      </c>
      <c r="L2407" s="8"/>
      <c r="M2407" s="5"/>
    </row>
    <row r="2408" spans="1:13">
      <c r="A2408" s="5">
        <v>13</v>
      </c>
      <c r="B2408" s="113"/>
      <c r="C2408" s="5"/>
      <c r="D2408" s="5">
        <v>1</v>
      </c>
      <c r="E2408" s="6">
        <v>11500</v>
      </c>
      <c r="F2408" s="6">
        <v>0</v>
      </c>
      <c r="G2408" s="5"/>
      <c r="H2408" s="5">
        <v>1</v>
      </c>
      <c r="I2408" s="7" t="s">
        <v>141</v>
      </c>
      <c r="J2408" s="5">
        <v>1</v>
      </c>
      <c r="K2408" s="5">
        <v>11500</v>
      </c>
      <c r="L2408" s="8"/>
      <c r="M2408" s="5"/>
    </row>
    <row r="2409" spans="1:13">
      <c r="A2409" s="5">
        <v>14</v>
      </c>
      <c r="B2409" s="113"/>
      <c r="C2409" s="5"/>
      <c r="D2409" s="5">
        <v>1</v>
      </c>
      <c r="E2409" s="6">
        <v>11500</v>
      </c>
      <c r="F2409" s="6">
        <v>0</v>
      </c>
      <c r="G2409" s="5"/>
      <c r="H2409" s="5">
        <v>1</v>
      </c>
      <c r="I2409" s="7" t="s">
        <v>142</v>
      </c>
      <c r="J2409" s="5">
        <v>1</v>
      </c>
      <c r="K2409" s="5">
        <v>11500</v>
      </c>
      <c r="L2409" s="8"/>
      <c r="M2409" s="5"/>
    </row>
    <row r="2410" spans="1:13">
      <c r="A2410" s="5">
        <v>15</v>
      </c>
      <c r="B2410" s="113"/>
      <c r="C2410" s="5"/>
      <c r="D2410" s="5">
        <v>1</v>
      </c>
      <c r="E2410" s="6">
        <v>11500</v>
      </c>
      <c r="F2410" s="6">
        <v>0</v>
      </c>
      <c r="G2410" s="5"/>
      <c r="H2410" s="5">
        <v>1</v>
      </c>
      <c r="I2410" s="7" t="s">
        <v>143</v>
      </c>
      <c r="J2410" s="5">
        <v>1</v>
      </c>
      <c r="K2410" s="5">
        <v>11500</v>
      </c>
      <c r="L2410" s="8"/>
      <c r="M2410" s="5"/>
    </row>
    <row r="2411" spans="1:13">
      <c r="A2411" s="5">
        <v>16</v>
      </c>
      <c r="B2411" s="113"/>
      <c r="C2411" s="5"/>
      <c r="D2411" s="5">
        <v>1</v>
      </c>
      <c r="E2411" s="6">
        <v>11500</v>
      </c>
      <c r="F2411" s="6">
        <v>0</v>
      </c>
      <c r="G2411" s="5"/>
      <c r="H2411" s="5">
        <v>1</v>
      </c>
      <c r="I2411" s="7" t="s">
        <v>144</v>
      </c>
      <c r="J2411" s="5">
        <v>1</v>
      </c>
      <c r="K2411" s="5">
        <v>11500</v>
      </c>
      <c r="L2411" s="8"/>
      <c r="M2411" s="5"/>
    </row>
    <row r="2412" spans="1:13">
      <c r="A2412" s="5">
        <v>17</v>
      </c>
      <c r="B2412" s="113"/>
      <c r="C2412" s="5"/>
      <c r="D2412" s="5">
        <v>1</v>
      </c>
      <c r="E2412" s="6">
        <v>11500</v>
      </c>
      <c r="F2412" s="6">
        <v>0</v>
      </c>
      <c r="G2412" s="5"/>
      <c r="H2412" s="5">
        <v>1</v>
      </c>
      <c r="I2412" s="7" t="s">
        <v>145</v>
      </c>
      <c r="J2412" s="5">
        <v>1</v>
      </c>
      <c r="K2412" s="5">
        <v>11500</v>
      </c>
      <c r="L2412" s="8"/>
      <c r="M2412" s="5"/>
    </row>
    <row r="2413" spans="1:13">
      <c r="A2413" s="5">
        <v>18</v>
      </c>
      <c r="B2413" s="113"/>
      <c r="C2413" s="5"/>
      <c r="D2413" s="5">
        <v>1</v>
      </c>
      <c r="E2413" s="6">
        <v>11500</v>
      </c>
      <c r="F2413" s="6">
        <v>0</v>
      </c>
      <c r="G2413" s="5"/>
      <c r="H2413" s="5">
        <v>1</v>
      </c>
      <c r="I2413" s="7" t="s">
        <v>146</v>
      </c>
      <c r="J2413" s="5">
        <v>1</v>
      </c>
      <c r="K2413" s="5">
        <v>11500</v>
      </c>
      <c r="L2413" s="8"/>
      <c r="M2413" s="5"/>
    </row>
    <row r="2414" spans="1:13">
      <c r="A2414" s="5">
        <v>19</v>
      </c>
      <c r="B2414" s="113"/>
      <c r="C2414" s="5"/>
      <c r="D2414" s="5">
        <v>1</v>
      </c>
      <c r="E2414" s="6">
        <v>11500</v>
      </c>
      <c r="F2414" s="6">
        <v>0</v>
      </c>
      <c r="G2414" s="5"/>
      <c r="H2414" s="5">
        <v>1</v>
      </c>
      <c r="I2414" s="7" t="s">
        <v>147</v>
      </c>
      <c r="J2414" s="5">
        <v>1</v>
      </c>
      <c r="K2414" s="5">
        <v>11500</v>
      </c>
      <c r="L2414" s="8"/>
      <c r="M2414" s="5"/>
    </row>
    <row r="2415" spans="1:13">
      <c r="A2415" s="5">
        <v>20</v>
      </c>
      <c r="B2415" s="113"/>
      <c r="C2415" s="5"/>
      <c r="D2415" s="5">
        <v>1</v>
      </c>
      <c r="E2415" s="6">
        <v>11500</v>
      </c>
      <c r="F2415" s="6">
        <v>0</v>
      </c>
      <c r="G2415" s="5"/>
      <c r="H2415" s="5">
        <v>1</v>
      </c>
      <c r="I2415" s="7" t="s">
        <v>148</v>
      </c>
      <c r="J2415" s="5">
        <v>1</v>
      </c>
      <c r="K2415" s="5">
        <v>11500</v>
      </c>
      <c r="L2415" s="8"/>
      <c r="M2415" s="5"/>
    </row>
    <row r="2416" spans="1:13">
      <c r="A2416" s="5">
        <v>21</v>
      </c>
      <c r="B2416" s="113"/>
      <c r="C2416" s="5"/>
      <c r="D2416" s="5">
        <v>1</v>
      </c>
      <c r="E2416" s="6">
        <v>11500</v>
      </c>
      <c r="F2416" s="6">
        <v>0</v>
      </c>
      <c r="G2416" s="5"/>
      <c r="H2416" s="5">
        <v>1</v>
      </c>
      <c r="I2416" s="7" t="s">
        <v>149</v>
      </c>
      <c r="J2416" s="5">
        <v>1</v>
      </c>
      <c r="K2416" s="5">
        <v>11500</v>
      </c>
      <c r="L2416" s="8"/>
      <c r="M2416" s="5"/>
    </row>
    <row r="2417" spans="1:13">
      <c r="A2417" s="5">
        <v>22</v>
      </c>
      <c r="B2417" s="113"/>
      <c r="C2417" s="5"/>
      <c r="D2417" s="5">
        <v>1</v>
      </c>
      <c r="E2417" s="6">
        <v>11500</v>
      </c>
      <c r="F2417" s="6">
        <v>0</v>
      </c>
      <c r="G2417" s="5"/>
      <c r="H2417" s="5">
        <v>1</v>
      </c>
      <c r="I2417" s="7" t="s">
        <v>150</v>
      </c>
      <c r="J2417" s="5">
        <v>1</v>
      </c>
      <c r="K2417" s="5">
        <v>11500</v>
      </c>
      <c r="L2417" s="8"/>
      <c r="M2417" s="5"/>
    </row>
    <row r="2418" spans="1:13">
      <c r="A2418" s="5">
        <v>23</v>
      </c>
      <c r="B2418" s="113"/>
      <c r="C2418" s="5"/>
      <c r="D2418" s="5">
        <v>1</v>
      </c>
      <c r="E2418" s="6">
        <v>11500</v>
      </c>
      <c r="F2418" s="6">
        <v>106</v>
      </c>
      <c r="G2418" s="5"/>
      <c r="H2418" s="5">
        <v>1</v>
      </c>
      <c r="I2418" s="7" t="s">
        <v>151</v>
      </c>
      <c r="J2418" s="5">
        <v>1</v>
      </c>
      <c r="K2418" s="5">
        <v>11190</v>
      </c>
      <c r="L2418" s="8"/>
      <c r="M2418" s="5"/>
    </row>
    <row r="2419" spans="1:13">
      <c r="A2419" s="5"/>
      <c r="B2419" s="112"/>
      <c r="C2419" s="5"/>
      <c r="D2419" s="5"/>
      <c r="E2419" s="6"/>
      <c r="F2419" s="6"/>
      <c r="G2419" s="5"/>
      <c r="H2419" s="5">
        <v>1</v>
      </c>
      <c r="I2419" s="7" t="s">
        <v>152</v>
      </c>
      <c r="J2419" s="5">
        <v>1</v>
      </c>
      <c r="K2419" s="5">
        <v>152</v>
      </c>
      <c r="L2419" s="8"/>
      <c r="M2419" s="5"/>
    </row>
    <row r="2420" spans="1:13">
      <c r="A2420" s="5"/>
      <c r="B2420" s="5"/>
      <c r="C2420" s="5"/>
      <c r="D2420" s="5"/>
      <c r="E2420" s="6"/>
      <c r="F2420" s="6"/>
      <c r="G2420" s="5"/>
      <c r="H2420" s="5"/>
      <c r="I2420" s="7"/>
      <c r="J2420" s="5"/>
      <c r="K2420" s="5"/>
      <c r="L2420" s="8"/>
      <c r="M2420" s="5"/>
    </row>
    <row r="2421" spans="1:13" ht="15.75">
      <c r="A2421" s="146" t="s">
        <v>4</v>
      </c>
      <c r="B2421" s="146"/>
      <c r="C2421" s="146"/>
      <c r="D2421" s="146"/>
      <c r="E2421" s="146"/>
      <c r="F2421" s="146"/>
      <c r="G2421" s="146"/>
      <c r="H2421" s="146"/>
      <c r="I2421" s="147" t="s">
        <v>8</v>
      </c>
      <c r="J2421" s="147"/>
      <c r="K2421" s="148" t="s">
        <v>58</v>
      </c>
      <c r="L2421" s="149"/>
      <c r="M2421" s="150"/>
    </row>
    <row r="2422" spans="1:13" ht="15.75">
      <c r="A2422" s="146"/>
      <c r="B2422" s="146"/>
      <c r="C2422" s="146"/>
      <c r="D2422" s="146"/>
      <c r="E2422" s="146"/>
      <c r="F2422" s="146"/>
      <c r="G2422" s="146"/>
      <c r="H2422" s="146"/>
      <c r="I2422" s="147" t="s">
        <v>25</v>
      </c>
      <c r="J2422" s="147"/>
      <c r="K2422" s="151" t="s">
        <v>42</v>
      </c>
      <c r="L2422" s="147"/>
      <c r="M2422" s="147"/>
    </row>
    <row r="2423" spans="1:13" ht="15.75">
      <c r="A2423" s="146"/>
      <c r="B2423" s="146"/>
      <c r="C2423" s="146"/>
      <c r="D2423" s="146"/>
      <c r="E2423" s="146"/>
      <c r="F2423" s="146"/>
      <c r="G2423" s="146"/>
      <c r="H2423" s="146"/>
      <c r="I2423" s="152" t="s">
        <v>26</v>
      </c>
      <c r="J2423" s="153"/>
      <c r="K2423" s="154" t="s">
        <v>43</v>
      </c>
      <c r="L2423" s="155"/>
      <c r="M2423" s="153"/>
    </row>
    <row r="2424" spans="1:13" ht="15.75">
      <c r="A2424" s="147" t="s">
        <v>31</v>
      </c>
      <c r="B2424" s="147"/>
      <c r="C2424" s="147" t="s">
        <v>32</v>
      </c>
      <c r="D2424" s="147"/>
      <c r="E2424" s="147"/>
      <c r="F2424" s="147"/>
      <c r="G2424" s="147"/>
      <c r="H2424" s="147"/>
      <c r="I2424" s="36" t="s">
        <v>29</v>
      </c>
      <c r="J2424" s="37"/>
      <c r="K2424" s="36" t="s">
        <v>44</v>
      </c>
      <c r="L2424" s="33"/>
      <c r="M2424" s="37"/>
    </row>
    <row r="2425" spans="1:13" ht="15.75">
      <c r="A2425" s="147"/>
      <c r="B2425" s="147"/>
      <c r="C2425" s="147"/>
      <c r="D2425" s="147"/>
      <c r="E2425" s="147"/>
      <c r="F2425" s="147"/>
      <c r="G2425" s="147"/>
      <c r="H2425" s="147"/>
      <c r="I2425" s="147" t="s">
        <v>30</v>
      </c>
      <c r="J2425" s="147"/>
      <c r="K2425" s="147" t="s">
        <v>45</v>
      </c>
      <c r="L2425" s="147"/>
      <c r="M2425" s="147"/>
    </row>
    <row r="2426" spans="1:13" ht="15.75">
      <c r="A2426" s="156" t="s">
        <v>24</v>
      </c>
      <c r="B2426" s="156"/>
      <c r="C2426" s="156"/>
      <c r="D2426" s="35">
        <v>4</v>
      </c>
      <c r="E2426" s="157" t="s">
        <v>40</v>
      </c>
      <c r="F2426" s="157"/>
      <c r="G2426" s="157"/>
      <c r="H2426" s="35">
        <v>10</v>
      </c>
      <c r="I2426" s="147" t="s">
        <v>27</v>
      </c>
      <c r="J2426" s="147"/>
      <c r="K2426" s="147" t="s">
        <v>21</v>
      </c>
      <c r="L2426" s="147"/>
      <c r="M2426" s="147"/>
    </row>
    <row r="2427" spans="1:13" ht="45">
      <c r="A2427" s="3" t="s">
        <v>9</v>
      </c>
      <c r="B2427" s="3" t="s">
        <v>10</v>
      </c>
      <c r="C2427" s="3" t="s">
        <v>11</v>
      </c>
      <c r="D2427" s="3" t="s">
        <v>3</v>
      </c>
      <c r="E2427" s="4" t="s">
        <v>41</v>
      </c>
      <c r="F2427" s="4" t="s">
        <v>12</v>
      </c>
      <c r="G2427" s="3" t="s">
        <v>13</v>
      </c>
      <c r="H2427" s="3" t="s">
        <v>14</v>
      </c>
      <c r="I2427" s="3" t="s">
        <v>15</v>
      </c>
      <c r="J2427" s="3" t="s">
        <v>16</v>
      </c>
      <c r="K2427" s="3" t="s">
        <v>17</v>
      </c>
      <c r="L2427" s="3" t="s">
        <v>18</v>
      </c>
      <c r="M2427" s="3" t="s">
        <v>19</v>
      </c>
    </row>
    <row r="2428" spans="1:13">
      <c r="A2428" s="18">
        <v>1</v>
      </c>
      <c r="B2428" s="111" t="s">
        <v>46</v>
      </c>
      <c r="C2428" s="18"/>
      <c r="D2428" s="18">
        <v>1</v>
      </c>
      <c r="E2428" s="20">
        <v>11500</v>
      </c>
      <c r="F2428" s="20">
        <v>146</v>
      </c>
      <c r="G2428" s="18"/>
      <c r="H2428" s="18">
        <v>1</v>
      </c>
      <c r="I2428" s="21" t="s">
        <v>153</v>
      </c>
      <c r="J2428" s="18">
        <v>1</v>
      </c>
      <c r="K2428" s="18">
        <v>4803</v>
      </c>
      <c r="L2428" s="22"/>
      <c r="M2428" s="18"/>
    </row>
    <row r="2429" spans="1:13">
      <c r="A2429" s="18"/>
      <c r="B2429" s="113"/>
      <c r="C2429" s="18"/>
      <c r="D2429" s="18"/>
      <c r="E2429" s="20"/>
      <c r="F2429" s="20"/>
      <c r="G2429" s="18"/>
      <c r="H2429" s="18">
        <v>1</v>
      </c>
      <c r="I2429" s="21" t="s">
        <v>154</v>
      </c>
      <c r="J2429" s="18">
        <v>1</v>
      </c>
      <c r="K2429" s="18">
        <v>1795</v>
      </c>
      <c r="L2429" s="22"/>
      <c r="M2429" s="18"/>
    </row>
    <row r="2430" spans="1:13">
      <c r="A2430" s="18"/>
      <c r="B2430" s="113"/>
      <c r="C2430" s="18"/>
      <c r="D2430" s="18"/>
      <c r="E2430" s="20"/>
      <c r="F2430" s="20"/>
      <c r="G2430" s="18"/>
      <c r="H2430" s="18">
        <v>1</v>
      </c>
      <c r="I2430" s="21" t="s">
        <v>155</v>
      </c>
      <c r="J2430" s="18">
        <v>1</v>
      </c>
      <c r="K2430" s="18">
        <v>1792</v>
      </c>
      <c r="L2430" s="22"/>
      <c r="M2430" s="18"/>
    </row>
    <row r="2431" spans="1:13">
      <c r="A2431" s="18"/>
      <c r="B2431" s="113"/>
      <c r="C2431" s="18"/>
      <c r="D2431" s="18"/>
      <c r="E2431" s="20"/>
      <c r="F2431" s="20"/>
      <c r="G2431" s="18"/>
      <c r="H2431" s="18">
        <v>1</v>
      </c>
      <c r="I2431" s="21" t="s">
        <v>156</v>
      </c>
      <c r="J2431" s="18">
        <v>1</v>
      </c>
      <c r="K2431" s="18">
        <v>1709</v>
      </c>
      <c r="L2431" s="22"/>
      <c r="M2431" s="18"/>
    </row>
    <row r="2432" spans="1:13">
      <c r="A2432" s="18"/>
      <c r="B2432" s="113"/>
      <c r="C2432" s="18"/>
      <c r="D2432" s="18"/>
      <c r="E2432" s="20"/>
      <c r="F2432" s="20"/>
      <c r="G2432" s="18"/>
      <c r="H2432" s="18">
        <v>1</v>
      </c>
      <c r="I2432" s="21" t="s">
        <v>157</v>
      </c>
      <c r="J2432" s="18">
        <v>1</v>
      </c>
      <c r="K2432" s="18">
        <v>1125</v>
      </c>
      <c r="L2432" s="22"/>
      <c r="M2432" s="18"/>
    </row>
    <row r="2433" spans="1:13">
      <c r="A2433" s="18">
        <v>2</v>
      </c>
      <c r="B2433" s="113"/>
      <c r="C2433" s="18"/>
      <c r="D2433" s="18">
        <v>1</v>
      </c>
      <c r="E2433" s="20">
        <v>11500</v>
      </c>
      <c r="F2433" s="20">
        <v>9038</v>
      </c>
      <c r="G2433" s="18"/>
      <c r="H2433" s="18">
        <v>1</v>
      </c>
      <c r="I2433" s="21" t="s">
        <v>158</v>
      </c>
      <c r="J2433" s="18">
        <v>1</v>
      </c>
      <c r="K2433" s="18">
        <v>1706</v>
      </c>
      <c r="L2433" s="22"/>
      <c r="M2433" s="18"/>
    </row>
    <row r="2434" spans="1:13">
      <c r="A2434" s="18"/>
      <c r="B2434" s="113"/>
      <c r="C2434" s="18"/>
      <c r="D2434" s="18"/>
      <c r="E2434" s="20"/>
      <c r="F2434" s="20"/>
      <c r="G2434" s="18"/>
      <c r="H2434" s="18">
        <v>1</v>
      </c>
      <c r="I2434" s="21" t="s">
        <v>159</v>
      </c>
      <c r="J2434" s="18">
        <v>1</v>
      </c>
      <c r="K2434" s="18">
        <v>456</v>
      </c>
      <c r="L2434" s="22"/>
      <c r="M2434" s="18"/>
    </row>
    <row r="2435" spans="1:13">
      <c r="A2435" s="18"/>
      <c r="B2435" s="113"/>
      <c r="C2435" s="18"/>
      <c r="D2435" s="18"/>
      <c r="E2435" s="20"/>
      <c r="F2435" s="20"/>
      <c r="G2435" s="18"/>
      <c r="H2435" s="18">
        <v>1</v>
      </c>
      <c r="I2435" s="21" t="s">
        <v>160</v>
      </c>
      <c r="J2435" s="18">
        <v>1</v>
      </c>
      <c r="K2435" s="18">
        <v>222</v>
      </c>
      <c r="L2435" s="22"/>
      <c r="M2435" s="18"/>
    </row>
    <row r="2436" spans="1:13">
      <c r="A2436" s="18">
        <v>3</v>
      </c>
      <c r="B2436" s="113"/>
      <c r="C2436" s="18"/>
      <c r="D2436" s="18">
        <v>1</v>
      </c>
      <c r="E2436" s="20">
        <v>11500</v>
      </c>
      <c r="F2436" s="20">
        <v>0</v>
      </c>
      <c r="G2436" s="18"/>
      <c r="H2436" s="18">
        <v>1</v>
      </c>
      <c r="I2436" s="21" t="s">
        <v>161</v>
      </c>
      <c r="J2436" s="18">
        <v>1</v>
      </c>
      <c r="K2436" s="18">
        <v>11500</v>
      </c>
      <c r="L2436" s="22"/>
      <c r="M2436" s="18"/>
    </row>
    <row r="2437" spans="1:13">
      <c r="A2437" s="18">
        <v>4</v>
      </c>
      <c r="B2437" s="112"/>
      <c r="C2437" s="18"/>
      <c r="D2437" s="18">
        <v>1</v>
      </c>
      <c r="E2437" s="20">
        <v>11500</v>
      </c>
      <c r="F2437" s="20">
        <v>0</v>
      </c>
      <c r="G2437" s="18"/>
      <c r="H2437" s="18">
        <v>1</v>
      </c>
      <c r="I2437" s="21" t="s">
        <v>162</v>
      </c>
      <c r="J2437" s="18">
        <v>1</v>
      </c>
      <c r="K2437" s="18">
        <v>11500</v>
      </c>
      <c r="L2437" s="22"/>
      <c r="M2437" s="18"/>
    </row>
    <row r="2438" spans="1:13">
      <c r="A2438" s="18"/>
      <c r="B2438" s="18"/>
      <c r="C2438" s="18"/>
      <c r="D2438" s="18"/>
      <c r="E2438" s="20"/>
      <c r="F2438" s="20"/>
      <c r="G2438" s="18"/>
      <c r="H2438" s="18"/>
      <c r="I2438" s="21"/>
      <c r="J2438" s="18"/>
      <c r="K2438" s="18"/>
      <c r="L2438" s="22"/>
      <c r="M2438" s="18"/>
    </row>
  </sheetData>
  <mergeCells count="1840">
    <mergeCell ref="B271:B272"/>
    <mergeCell ref="I273:J273"/>
    <mergeCell ref="K273:M273"/>
    <mergeCell ref="I274:J274"/>
    <mergeCell ref="K274:M274"/>
    <mergeCell ref="I275:J275"/>
    <mergeCell ref="K275:M275"/>
    <mergeCell ref="A276:B277"/>
    <mergeCell ref="C276:H277"/>
    <mergeCell ref="K276:M276"/>
    <mergeCell ref="I277:J277"/>
    <mergeCell ref="K277:M277"/>
    <mergeCell ref="A278:C278"/>
    <mergeCell ref="E278:G278"/>
    <mergeCell ref="I278:J278"/>
    <mergeCell ref="K278:M278"/>
    <mergeCell ref="B280:B284"/>
    <mergeCell ref="A264:H266"/>
    <mergeCell ref="I264:J264"/>
    <mergeCell ref="K264:M264"/>
    <mergeCell ref="I265:J265"/>
    <mergeCell ref="K265:M265"/>
    <mergeCell ref="I266:J266"/>
    <mergeCell ref="K266:M266"/>
    <mergeCell ref="A267:B268"/>
    <mergeCell ref="C267:H268"/>
    <mergeCell ref="K267:M267"/>
    <mergeCell ref="I268:J268"/>
    <mergeCell ref="K268:M268"/>
    <mergeCell ref="A269:C269"/>
    <mergeCell ref="E269:G269"/>
    <mergeCell ref="I269:J269"/>
    <mergeCell ref="K269:M269"/>
    <mergeCell ref="A675:H677"/>
    <mergeCell ref="I675:J675"/>
    <mergeCell ref="K675:M675"/>
    <mergeCell ref="I676:J676"/>
    <mergeCell ref="K676:M676"/>
    <mergeCell ref="I677:J677"/>
    <mergeCell ref="K677:M677"/>
    <mergeCell ref="B633:B640"/>
    <mergeCell ref="A642:H644"/>
    <mergeCell ref="I642:J642"/>
    <mergeCell ref="K642:M642"/>
    <mergeCell ref="I643:J643"/>
    <mergeCell ref="K643:M643"/>
    <mergeCell ref="I644:J644"/>
    <mergeCell ref="K644:M644"/>
    <mergeCell ref="A645:B646"/>
    <mergeCell ref="A678:B679"/>
    <mergeCell ref="C678:H679"/>
    <mergeCell ref="L316:M325"/>
    <mergeCell ref="A286:H288"/>
    <mergeCell ref="I286:J286"/>
    <mergeCell ref="K286:M286"/>
    <mergeCell ref="I287:J287"/>
    <mergeCell ref="K287:M287"/>
    <mergeCell ref="I288:J288"/>
    <mergeCell ref="K288:M288"/>
    <mergeCell ref="A289:B290"/>
    <mergeCell ref="C289:H290"/>
    <mergeCell ref="K289:M289"/>
    <mergeCell ref="I290:J290"/>
    <mergeCell ref="K290:M290"/>
    <mergeCell ref="A291:C291"/>
    <mergeCell ref="E291:G291"/>
    <mergeCell ref="I291:J291"/>
    <mergeCell ref="K291:M291"/>
    <mergeCell ref="B293:B298"/>
    <mergeCell ref="A300:H302"/>
    <mergeCell ref="I300:J300"/>
    <mergeCell ref="K300:M300"/>
    <mergeCell ref="I301:J301"/>
    <mergeCell ref="K301:M301"/>
    <mergeCell ref="K678:M678"/>
    <mergeCell ref="I679:J679"/>
    <mergeCell ref="K679:M679"/>
    <mergeCell ref="A631:C631"/>
    <mergeCell ref="E631:G631"/>
    <mergeCell ref="I631:J631"/>
    <mergeCell ref="K631:M631"/>
    <mergeCell ref="A749:H751"/>
    <mergeCell ref="I749:J749"/>
    <mergeCell ref="K749:M749"/>
    <mergeCell ref="I750:J750"/>
    <mergeCell ref="K750:M750"/>
    <mergeCell ref="I751:J751"/>
    <mergeCell ref="K751:M751"/>
    <mergeCell ref="A752:B753"/>
    <mergeCell ref="C752:H753"/>
    <mergeCell ref="K752:M752"/>
    <mergeCell ref="I753:J753"/>
    <mergeCell ref="K753:M753"/>
    <mergeCell ref="A754:C754"/>
    <mergeCell ref="E754:G754"/>
    <mergeCell ref="I754:J754"/>
    <mergeCell ref="K754:M754"/>
    <mergeCell ref="A724:C724"/>
    <mergeCell ref="E724:G724"/>
    <mergeCell ref="I724:J724"/>
    <mergeCell ref="K724:M724"/>
    <mergeCell ref="B726:B748"/>
    <mergeCell ref="B756:B757"/>
    <mergeCell ref="L756:M757"/>
    <mergeCell ref="A759:H761"/>
    <mergeCell ref="I759:J759"/>
    <mergeCell ref="K759:M759"/>
    <mergeCell ref="I760:J760"/>
    <mergeCell ref="K760:M760"/>
    <mergeCell ref="I761:J761"/>
    <mergeCell ref="K761:M761"/>
    <mergeCell ref="A762:B763"/>
    <mergeCell ref="C762:H763"/>
    <mergeCell ref="K762:M762"/>
    <mergeCell ref="I763:J763"/>
    <mergeCell ref="K763:M763"/>
    <mergeCell ref="A764:C764"/>
    <mergeCell ref="E764:G764"/>
    <mergeCell ref="I764:J764"/>
    <mergeCell ref="K764:M764"/>
    <mergeCell ref="B766:B769"/>
    <mergeCell ref="A771:H773"/>
    <mergeCell ref="I771:J771"/>
    <mergeCell ref="K771:M771"/>
    <mergeCell ref="I772:J772"/>
    <mergeCell ref="K772:M772"/>
    <mergeCell ref="I773:J773"/>
    <mergeCell ref="K773:M773"/>
    <mergeCell ref="A774:B775"/>
    <mergeCell ref="C774:H775"/>
    <mergeCell ref="K774:M774"/>
    <mergeCell ref="I775:J775"/>
    <mergeCell ref="K775:M775"/>
    <mergeCell ref="A776:C776"/>
    <mergeCell ref="E776:G776"/>
    <mergeCell ref="I776:J776"/>
    <mergeCell ref="K776:M776"/>
    <mergeCell ref="B778:B785"/>
    <mergeCell ref="L783:M785"/>
    <mergeCell ref="A787:H789"/>
    <mergeCell ref="I787:J787"/>
    <mergeCell ref="K787:M787"/>
    <mergeCell ref="I788:J788"/>
    <mergeCell ref="K788:M788"/>
    <mergeCell ref="I789:J789"/>
    <mergeCell ref="K789:M789"/>
    <mergeCell ref="A790:B791"/>
    <mergeCell ref="C790:H791"/>
    <mergeCell ref="K790:M790"/>
    <mergeCell ref="I791:J791"/>
    <mergeCell ref="K791:M791"/>
    <mergeCell ref="A792:C792"/>
    <mergeCell ref="E792:G792"/>
    <mergeCell ref="I792:J792"/>
    <mergeCell ref="K792:M792"/>
    <mergeCell ref="B794:B800"/>
    <mergeCell ref="A802:H804"/>
    <mergeCell ref="I802:J802"/>
    <mergeCell ref="K802:M802"/>
    <mergeCell ref="I803:J803"/>
    <mergeCell ref="K803:M803"/>
    <mergeCell ref="I804:J804"/>
    <mergeCell ref="K804:M804"/>
    <mergeCell ref="A805:B806"/>
    <mergeCell ref="C805:H806"/>
    <mergeCell ref="K805:M805"/>
    <mergeCell ref="I806:J806"/>
    <mergeCell ref="K806:M806"/>
    <mergeCell ref="A807:C807"/>
    <mergeCell ref="E807:G807"/>
    <mergeCell ref="I807:J807"/>
    <mergeCell ref="K807:M807"/>
    <mergeCell ref="B809:B814"/>
    <mergeCell ref="A816:H818"/>
    <mergeCell ref="I816:J816"/>
    <mergeCell ref="K816:M816"/>
    <mergeCell ref="I817:J817"/>
    <mergeCell ref="K817:M817"/>
    <mergeCell ref="I818:J818"/>
    <mergeCell ref="K818:M818"/>
    <mergeCell ref="A819:B820"/>
    <mergeCell ref="C819:H820"/>
    <mergeCell ref="K819:M819"/>
    <mergeCell ref="I820:J820"/>
    <mergeCell ref="K820:M820"/>
    <mergeCell ref="A821:C821"/>
    <mergeCell ref="E821:G821"/>
    <mergeCell ref="I821:J821"/>
    <mergeCell ref="K821:M821"/>
    <mergeCell ref="B823:B856"/>
    <mergeCell ref="A869:H871"/>
    <mergeCell ref="I869:J869"/>
    <mergeCell ref="K869:M869"/>
    <mergeCell ref="I870:J870"/>
    <mergeCell ref="K870:M870"/>
    <mergeCell ref="I871:J871"/>
    <mergeCell ref="K871:M871"/>
    <mergeCell ref="A872:B873"/>
    <mergeCell ref="C872:H873"/>
    <mergeCell ref="K872:M872"/>
    <mergeCell ref="I873:J873"/>
    <mergeCell ref="K873:M873"/>
    <mergeCell ref="A874:C874"/>
    <mergeCell ref="E874:G874"/>
    <mergeCell ref="I874:J874"/>
    <mergeCell ref="K874:M874"/>
    <mergeCell ref="A858:H860"/>
    <mergeCell ref="I858:J858"/>
    <mergeCell ref="K858:M858"/>
    <mergeCell ref="I859:J859"/>
    <mergeCell ref="K859:M859"/>
    <mergeCell ref="I860:J860"/>
    <mergeCell ref="K860:M860"/>
    <mergeCell ref="A861:B862"/>
    <mergeCell ref="C861:H862"/>
    <mergeCell ref="K861:M861"/>
    <mergeCell ref="I862:J862"/>
    <mergeCell ref="K862:M862"/>
    <mergeCell ref="A863:C863"/>
    <mergeCell ref="E863:G863"/>
    <mergeCell ref="I863:J863"/>
    <mergeCell ref="K863:M863"/>
    <mergeCell ref="L905:M912"/>
    <mergeCell ref="B905:B912"/>
    <mergeCell ref="B876:B904"/>
    <mergeCell ref="A914:H916"/>
    <mergeCell ref="I914:J914"/>
    <mergeCell ref="K914:M914"/>
    <mergeCell ref="I915:J915"/>
    <mergeCell ref="K915:M915"/>
    <mergeCell ref="I916:J916"/>
    <mergeCell ref="K916:M916"/>
    <mergeCell ref="A917:B918"/>
    <mergeCell ref="C917:H918"/>
    <mergeCell ref="K917:M917"/>
    <mergeCell ref="I918:J918"/>
    <mergeCell ref="K918:M918"/>
    <mergeCell ref="A919:C919"/>
    <mergeCell ref="E919:G919"/>
    <mergeCell ref="I919:J919"/>
    <mergeCell ref="K919:M919"/>
    <mergeCell ref="B921:B967"/>
    <mergeCell ref="A969:H971"/>
    <mergeCell ref="I969:J969"/>
    <mergeCell ref="K969:M969"/>
    <mergeCell ref="I970:J970"/>
    <mergeCell ref="K970:M970"/>
    <mergeCell ref="I971:J971"/>
    <mergeCell ref="K971:M971"/>
    <mergeCell ref="A972:B973"/>
    <mergeCell ref="C972:H973"/>
    <mergeCell ref="K972:M972"/>
    <mergeCell ref="I973:J973"/>
    <mergeCell ref="K973:M973"/>
    <mergeCell ref="A974:C974"/>
    <mergeCell ref="E974:G974"/>
    <mergeCell ref="I974:J974"/>
    <mergeCell ref="K974:M974"/>
    <mergeCell ref="B976:B979"/>
    <mergeCell ref="A981:H983"/>
    <mergeCell ref="I981:J981"/>
    <mergeCell ref="K981:M981"/>
    <mergeCell ref="I982:J982"/>
    <mergeCell ref="K982:M982"/>
    <mergeCell ref="I983:J983"/>
    <mergeCell ref="K983:M983"/>
    <mergeCell ref="A984:B985"/>
    <mergeCell ref="C984:H985"/>
    <mergeCell ref="K984:M984"/>
    <mergeCell ref="I985:J985"/>
    <mergeCell ref="K985:M985"/>
    <mergeCell ref="A986:C986"/>
    <mergeCell ref="E986:G986"/>
    <mergeCell ref="I986:J986"/>
    <mergeCell ref="K986:M986"/>
    <mergeCell ref="B988:B989"/>
    <mergeCell ref="A991:H993"/>
    <mergeCell ref="I991:J991"/>
    <mergeCell ref="K991:M991"/>
    <mergeCell ref="I992:J992"/>
    <mergeCell ref="K992:M992"/>
    <mergeCell ref="I993:J993"/>
    <mergeCell ref="K993:M993"/>
    <mergeCell ref="A994:B995"/>
    <mergeCell ref="C994:H995"/>
    <mergeCell ref="K994:M994"/>
    <mergeCell ref="I995:J995"/>
    <mergeCell ref="K995:M995"/>
    <mergeCell ref="A996:C996"/>
    <mergeCell ref="E996:G996"/>
    <mergeCell ref="I996:J996"/>
    <mergeCell ref="K996:M996"/>
    <mergeCell ref="B1016:B1026"/>
    <mergeCell ref="L998:M1015"/>
    <mergeCell ref="B998:B1015"/>
    <mergeCell ref="I1042:J1042"/>
    <mergeCell ref="K1042:M1042"/>
    <mergeCell ref="A1043:C1043"/>
    <mergeCell ref="E1043:G1043"/>
    <mergeCell ref="I1043:J1043"/>
    <mergeCell ref="K1043:M1043"/>
    <mergeCell ref="B1045:B1046"/>
    <mergeCell ref="A1029:H1031"/>
    <mergeCell ref="I1029:J1029"/>
    <mergeCell ref="K1029:M1029"/>
    <mergeCell ref="I1030:J1030"/>
    <mergeCell ref="K1030:M1030"/>
    <mergeCell ref="I1031:J1031"/>
    <mergeCell ref="K1031:M1031"/>
    <mergeCell ref="A1032:B1033"/>
    <mergeCell ref="C1032:H1033"/>
    <mergeCell ref="K1032:M1032"/>
    <mergeCell ref="I1033:J1033"/>
    <mergeCell ref="K1033:M1033"/>
    <mergeCell ref="A1034:C1034"/>
    <mergeCell ref="E1034:G1034"/>
    <mergeCell ref="I1034:J1034"/>
    <mergeCell ref="K1034:M1034"/>
    <mergeCell ref="B1036:B1037"/>
    <mergeCell ref="A1038:H1040"/>
    <mergeCell ref="I1038:J1038"/>
    <mergeCell ref="K1038:M1038"/>
    <mergeCell ref="I1039:J1039"/>
    <mergeCell ref="K1039:M1039"/>
    <mergeCell ref="I1040:J1040"/>
    <mergeCell ref="K1040:M1040"/>
    <mergeCell ref="A1041:B1042"/>
    <mergeCell ref="C1041:H1042"/>
    <mergeCell ref="K1041:M1041"/>
    <mergeCell ref="L1104:M1105"/>
    <mergeCell ref="B1078:B1091"/>
    <mergeCell ref="B1100:B1105"/>
    <mergeCell ref="A1048:H1050"/>
    <mergeCell ref="I1048:J1048"/>
    <mergeCell ref="K1048:M1048"/>
    <mergeCell ref="I1049:J1049"/>
    <mergeCell ref="K1049:M1049"/>
    <mergeCell ref="I1050:J1050"/>
    <mergeCell ref="K1050:M1050"/>
    <mergeCell ref="A1051:B1052"/>
    <mergeCell ref="C1051:H1052"/>
    <mergeCell ref="K1051:M1051"/>
    <mergeCell ref="I1052:J1052"/>
    <mergeCell ref="K1052:M1052"/>
    <mergeCell ref="A1053:C1053"/>
    <mergeCell ref="E1053:G1053"/>
    <mergeCell ref="I1053:J1053"/>
    <mergeCell ref="K1053:M1053"/>
    <mergeCell ref="B1055:B1057"/>
    <mergeCell ref="A1059:H1061"/>
    <mergeCell ref="I1059:J1059"/>
    <mergeCell ref="K1059:M1059"/>
    <mergeCell ref="I1060:J1060"/>
    <mergeCell ref="A1096:B1097"/>
    <mergeCell ref="C1096:H1097"/>
    <mergeCell ref="K1096:M1096"/>
    <mergeCell ref="I1097:J1097"/>
    <mergeCell ref="K1097:M1097"/>
    <mergeCell ref="K1060:M1060"/>
    <mergeCell ref="I1061:J1061"/>
    <mergeCell ref="K1061:M1061"/>
    <mergeCell ref="A1062:B1063"/>
    <mergeCell ref="C1062:H1063"/>
    <mergeCell ref="K1062:M1062"/>
    <mergeCell ref="I1063:J1063"/>
    <mergeCell ref="K1063:M1063"/>
    <mergeCell ref="A1071:H1073"/>
    <mergeCell ref="I1071:J1071"/>
    <mergeCell ref="K1071:M1071"/>
    <mergeCell ref="I1072:J1072"/>
    <mergeCell ref="K1072:M1072"/>
    <mergeCell ref="I1073:J1073"/>
    <mergeCell ref="K1073:M1073"/>
    <mergeCell ref="A1064:C1064"/>
    <mergeCell ref="E1064:G1064"/>
    <mergeCell ref="I1064:J1064"/>
    <mergeCell ref="K1064:M1064"/>
    <mergeCell ref="B1066:B1069"/>
    <mergeCell ref="A1107:H1109"/>
    <mergeCell ref="I1107:J1107"/>
    <mergeCell ref="K1107:M1107"/>
    <mergeCell ref="I1108:J1108"/>
    <mergeCell ref="K1108:M1108"/>
    <mergeCell ref="I1109:J1109"/>
    <mergeCell ref="K1109:M1109"/>
    <mergeCell ref="A1110:B1111"/>
    <mergeCell ref="C1110:H1111"/>
    <mergeCell ref="K1110:M1110"/>
    <mergeCell ref="I1111:J1111"/>
    <mergeCell ref="K1111:M1111"/>
    <mergeCell ref="A1074:B1075"/>
    <mergeCell ref="C1074:H1075"/>
    <mergeCell ref="K1074:M1074"/>
    <mergeCell ref="I1075:J1075"/>
    <mergeCell ref="K1075:M1075"/>
    <mergeCell ref="A1076:C1076"/>
    <mergeCell ref="E1076:G1076"/>
    <mergeCell ref="I1076:J1076"/>
    <mergeCell ref="K1076:M1076"/>
    <mergeCell ref="A1098:C1098"/>
    <mergeCell ref="E1098:G1098"/>
    <mergeCell ref="I1098:J1098"/>
    <mergeCell ref="K1098:M1098"/>
    <mergeCell ref="A1093:H1095"/>
    <mergeCell ref="I1093:J1093"/>
    <mergeCell ref="K1093:M1093"/>
    <mergeCell ref="I1094:J1094"/>
    <mergeCell ref="K1094:M1094"/>
    <mergeCell ref="I1095:J1095"/>
    <mergeCell ref="K1095:M1095"/>
    <mergeCell ref="A1112:C1112"/>
    <mergeCell ref="E1112:G1112"/>
    <mergeCell ref="I1112:J1112"/>
    <mergeCell ref="K1112:M1112"/>
    <mergeCell ref="B1114:B1127"/>
    <mergeCell ref="B1220:B1280"/>
    <mergeCell ref="B1185:B1219"/>
    <mergeCell ref="K1129:M1129"/>
    <mergeCell ref="I1130:J1130"/>
    <mergeCell ref="K1130:M1130"/>
    <mergeCell ref="I1131:J1131"/>
    <mergeCell ref="K1131:M1131"/>
    <mergeCell ref="A1132:B1133"/>
    <mergeCell ref="C1132:H1133"/>
    <mergeCell ref="K1132:M1132"/>
    <mergeCell ref="I1133:J1133"/>
    <mergeCell ref="K1133:M1133"/>
    <mergeCell ref="A1134:C1134"/>
    <mergeCell ref="E1134:G1134"/>
    <mergeCell ref="I1134:J1134"/>
    <mergeCell ref="K1134:M1134"/>
    <mergeCell ref="B1136:B1143"/>
    <mergeCell ref="A1129:H1131"/>
    <mergeCell ref="I1129:J1129"/>
    <mergeCell ref="A1150:C1150"/>
    <mergeCell ref="E1150:G1150"/>
    <mergeCell ref="I1150:J1150"/>
    <mergeCell ref="K1150:M1150"/>
    <mergeCell ref="B1152:B1184"/>
    <mergeCell ref="A1282:H1284"/>
    <mergeCell ref="I1282:J1282"/>
    <mergeCell ref="K1282:M1282"/>
    <mergeCell ref="I1283:J1283"/>
    <mergeCell ref="K1283:M1283"/>
    <mergeCell ref="I1284:J1284"/>
    <mergeCell ref="K1284:M1284"/>
    <mergeCell ref="A1145:H1147"/>
    <mergeCell ref="I1145:J1145"/>
    <mergeCell ref="K1145:M1145"/>
    <mergeCell ref="I1146:J1146"/>
    <mergeCell ref="K1146:M1146"/>
    <mergeCell ref="I1147:J1147"/>
    <mergeCell ref="K1147:M1147"/>
    <mergeCell ref="A1148:B1149"/>
    <mergeCell ref="C1148:H1149"/>
    <mergeCell ref="K1148:M1148"/>
    <mergeCell ref="I1149:J1149"/>
    <mergeCell ref="K1149:M1149"/>
    <mergeCell ref="B1289:B1294"/>
    <mergeCell ref="M1289:M1294"/>
    <mergeCell ref="I1296:J1296"/>
    <mergeCell ref="K1296:M1296"/>
    <mergeCell ref="I1297:J1297"/>
    <mergeCell ref="K1297:M1297"/>
    <mergeCell ref="I1298:J1298"/>
    <mergeCell ref="K1298:M1298"/>
    <mergeCell ref="A1299:B1300"/>
    <mergeCell ref="C1299:H1300"/>
    <mergeCell ref="K1299:M1299"/>
    <mergeCell ref="I1300:J1300"/>
    <mergeCell ref="K1300:M1300"/>
    <mergeCell ref="A1285:B1286"/>
    <mergeCell ref="C1285:H1286"/>
    <mergeCell ref="K1285:M1285"/>
    <mergeCell ref="I1286:J1286"/>
    <mergeCell ref="K1286:M1286"/>
    <mergeCell ref="A1287:C1287"/>
    <mergeCell ref="E1287:G1287"/>
    <mergeCell ref="I1287:J1287"/>
    <mergeCell ref="K1287:M1287"/>
    <mergeCell ref="A1307:H1309"/>
    <mergeCell ref="I1307:J1307"/>
    <mergeCell ref="A1319:B1320"/>
    <mergeCell ref="C1319:H1320"/>
    <mergeCell ref="A1301:C1301"/>
    <mergeCell ref="E1301:G1301"/>
    <mergeCell ref="I1301:J1301"/>
    <mergeCell ref="K1301:M1301"/>
    <mergeCell ref="M1305:M1306"/>
    <mergeCell ref="B1303:B1306"/>
    <mergeCell ref="A1296:H1298"/>
    <mergeCell ref="K1321:M1321"/>
    <mergeCell ref="A1312:C1312"/>
    <mergeCell ref="E1312:G1312"/>
    <mergeCell ref="I1312:J1312"/>
    <mergeCell ref="K1312:M1312"/>
    <mergeCell ref="M1314:M1315"/>
    <mergeCell ref="B1314:B1315"/>
    <mergeCell ref="K1319:M1319"/>
    <mergeCell ref="I1320:J1320"/>
    <mergeCell ref="K1320:M1320"/>
    <mergeCell ref="A1321:C1321"/>
    <mergeCell ref="E1321:G1321"/>
    <mergeCell ref="I1321:J1321"/>
    <mergeCell ref="K1307:M1307"/>
    <mergeCell ref="I1308:J1308"/>
    <mergeCell ref="K1308:M1308"/>
    <mergeCell ref="I1309:J1309"/>
    <mergeCell ref="K1309:M1309"/>
    <mergeCell ref="A1310:B1311"/>
    <mergeCell ref="C1310:H1311"/>
    <mergeCell ref="K1310:M1310"/>
    <mergeCell ref="I1311:J1311"/>
    <mergeCell ref="K1311:M1311"/>
    <mergeCell ref="A1316:H1318"/>
    <mergeCell ref="I1316:J1316"/>
    <mergeCell ref="K1316:M1316"/>
    <mergeCell ref="I1317:J1317"/>
    <mergeCell ref="K1317:M1317"/>
    <mergeCell ref="I1318:J1318"/>
    <mergeCell ref="K1318:M1318"/>
    <mergeCell ref="A1416:H1418"/>
    <mergeCell ref="I1416:J1416"/>
    <mergeCell ref="K1416:M1416"/>
    <mergeCell ref="I1417:J1417"/>
    <mergeCell ref="K1417:M1417"/>
    <mergeCell ref="I1418:J1418"/>
    <mergeCell ref="K1418:M1418"/>
    <mergeCell ref="B1323:B1414"/>
    <mergeCell ref="M1323:M1328"/>
    <mergeCell ref="A1419:B1420"/>
    <mergeCell ref="C1419:H1420"/>
    <mergeCell ref="K1419:M1419"/>
    <mergeCell ref="I1420:J1420"/>
    <mergeCell ref="K1420:M1420"/>
    <mergeCell ref="A1421:C1421"/>
    <mergeCell ref="E1421:G1421"/>
    <mergeCell ref="I1421:J1421"/>
    <mergeCell ref="K1421:M1421"/>
    <mergeCell ref="A1440:C1440"/>
    <mergeCell ref="E1440:G1440"/>
    <mergeCell ref="K1436:M1436"/>
    <mergeCell ref="I1437:J1437"/>
    <mergeCell ref="K1437:M1437"/>
    <mergeCell ref="A1438:B1439"/>
    <mergeCell ref="B1423:B1424"/>
    <mergeCell ref="K1657:M1657"/>
    <mergeCell ref="E1628:G1628"/>
    <mergeCell ref="I1628:J1628"/>
    <mergeCell ref="K1628:M1628"/>
    <mergeCell ref="A1614:H1616"/>
    <mergeCell ref="I1614:J1614"/>
    <mergeCell ref="K1614:M1614"/>
    <mergeCell ref="I1615:J1615"/>
    <mergeCell ref="K1615:M1615"/>
    <mergeCell ref="I1616:J1616"/>
    <mergeCell ref="K1616:M1616"/>
    <mergeCell ref="A1617:B1618"/>
    <mergeCell ref="C1617:H1618"/>
    <mergeCell ref="K1617:M1617"/>
    <mergeCell ref="I1618:J1618"/>
    <mergeCell ref="K1618:M1618"/>
    <mergeCell ref="I1658:J1658"/>
    <mergeCell ref="K1658:M1658"/>
    <mergeCell ref="I1659:J1659"/>
    <mergeCell ref="K1659:M1659"/>
    <mergeCell ref="K1661:M1661"/>
    <mergeCell ref="A1637:C1637"/>
    <mergeCell ref="E1637:G1637"/>
    <mergeCell ref="I1440:J1440"/>
    <mergeCell ref="K1440:M1440"/>
    <mergeCell ref="A1425:H1427"/>
    <mergeCell ref="I1425:J1425"/>
    <mergeCell ref="K1425:M1425"/>
    <mergeCell ref="I1426:J1426"/>
    <mergeCell ref="K1426:M1426"/>
    <mergeCell ref="I1427:J1427"/>
    <mergeCell ref="K1427:M1427"/>
    <mergeCell ref="A1428:B1429"/>
    <mergeCell ref="C1428:H1429"/>
    <mergeCell ref="K1428:M1428"/>
    <mergeCell ref="I1429:J1429"/>
    <mergeCell ref="K1429:M1429"/>
    <mergeCell ref="A1430:C1430"/>
    <mergeCell ref="E1430:G1430"/>
    <mergeCell ref="I1430:J1430"/>
    <mergeCell ref="K1430:M1430"/>
    <mergeCell ref="A1435:H1437"/>
    <mergeCell ref="I1435:J1435"/>
    <mergeCell ref="K1435:M1435"/>
    <mergeCell ref="I1436:J1436"/>
    <mergeCell ref="B1442:B1443"/>
    <mergeCell ref="B1432:B1434"/>
    <mergeCell ref="A1628:C1628"/>
    <mergeCell ref="C1729:H1730"/>
    <mergeCell ref="K1729:M1729"/>
    <mergeCell ref="I1730:J1730"/>
    <mergeCell ref="K1730:M1730"/>
    <mergeCell ref="C1438:H1439"/>
    <mergeCell ref="K1438:M1438"/>
    <mergeCell ref="I1439:J1439"/>
    <mergeCell ref="K1439:M1439"/>
    <mergeCell ref="A1662:C1662"/>
    <mergeCell ref="E1662:G1662"/>
    <mergeCell ref="I1662:J1662"/>
    <mergeCell ref="K1662:M1662"/>
    <mergeCell ref="A1632:H1634"/>
    <mergeCell ref="I1632:J1632"/>
    <mergeCell ref="K1632:M1632"/>
    <mergeCell ref="I1633:J1633"/>
    <mergeCell ref="K1633:M1633"/>
    <mergeCell ref="I1634:J1634"/>
    <mergeCell ref="K1634:M1634"/>
    <mergeCell ref="A1635:B1636"/>
    <mergeCell ref="C1635:H1636"/>
    <mergeCell ref="K1635:M1635"/>
    <mergeCell ref="I1636:J1636"/>
    <mergeCell ref="K1636:M1636"/>
    <mergeCell ref="A1660:B1661"/>
    <mergeCell ref="C1660:H1661"/>
    <mergeCell ref="K1660:M1660"/>
    <mergeCell ref="I1661:J1661"/>
    <mergeCell ref="I1637:J1637"/>
    <mergeCell ref="K1637:M1637"/>
    <mergeCell ref="A1657:H1659"/>
    <mergeCell ref="I1657:J1657"/>
    <mergeCell ref="K1750:M1750"/>
    <mergeCell ref="I1751:J1751"/>
    <mergeCell ref="K1751:M1751"/>
    <mergeCell ref="A1752:B1753"/>
    <mergeCell ref="C1752:H1753"/>
    <mergeCell ref="K1752:M1752"/>
    <mergeCell ref="I1753:J1753"/>
    <mergeCell ref="K1753:M1753"/>
    <mergeCell ref="A1719:C1719"/>
    <mergeCell ref="E1719:G1719"/>
    <mergeCell ref="I1719:J1719"/>
    <mergeCell ref="K1719:M1719"/>
    <mergeCell ref="A1714:H1716"/>
    <mergeCell ref="I1714:J1714"/>
    <mergeCell ref="K1714:M1714"/>
    <mergeCell ref="I1715:J1715"/>
    <mergeCell ref="K1715:M1715"/>
    <mergeCell ref="I1716:J1716"/>
    <mergeCell ref="K1716:M1716"/>
    <mergeCell ref="A1717:B1718"/>
    <mergeCell ref="C1717:H1718"/>
    <mergeCell ref="K1717:M1717"/>
    <mergeCell ref="I1718:J1718"/>
    <mergeCell ref="K1718:M1718"/>
    <mergeCell ref="A1726:H1728"/>
    <mergeCell ref="I1726:J1726"/>
    <mergeCell ref="K1726:M1726"/>
    <mergeCell ref="I1727:J1727"/>
    <mergeCell ref="K1727:M1727"/>
    <mergeCell ref="I1728:J1728"/>
    <mergeCell ref="K1728:M1728"/>
    <mergeCell ref="A1729:B1730"/>
    <mergeCell ref="A1731:C1731"/>
    <mergeCell ref="E1731:G1731"/>
    <mergeCell ref="I1731:J1731"/>
    <mergeCell ref="K1731:M1731"/>
    <mergeCell ref="E1778:G1778"/>
    <mergeCell ref="I1778:J1778"/>
    <mergeCell ref="K1778:M1778"/>
    <mergeCell ref="A1762:H1764"/>
    <mergeCell ref="I1762:J1762"/>
    <mergeCell ref="K1762:M1762"/>
    <mergeCell ref="I1763:J1763"/>
    <mergeCell ref="K1763:M1763"/>
    <mergeCell ref="I1764:J1764"/>
    <mergeCell ref="K1764:M1764"/>
    <mergeCell ref="A1765:B1766"/>
    <mergeCell ref="C1765:H1766"/>
    <mergeCell ref="K1765:M1765"/>
    <mergeCell ref="I1766:J1766"/>
    <mergeCell ref="K1766:M1766"/>
    <mergeCell ref="A1767:C1767"/>
    <mergeCell ref="E1767:G1767"/>
    <mergeCell ref="I1767:J1767"/>
    <mergeCell ref="K1767:M1767"/>
    <mergeCell ref="A1773:H1775"/>
    <mergeCell ref="A1754:C1754"/>
    <mergeCell ref="E1754:G1754"/>
    <mergeCell ref="I1754:J1754"/>
    <mergeCell ref="K1754:M1754"/>
    <mergeCell ref="A1749:H1751"/>
    <mergeCell ref="I1749:J1749"/>
    <mergeCell ref="K1749:M1749"/>
    <mergeCell ref="I1750:J1750"/>
    <mergeCell ref="I1773:J1773"/>
    <mergeCell ref="K1773:M1773"/>
    <mergeCell ref="I1774:J1774"/>
    <mergeCell ref="A1787:C1787"/>
    <mergeCell ref="E1787:G1787"/>
    <mergeCell ref="I1787:J1787"/>
    <mergeCell ref="K1787:M1787"/>
    <mergeCell ref="A1791:H1793"/>
    <mergeCell ref="I1791:J1791"/>
    <mergeCell ref="K1791:M1791"/>
    <mergeCell ref="I1792:J1792"/>
    <mergeCell ref="K1792:M1792"/>
    <mergeCell ref="I1793:J1793"/>
    <mergeCell ref="K1793:M1793"/>
    <mergeCell ref="K1774:M1774"/>
    <mergeCell ref="I1775:J1775"/>
    <mergeCell ref="K1775:M1775"/>
    <mergeCell ref="A1776:B1777"/>
    <mergeCell ref="C1776:H1777"/>
    <mergeCell ref="K1776:M1776"/>
    <mergeCell ref="I1777:J1777"/>
    <mergeCell ref="K1777:M1777"/>
    <mergeCell ref="A1782:H1784"/>
    <mergeCell ref="I1782:J1782"/>
    <mergeCell ref="A1778:C1778"/>
    <mergeCell ref="K1782:M1782"/>
    <mergeCell ref="I1783:J1783"/>
    <mergeCell ref="K1783:M1783"/>
    <mergeCell ref="I1784:J1784"/>
    <mergeCell ref="K1784:M1784"/>
    <mergeCell ref="A1785:B1786"/>
    <mergeCell ref="C1785:H1786"/>
    <mergeCell ref="A1815:C1815"/>
    <mergeCell ref="E1815:G1815"/>
    <mergeCell ref="I1815:J1815"/>
    <mergeCell ref="K1815:M1815"/>
    <mergeCell ref="A1800:H1802"/>
    <mergeCell ref="I1800:J1800"/>
    <mergeCell ref="K1800:M1800"/>
    <mergeCell ref="I1801:J1801"/>
    <mergeCell ref="K1801:M1801"/>
    <mergeCell ref="I1802:J1802"/>
    <mergeCell ref="K1802:M1802"/>
    <mergeCell ref="A1803:B1804"/>
    <mergeCell ref="C1803:H1804"/>
    <mergeCell ref="K1803:M1803"/>
    <mergeCell ref="I1804:J1804"/>
    <mergeCell ref="K1804:M1804"/>
    <mergeCell ref="A1805:C1805"/>
    <mergeCell ref="E1805:G1805"/>
    <mergeCell ref="I1805:J1805"/>
    <mergeCell ref="K1805:M1805"/>
    <mergeCell ref="A1810:H1812"/>
    <mergeCell ref="I1810:J1810"/>
    <mergeCell ref="K1810:M1810"/>
    <mergeCell ref="K1785:M1785"/>
    <mergeCell ref="A1794:B1795"/>
    <mergeCell ref="C1794:H1795"/>
    <mergeCell ref="K1794:M1794"/>
    <mergeCell ref="I1795:J1795"/>
    <mergeCell ref="K1795:M1795"/>
    <mergeCell ref="A1796:C1796"/>
    <mergeCell ref="E1796:G1796"/>
    <mergeCell ref="I1796:J1796"/>
    <mergeCell ref="K1796:M1796"/>
    <mergeCell ref="I1811:J1811"/>
    <mergeCell ref="K1811:M1811"/>
    <mergeCell ref="I1812:J1812"/>
    <mergeCell ref="K1812:M1812"/>
    <mergeCell ref="A1813:B1814"/>
    <mergeCell ref="C1813:H1814"/>
    <mergeCell ref="K1813:M1813"/>
    <mergeCell ref="I1814:J1814"/>
    <mergeCell ref="K1814:M1814"/>
    <mergeCell ref="I1786:J1786"/>
    <mergeCell ref="K1786:M1786"/>
    <mergeCell ref="A1844:H1846"/>
    <mergeCell ref="I1844:J1844"/>
    <mergeCell ref="K1844:M1844"/>
    <mergeCell ref="I1845:J1845"/>
    <mergeCell ref="K1845:M1845"/>
    <mergeCell ref="I1846:J1846"/>
    <mergeCell ref="K1846:M1846"/>
    <mergeCell ref="A1847:B1848"/>
    <mergeCell ref="C1847:H1848"/>
    <mergeCell ref="K1847:M1847"/>
    <mergeCell ref="I1848:J1848"/>
    <mergeCell ref="K1848:M1848"/>
    <mergeCell ref="A1849:C1849"/>
    <mergeCell ref="E1849:G1849"/>
    <mergeCell ref="I1849:J1849"/>
    <mergeCell ref="K1849:M1849"/>
    <mergeCell ref="A1858:H1860"/>
    <mergeCell ref="I1858:J1858"/>
    <mergeCell ref="K1858:M1858"/>
    <mergeCell ref="I1859:J1859"/>
    <mergeCell ref="K1859:M1859"/>
    <mergeCell ref="I1860:J1860"/>
    <mergeCell ref="K1860:M1860"/>
    <mergeCell ref="A1861:B1862"/>
    <mergeCell ref="C1861:H1862"/>
    <mergeCell ref="K1861:M1861"/>
    <mergeCell ref="I1862:J1862"/>
    <mergeCell ref="K1862:M1862"/>
    <mergeCell ref="A1868:H1870"/>
    <mergeCell ref="I1868:J1868"/>
    <mergeCell ref="K1868:M1868"/>
    <mergeCell ref="I1869:J1869"/>
    <mergeCell ref="K1869:M1869"/>
    <mergeCell ref="I1870:J1870"/>
    <mergeCell ref="K1870:M1870"/>
    <mergeCell ref="E1863:G1863"/>
    <mergeCell ref="I1863:J1863"/>
    <mergeCell ref="K1863:M1863"/>
    <mergeCell ref="A1873:C1873"/>
    <mergeCell ref="E1873:G1873"/>
    <mergeCell ref="I1873:J1873"/>
    <mergeCell ref="K1873:M1873"/>
    <mergeCell ref="A1871:B1872"/>
    <mergeCell ref="C1871:H1872"/>
    <mergeCell ref="K1871:M1871"/>
    <mergeCell ref="I1872:J1872"/>
    <mergeCell ref="K1872:M1872"/>
    <mergeCell ref="A1863:C1863"/>
    <mergeCell ref="A1968:C1968"/>
    <mergeCell ref="E1968:G1968"/>
    <mergeCell ref="I1968:J1968"/>
    <mergeCell ref="K1968:M1968"/>
    <mergeCell ref="A1911:H1913"/>
    <mergeCell ref="I1911:J1911"/>
    <mergeCell ref="K1911:M1911"/>
    <mergeCell ref="I1912:J1912"/>
    <mergeCell ref="K1912:M1912"/>
    <mergeCell ref="I1913:J1913"/>
    <mergeCell ref="K1913:M1913"/>
    <mergeCell ref="A1914:B1915"/>
    <mergeCell ref="C1914:H1915"/>
    <mergeCell ref="K1914:M1914"/>
    <mergeCell ref="I1915:J1915"/>
    <mergeCell ref="K1915:M1915"/>
    <mergeCell ref="A1916:C1916"/>
    <mergeCell ref="E1916:G1916"/>
    <mergeCell ref="A1899:H1901"/>
    <mergeCell ref="I1899:J1899"/>
    <mergeCell ref="K1899:M1899"/>
    <mergeCell ref="I1900:J1900"/>
    <mergeCell ref="K1900:M1900"/>
    <mergeCell ref="I1901:J1901"/>
    <mergeCell ref="K1901:M1901"/>
    <mergeCell ref="A1966:B1967"/>
    <mergeCell ref="C1966:H1967"/>
    <mergeCell ref="K1966:M1966"/>
    <mergeCell ref="I1967:J1967"/>
    <mergeCell ref="K1967:M1967"/>
    <mergeCell ref="A1902:B1903"/>
    <mergeCell ref="C1902:H1903"/>
    <mergeCell ref="K1902:M1902"/>
    <mergeCell ref="I1903:J1903"/>
    <mergeCell ref="K1903:M1903"/>
    <mergeCell ref="A1904:C1904"/>
    <mergeCell ref="E1904:G1904"/>
    <mergeCell ref="I1904:J1904"/>
    <mergeCell ref="K1904:M1904"/>
    <mergeCell ref="I1916:J1916"/>
    <mergeCell ref="K1916:M1916"/>
    <mergeCell ref="A1963:H1965"/>
    <mergeCell ref="I1963:J1963"/>
    <mergeCell ref="K1963:M1963"/>
    <mergeCell ref="I1964:J1964"/>
    <mergeCell ref="K1964:M1964"/>
    <mergeCell ref="I1965:J1965"/>
    <mergeCell ref="K1965:M1965"/>
    <mergeCell ref="A1993:H1995"/>
    <mergeCell ref="I1993:J1993"/>
    <mergeCell ref="K1993:M1993"/>
    <mergeCell ref="I1994:J1994"/>
    <mergeCell ref="K1994:M1994"/>
    <mergeCell ref="I1995:J1995"/>
    <mergeCell ref="K1995:M1995"/>
    <mergeCell ref="A1996:B1997"/>
    <mergeCell ref="C1996:H1997"/>
    <mergeCell ref="K1996:M1996"/>
    <mergeCell ref="I1997:J1997"/>
    <mergeCell ref="K1997:M1997"/>
    <mergeCell ref="A1998:C1998"/>
    <mergeCell ref="E1998:G1998"/>
    <mergeCell ref="I1998:J1998"/>
    <mergeCell ref="K1998:M1998"/>
    <mergeCell ref="A2067:H2069"/>
    <mergeCell ref="I2067:J2067"/>
    <mergeCell ref="K2067:M2067"/>
    <mergeCell ref="I2068:J2068"/>
    <mergeCell ref="K2068:M2068"/>
    <mergeCell ref="I2069:J2069"/>
    <mergeCell ref="K2069:M2069"/>
    <mergeCell ref="A2070:B2071"/>
    <mergeCell ref="C2070:H2071"/>
    <mergeCell ref="K2070:M2070"/>
    <mergeCell ref="I2071:J2071"/>
    <mergeCell ref="K2071:M2071"/>
    <mergeCell ref="A2089:H2091"/>
    <mergeCell ref="I2089:J2089"/>
    <mergeCell ref="K2089:M2089"/>
    <mergeCell ref="I2090:J2090"/>
    <mergeCell ref="K2090:M2090"/>
    <mergeCell ref="I2091:J2091"/>
    <mergeCell ref="K2091:M2091"/>
    <mergeCell ref="E2072:G2072"/>
    <mergeCell ref="I2072:J2072"/>
    <mergeCell ref="K2072:M2072"/>
    <mergeCell ref="A2094:C2094"/>
    <mergeCell ref="E2094:G2094"/>
    <mergeCell ref="I2094:J2094"/>
    <mergeCell ref="K2094:M2094"/>
    <mergeCell ref="A2092:B2093"/>
    <mergeCell ref="C2092:H2093"/>
    <mergeCell ref="K2092:M2092"/>
    <mergeCell ref="I2093:J2093"/>
    <mergeCell ref="K2093:M2093"/>
    <mergeCell ref="A2072:C2072"/>
    <mergeCell ref="B2292:B2299"/>
    <mergeCell ref="A2209:C2209"/>
    <mergeCell ref="E2209:G2209"/>
    <mergeCell ref="I2209:J2209"/>
    <mergeCell ref="K2209:M2209"/>
    <mergeCell ref="A2179:H2181"/>
    <mergeCell ref="I2179:J2179"/>
    <mergeCell ref="K2179:M2179"/>
    <mergeCell ref="I2180:J2180"/>
    <mergeCell ref="K2180:M2180"/>
    <mergeCell ref="I2181:J2181"/>
    <mergeCell ref="K2181:M2181"/>
    <mergeCell ref="A2182:B2183"/>
    <mergeCell ref="C2182:H2183"/>
    <mergeCell ref="K2182:M2182"/>
    <mergeCell ref="I2183:J2183"/>
    <mergeCell ref="K2183:M2183"/>
    <mergeCell ref="I2204:J2204"/>
    <mergeCell ref="A2142:H2144"/>
    <mergeCell ref="I2142:J2142"/>
    <mergeCell ref="K2142:M2142"/>
    <mergeCell ref="I2143:J2143"/>
    <mergeCell ref="K2143:M2143"/>
    <mergeCell ref="I2144:J2144"/>
    <mergeCell ref="K2144:M2144"/>
    <mergeCell ref="A2288:B2289"/>
    <mergeCell ref="C2288:H2289"/>
    <mergeCell ref="K2288:M2288"/>
    <mergeCell ref="I2289:J2289"/>
    <mergeCell ref="K2289:M2289"/>
    <mergeCell ref="A2265:H2267"/>
    <mergeCell ref="I2265:J2265"/>
    <mergeCell ref="K2265:M2265"/>
    <mergeCell ref="I2266:J2266"/>
    <mergeCell ref="K2266:M2266"/>
    <mergeCell ref="I2267:J2267"/>
    <mergeCell ref="K2267:M2267"/>
    <mergeCell ref="K2268:M2268"/>
    <mergeCell ref="I2269:J2269"/>
    <mergeCell ref="K2269:M2269"/>
    <mergeCell ref="I2286:J2286"/>
    <mergeCell ref="A2270:C2270"/>
    <mergeCell ref="E2270:G2270"/>
    <mergeCell ref="I2270:J2270"/>
    <mergeCell ref="K2270:M2270"/>
    <mergeCell ref="A2268:B2269"/>
    <mergeCell ref="C2268:H2269"/>
    <mergeCell ref="A2145:B2146"/>
    <mergeCell ref="C2145:H2146"/>
    <mergeCell ref="K2145:M2145"/>
    <mergeCell ref="I2146:J2146"/>
    <mergeCell ref="K2146:M2146"/>
    <mergeCell ref="K2286:M2286"/>
    <mergeCell ref="I2287:J2287"/>
    <mergeCell ref="K2287:M2287"/>
    <mergeCell ref="B2211:B2263"/>
    <mergeCell ref="B2272:B2283"/>
    <mergeCell ref="A2147:C2147"/>
    <mergeCell ref="E2147:G2147"/>
    <mergeCell ref="I2147:J2147"/>
    <mergeCell ref="K2147:M2147"/>
    <mergeCell ref="A2285:H2287"/>
    <mergeCell ref="I2285:J2285"/>
    <mergeCell ref="K2285:M2285"/>
    <mergeCell ref="K2204:M2204"/>
    <mergeCell ref="I2205:J2205"/>
    <mergeCell ref="K2205:M2205"/>
    <mergeCell ref="I2206:J2206"/>
    <mergeCell ref="K2206:M2206"/>
    <mergeCell ref="A2207:B2208"/>
    <mergeCell ref="C2207:H2208"/>
    <mergeCell ref="K2207:M2207"/>
    <mergeCell ref="I2208:J2208"/>
    <mergeCell ref="K2208:M2208"/>
    <mergeCell ref="A2184:C2184"/>
    <mergeCell ref="E2184:G2184"/>
    <mergeCell ref="I2184:J2184"/>
    <mergeCell ref="K2184:M2184"/>
    <mergeCell ref="B2186:B2202"/>
    <mergeCell ref="A2204:H2206"/>
    <mergeCell ref="B2308:B2310"/>
    <mergeCell ref="A2301:H2303"/>
    <mergeCell ref="I2301:J2301"/>
    <mergeCell ref="K2301:M2301"/>
    <mergeCell ref="I2302:J2302"/>
    <mergeCell ref="K2302:M2302"/>
    <mergeCell ref="I2303:J2303"/>
    <mergeCell ref="K2303:M2303"/>
    <mergeCell ref="A2304:B2305"/>
    <mergeCell ref="C2304:H2305"/>
    <mergeCell ref="K2304:M2304"/>
    <mergeCell ref="I2305:J2305"/>
    <mergeCell ref="K2305:M2305"/>
    <mergeCell ref="A2306:C2306"/>
    <mergeCell ref="E2306:G2306"/>
    <mergeCell ref="I2306:J2306"/>
    <mergeCell ref="K2306:M2306"/>
    <mergeCell ref="B2366:B2419"/>
    <mergeCell ref="B2341:B2357"/>
    <mergeCell ref="I2359:J2359"/>
    <mergeCell ref="K2359:M2359"/>
    <mergeCell ref="I2360:J2360"/>
    <mergeCell ref="K2360:M2360"/>
    <mergeCell ref="K2364:M2364"/>
    <mergeCell ref="A2359:H2361"/>
    <mergeCell ref="A2362:B2363"/>
    <mergeCell ref="C2362:H2363"/>
    <mergeCell ref="K2363:M2363"/>
    <mergeCell ref="I2364:J2364"/>
    <mergeCell ref="B2428:B2437"/>
    <mergeCell ref="A2421:H2423"/>
    <mergeCell ref="A2424:B2425"/>
    <mergeCell ref="C2424:H2425"/>
    <mergeCell ref="I2421:J2421"/>
    <mergeCell ref="K2421:M2421"/>
    <mergeCell ref="I2422:J2422"/>
    <mergeCell ref="K2422:M2422"/>
    <mergeCell ref="I2423:J2423"/>
    <mergeCell ref="K2423:M2423"/>
    <mergeCell ref="I2425:J2425"/>
    <mergeCell ref="K2425:M2425"/>
    <mergeCell ref="E2426:G2426"/>
    <mergeCell ref="I2426:J2426"/>
    <mergeCell ref="K2426:M2426"/>
    <mergeCell ref="A2426:C2426"/>
    <mergeCell ref="I2361:J2361"/>
    <mergeCell ref="K2361:M2361"/>
    <mergeCell ref="I2363:J2363"/>
    <mergeCell ref="K2316:M2316"/>
    <mergeCell ref="I2323:J2323"/>
    <mergeCell ref="A2364:C2364"/>
    <mergeCell ref="E2364:G2364"/>
    <mergeCell ref="K2323:M2323"/>
    <mergeCell ref="I2324:J2324"/>
    <mergeCell ref="K2324:M2324"/>
    <mergeCell ref="I2325:J2325"/>
    <mergeCell ref="K2325:M2325"/>
    <mergeCell ref="B2318:B2322"/>
    <mergeCell ref="A2323:H2325"/>
    <mergeCell ref="I2328:J2328"/>
    <mergeCell ref="A2337:B2338"/>
    <mergeCell ref="C2337:H2338"/>
    <mergeCell ref="A2339:C2339"/>
    <mergeCell ref="E2339:G2339"/>
    <mergeCell ref="I2339:J2339"/>
    <mergeCell ref="K2339:M2339"/>
    <mergeCell ref="K2328:M2328"/>
    <mergeCell ref="B2330:B2333"/>
    <mergeCell ref="A2326:B2327"/>
    <mergeCell ref="A2311:H2313"/>
    <mergeCell ref="I2311:J2311"/>
    <mergeCell ref="K2311:M2311"/>
    <mergeCell ref="I2312:J2312"/>
    <mergeCell ref="K2312:M2312"/>
    <mergeCell ref="I2313:J2313"/>
    <mergeCell ref="K2313:M2313"/>
    <mergeCell ref="A2314:B2315"/>
    <mergeCell ref="C2314:H2315"/>
    <mergeCell ref="A2290:C2290"/>
    <mergeCell ref="E2290:G2290"/>
    <mergeCell ref="I2290:J2290"/>
    <mergeCell ref="K2290:M2290"/>
    <mergeCell ref="I2338:J2338"/>
    <mergeCell ref="K2338:M2338"/>
    <mergeCell ref="C2326:H2327"/>
    <mergeCell ref="I2327:J2327"/>
    <mergeCell ref="K2327:M2327"/>
    <mergeCell ref="I2334:J2334"/>
    <mergeCell ref="K2334:M2334"/>
    <mergeCell ref="I2335:J2335"/>
    <mergeCell ref="K2335:M2335"/>
    <mergeCell ref="I2336:J2336"/>
    <mergeCell ref="K2336:M2336"/>
    <mergeCell ref="A2334:H2336"/>
    <mergeCell ref="A2328:C2328"/>
    <mergeCell ref="I2315:J2315"/>
    <mergeCell ref="K2315:M2315"/>
    <mergeCell ref="A2316:C2316"/>
    <mergeCell ref="E2328:G2328"/>
    <mergeCell ref="E2316:G2316"/>
    <mergeCell ref="I2316:J2316"/>
    <mergeCell ref="A1619:C1619"/>
    <mergeCell ref="E1619:G1619"/>
    <mergeCell ref="I1619:J1619"/>
    <mergeCell ref="K1619:M1619"/>
    <mergeCell ref="A1623:H1625"/>
    <mergeCell ref="I1623:J1623"/>
    <mergeCell ref="K1623:M1623"/>
    <mergeCell ref="I1624:J1624"/>
    <mergeCell ref="K1624:M1624"/>
    <mergeCell ref="A1607:B1608"/>
    <mergeCell ref="C1607:H1608"/>
    <mergeCell ref="K1607:M1607"/>
    <mergeCell ref="I1608:J1608"/>
    <mergeCell ref="K1608:M1608"/>
    <mergeCell ref="I1625:J1625"/>
    <mergeCell ref="K1625:M1625"/>
    <mergeCell ref="A1626:B1627"/>
    <mergeCell ref="C1626:H1627"/>
    <mergeCell ref="K1626:M1626"/>
    <mergeCell ref="I1627:J1627"/>
    <mergeCell ref="K1627:M1627"/>
    <mergeCell ref="A1609:C1609"/>
    <mergeCell ref="E1609:G1609"/>
    <mergeCell ref="I1609:J1609"/>
    <mergeCell ref="K1609:M1609"/>
    <mergeCell ref="K1533:M1533"/>
    <mergeCell ref="A1555:C1555"/>
    <mergeCell ref="E1555:G1555"/>
    <mergeCell ref="I1555:J1555"/>
    <mergeCell ref="K1555:M1555"/>
    <mergeCell ref="A1579:C1579"/>
    <mergeCell ref="E1579:G1579"/>
    <mergeCell ref="I1579:J1579"/>
    <mergeCell ref="K1579:M1579"/>
    <mergeCell ref="A1604:H1606"/>
    <mergeCell ref="I1604:J1604"/>
    <mergeCell ref="K1604:M1604"/>
    <mergeCell ref="I1605:J1605"/>
    <mergeCell ref="K1605:M1605"/>
    <mergeCell ref="I1606:J1606"/>
    <mergeCell ref="K1606:M1606"/>
    <mergeCell ref="A1574:H1576"/>
    <mergeCell ref="I1574:J1574"/>
    <mergeCell ref="K1574:M1574"/>
    <mergeCell ref="I1575:J1575"/>
    <mergeCell ref="K1575:M1575"/>
    <mergeCell ref="I1576:J1576"/>
    <mergeCell ref="K1576:M1576"/>
    <mergeCell ref="A1577:B1578"/>
    <mergeCell ref="C1577:H1578"/>
    <mergeCell ref="K1577:M1577"/>
    <mergeCell ref="I1578:J1578"/>
    <mergeCell ref="K1578:M1578"/>
    <mergeCell ref="K1510:M1510"/>
    <mergeCell ref="A1553:B1554"/>
    <mergeCell ref="C1553:H1554"/>
    <mergeCell ref="K1553:M1553"/>
    <mergeCell ref="I1554:J1554"/>
    <mergeCell ref="K1554:M1554"/>
    <mergeCell ref="A1520:C1520"/>
    <mergeCell ref="E1520:G1520"/>
    <mergeCell ref="I1520:J1520"/>
    <mergeCell ref="K1520:M1520"/>
    <mergeCell ref="A1534:C1534"/>
    <mergeCell ref="E1534:G1534"/>
    <mergeCell ref="I1534:J1534"/>
    <mergeCell ref="K1534:M1534"/>
    <mergeCell ref="A1550:H1552"/>
    <mergeCell ref="I1550:J1550"/>
    <mergeCell ref="K1550:M1550"/>
    <mergeCell ref="I1551:J1551"/>
    <mergeCell ref="K1551:M1551"/>
    <mergeCell ref="I1552:J1552"/>
    <mergeCell ref="K1552:M1552"/>
    <mergeCell ref="A1529:H1531"/>
    <mergeCell ref="I1529:J1529"/>
    <mergeCell ref="K1529:M1529"/>
    <mergeCell ref="I1530:J1530"/>
    <mergeCell ref="K1530:M1530"/>
    <mergeCell ref="I1531:J1531"/>
    <mergeCell ref="K1531:M1531"/>
    <mergeCell ref="A1532:B1533"/>
    <mergeCell ref="C1532:H1533"/>
    <mergeCell ref="K1532:M1532"/>
    <mergeCell ref="I1533:J1533"/>
    <mergeCell ref="A1481:B1482"/>
    <mergeCell ref="A1518:B1519"/>
    <mergeCell ref="C1518:H1519"/>
    <mergeCell ref="K1518:M1518"/>
    <mergeCell ref="I1519:J1519"/>
    <mergeCell ref="K1519:M1519"/>
    <mergeCell ref="A1501:C1501"/>
    <mergeCell ref="E1501:G1501"/>
    <mergeCell ref="I1501:J1501"/>
    <mergeCell ref="K1501:M1501"/>
    <mergeCell ref="A1511:C1511"/>
    <mergeCell ref="E1511:G1511"/>
    <mergeCell ref="I1511:J1511"/>
    <mergeCell ref="K1511:M1511"/>
    <mergeCell ref="A1515:H1517"/>
    <mergeCell ref="I1515:J1515"/>
    <mergeCell ref="K1515:M1515"/>
    <mergeCell ref="I1516:J1516"/>
    <mergeCell ref="K1516:M1516"/>
    <mergeCell ref="I1517:J1517"/>
    <mergeCell ref="K1517:M1517"/>
    <mergeCell ref="A1506:H1508"/>
    <mergeCell ref="I1506:J1506"/>
    <mergeCell ref="K1506:M1506"/>
    <mergeCell ref="I1507:J1507"/>
    <mergeCell ref="K1507:M1507"/>
    <mergeCell ref="I1508:J1508"/>
    <mergeCell ref="K1508:M1508"/>
    <mergeCell ref="A1509:B1510"/>
    <mergeCell ref="C1509:H1510"/>
    <mergeCell ref="K1509:M1509"/>
    <mergeCell ref="I1510:J1510"/>
    <mergeCell ref="A1461:H1463"/>
    <mergeCell ref="I1461:J1461"/>
    <mergeCell ref="K1461:M1461"/>
    <mergeCell ref="I1462:J1462"/>
    <mergeCell ref="K1462:M1462"/>
    <mergeCell ref="I1463:J1463"/>
    <mergeCell ref="K1463:M1463"/>
    <mergeCell ref="A1464:B1465"/>
    <mergeCell ref="C1464:H1465"/>
    <mergeCell ref="K1464:M1464"/>
    <mergeCell ref="I1465:J1465"/>
    <mergeCell ref="K1465:M1465"/>
    <mergeCell ref="A1466:C1466"/>
    <mergeCell ref="E1466:G1466"/>
    <mergeCell ref="I1466:J1466"/>
    <mergeCell ref="K1466:M1466"/>
    <mergeCell ref="A1478:H1480"/>
    <mergeCell ref="I1480:J1480"/>
    <mergeCell ref="K1480:M1480"/>
    <mergeCell ref="K1499:M1499"/>
    <mergeCell ref="I1500:J1500"/>
    <mergeCell ref="K1500:M1500"/>
    <mergeCell ref="I1483:J1483"/>
    <mergeCell ref="K1483:M1483"/>
    <mergeCell ref="A1496:H1498"/>
    <mergeCell ref="I1496:J1496"/>
    <mergeCell ref="K1496:M1496"/>
    <mergeCell ref="I1497:J1497"/>
    <mergeCell ref="K1497:M1497"/>
    <mergeCell ref="I1498:J1498"/>
    <mergeCell ref="K1498:M1498"/>
    <mergeCell ref="A1492:C1492"/>
    <mergeCell ref="E1492:G1492"/>
    <mergeCell ref="I1492:J1492"/>
    <mergeCell ref="K1492:M1492"/>
    <mergeCell ref="A1487:H1489"/>
    <mergeCell ref="I1487:J1487"/>
    <mergeCell ref="K1487:M1487"/>
    <mergeCell ref="I1488:J1488"/>
    <mergeCell ref="K1488:M1488"/>
    <mergeCell ref="I1489:J1489"/>
    <mergeCell ref="K1489:M1489"/>
    <mergeCell ref="A1490:B1491"/>
    <mergeCell ref="C1490:H1491"/>
    <mergeCell ref="K1490:M1490"/>
    <mergeCell ref="I1491:J1491"/>
    <mergeCell ref="K1491:M1491"/>
    <mergeCell ref="A1028:M1028"/>
    <mergeCell ref="B865:B867"/>
    <mergeCell ref="A1450:C1450"/>
    <mergeCell ref="E1450:G1450"/>
    <mergeCell ref="I1450:J1450"/>
    <mergeCell ref="K1450:M1450"/>
    <mergeCell ref="L1583:M1584"/>
    <mergeCell ref="L1571:M1572"/>
    <mergeCell ref="A1445:H1447"/>
    <mergeCell ref="I1445:J1445"/>
    <mergeCell ref="K1445:M1445"/>
    <mergeCell ref="I1446:J1446"/>
    <mergeCell ref="K1446:M1446"/>
    <mergeCell ref="I1447:J1447"/>
    <mergeCell ref="K1447:M1447"/>
    <mergeCell ref="A1448:B1449"/>
    <mergeCell ref="C1448:H1449"/>
    <mergeCell ref="K1448:M1448"/>
    <mergeCell ref="I1449:J1449"/>
    <mergeCell ref="K1449:M1449"/>
    <mergeCell ref="A1483:C1483"/>
    <mergeCell ref="E1483:G1483"/>
    <mergeCell ref="I1478:J1478"/>
    <mergeCell ref="K1478:M1478"/>
    <mergeCell ref="I1479:J1479"/>
    <mergeCell ref="K1479:M1479"/>
    <mergeCell ref="C1481:H1482"/>
    <mergeCell ref="K1481:M1481"/>
    <mergeCell ref="I1482:J1482"/>
    <mergeCell ref="K1482:M1482"/>
    <mergeCell ref="A1499:B1500"/>
    <mergeCell ref="C1499:H1500"/>
    <mergeCell ref="A680:C680"/>
    <mergeCell ref="E680:G680"/>
    <mergeCell ref="I680:J680"/>
    <mergeCell ref="K680:M680"/>
    <mergeCell ref="B682:B683"/>
    <mergeCell ref="A656:C656"/>
    <mergeCell ref="E656:G656"/>
    <mergeCell ref="I656:J656"/>
    <mergeCell ref="K656:M656"/>
    <mergeCell ref="B658:B673"/>
    <mergeCell ref="A719:H721"/>
    <mergeCell ref="I719:J719"/>
    <mergeCell ref="K719:M719"/>
    <mergeCell ref="I720:J720"/>
    <mergeCell ref="K720:M720"/>
    <mergeCell ref="I721:J721"/>
    <mergeCell ref="K721:M721"/>
    <mergeCell ref="K711:M711"/>
    <mergeCell ref="A712:B713"/>
    <mergeCell ref="C712:H713"/>
    <mergeCell ref="K712:M712"/>
    <mergeCell ref="I713:J713"/>
    <mergeCell ref="K713:M713"/>
    <mergeCell ref="A714:C714"/>
    <mergeCell ref="E714:G714"/>
    <mergeCell ref="I714:J714"/>
    <mergeCell ref="K714:M714"/>
    <mergeCell ref="B716:B717"/>
    <mergeCell ref="A704:C704"/>
    <mergeCell ref="E704:G704"/>
    <mergeCell ref="I704:J704"/>
    <mergeCell ref="K704:M704"/>
    <mergeCell ref="A722:B723"/>
    <mergeCell ref="C722:H723"/>
    <mergeCell ref="K722:M722"/>
    <mergeCell ref="I723:J723"/>
    <mergeCell ref="K723:M723"/>
    <mergeCell ref="C645:H646"/>
    <mergeCell ref="K645:M645"/>
    <mergeCell ref="I646:J646"/>
    <mergeCell ref="K646:M646"/>
    <mergeCell ref="A647:C647"/>
    <mergeCell ref="E647:G647"/>
    <mergeCell ref="I647:J647"/>
    <mergeCell ref="K647:M647"/>
    <mergeCell ref="B649:B650"/>
    <mergeCell ref="A651:H653"/>
    <mergeCell ref="I651:J651"/>
    <mergeCell ref="K651:M651"/>
    <mergeCell ref="I652:J652"/>
    <mergeCell ref="K652:M652"/>
    <mergeCell ref="I653:J653"/>
    <mergeCell ref="K653:M653"/>
    <mergeCell ref="A654:B655"/>
    <mergeCell ref="C654:H655"/>
    <mergeCell ref="K654:M654"/>
    <mergeCell ref="I655:J655"/>
    <mergeCell ref="K655:M655"/>
    <mergeCell ref="A709:H711"/>
    <mergeCell ref="I709:J709"/>
    <mergeCell ref="K709:M709"/>
    <mergeCell ref="I710:J710"/>
    <mergeCell ref="K710:M710"/>
    <mergeCell ref="I711:J711"/>
    <mergeCell ref="B706:B707"/>
    <mergeCell ref="A614:H616"/>
    <mergeCell ref="I614:J614"/>
    <mergeCell ref="K614:M614"/>
    <mergeCell ref="I615:J615"/>
    <mergeCell ref="K615:M615"/>
    <mergeCell ref="I616:J616"/>
    <mergeCell ref="K616:M616"/>
    <mergeCell ref="A617:B618"/>
    <mergeCell ref="C617:H618"/>
    <mergeCell ref="K617:M617"/>
    <mergeCell ref="I618:J618"/>
    <mergeCell ref="K618:M618"/>
    <mergeCell ref="A619:C619"/>
    <mergeCell ref="E619:G619"/>
    <mergeCell ref="I619:J619"/>
    <mergeCell ref="K619:M619"/>
    <mergeCell ref="B621:B624"/>
    <mergeCell ref="A626:H628"/>
    <mergeCell ref="I626:J626"/>
    <mergeCell ref="K626:M626"/>
    <mergeCell ref="I627:J627"/>
    <mergeCell ref="K627:M627"/>
    <mergeCell ref="I628:J628"/>
    <mergeCell ref="K628:M628"/>
    <mergeCell ref="A629:B630"/>
    <mergeCell ref="C629:H630"/>
    <mergeCell ref="K629:M629"/>
    <mergeCell ref="A689:C689"/>
    <mergeCell ref="E689:G689"/>
    <mergeCell ref="I689:J689"/>
    <mergeCell ref="K689:M689"/>
    <mergeCell ref="B691:B697"/>
    <mergeCell ref="A699:H701"/>
    <mergeCell ref="I699:J699"/>
    <mergeCell ref="K699:M699"/>
    <mergeCell ref="I700:J700"/>
    <mergeCell ref="K700:M700"/>
    <mergeCell ref="I701:J701"/>
    <mergeCell ref="K701:M701"/>
    <mergeCell ref="A702:B703"/>
    <mergeCell ref="C702:H703"/>
    <mergeCell ref="K702:M702"/>
    <mergeCell ref="I703:J703"/>
    <mergeCell ref="K703:M703"/>
    <mergeCell ref="A605:C605"/>
    <mergeCell ref="E605:G605"/>
    <mergeCell ref="I605:J605"/>
    <mergeCell ref="K605:M605"/>
    <mergeCell ref="B607:B612"/>
    <mergeCell ref="A684:H686"/>
    <mergeCell ref="I684:J684"/>
    <mergeCell ref="K684:M684"/>
    <mergeCell ref="I685:J685"/>
    <mergeCell ref="K685:M685"/>
    <mergeCell ref="I686:J686"/>
    <mergeCell ref="K686:M686"/>
    <mergeCell ref="A687:B688"/>
    <mergeCell ref="C687:H688"/>
    <mergeCell ref="K687:M687"/>
    <mergeCell ref="I688:J688"/>
    <mergeCell ref="K688:M688"/>
    <mergeCell ref="I630:J630"/>
    <mergeCell ref="K630:M630"/>
    <mergeCell ref="A595:C595"/>
    <mergeCell ref="E595:G595"/>
    <mergeCell ref="I595:J595"/>
    <mergeCell ref="K595:M595"/>
    <mergeCell ref="B597:B598"/>
    <mergeCell ref="A600:H602"/>
    <mergeCell ref="I600:J600"/>
    <mergeCell ref="K600:M600"/>
    <mergeCell ref="I601:J601"/>
    <mergeCell ref="K601:M601"/>
    <mergeCell ref="I602:J602"/>
    <mergeCell ref="K602:M602"/>
    <mergeCell ref="A603:B604"/>
    <mergeCell ref="C603:H604"/>
    <mergeCell ref="K603:M603"/>
    <mergeCell ref="I604:J604"/>
    <mergeCell ref="K604:M604"/>
    <mergeCell ref="A586:C586"/>
    <mergeCell ref="E586:G586"/>
    <mergeCell ref="I586:J586"/>
    <mergeCell ref="K586:M586"/>
    <mergeCell ref="B588:B589"/>
    <mergeCell ref="A590:H592"/>
    <mergeCell ref="I590:J590"/>
    <mergeCell ref="K590:M590"/>
    <mergeCell ref="I591:J591"/>
    <mergeCell ref="K591:M591"/>
    <mergeCell ref="I592:J592"/>
    <mergeCell ref="K592:M592"/>
    <mergeCell ref="A593:B594"/>
    <mergeCell ref="C593:H594"/>
    <mergeCell ref="K593:M593"/>
    <mergeCell ref="I594:J594"/>
    <mergeCell ref="K594:M594"/>
    <mergeCell ref="A580:M580"/>
    <mergeCell ref="L550:M562"/>
    <mergeCell ref="B517:B535"/>
    <mergeCell ref="L508:M508"/>
    <mergeCell ref="B479:B508"/>
    <mergeCell ref="B448:B470"/>
    <mergeCell ref="L469:M470"/>
    <mergeCell ref="A581:H583"/>
    <mergeCell ref="I581:J581"/>
    <mergeCell ref="K581:M581"/>
    <mergeCell ref="I582:J582"/>
    <mergeCell ref="K582:M582"/>
    <mergeCell ref="I583:J583"/>
    <mergeCell ref="K583:M583"/>
    <mergeCell ref="A584:B585"/>
    <mergeCell ref="C584:H585"/>
    <mergeCell ref="K584:M584"/>
    <mergeCell ref="I585:J585"/>
    <mergeCell ref="K585:M585"/>
    <mergeCell ref="B571:B578"/>
    <mergeCell ref="L577:M578"/>
    <mergeCell ref="B544:B562"/>
    <mergeCell ref="A564:H566"/>
    <mergeCell ref="I564:J564"/>
    <mergeCell ref="K564:M564"/>
    <mergeCell ref="I565:J565"/>
    <mergeCell ref="K565:M565"/>
    <mergeCell ref="I566:J566"/>
    <mergeCell ref="K566:M566"/>
    <mergeCell ref="A567:B568"/>
    <mergeCell ref="C567:H568"/>
    <mergeCell ref="K567:M567"/>
    <mergeCell ref="A513:B514"/>
    <mergeCell ref="C513:H514"/>
    <mergeCell ref="K513:M513"/>
    <mergeCell ref="I514:J514"/>
    <mergeCell ref="K514:M514"/>
    <mergeCell ref="I568:J568"/>
    <mergeCell ref="K568:M568"/>
    <mergeCell ref="A569:C569"/>
    <mergeCell ref="E569:G569"/>
    <mergeCell ref="I569:J569"/>
    <mergeCell ref="K569:M569"/>
    <mergeCell ref="A515:C515"/>
    <mergeCell ref="E515:G515"/>
    <mergeCell ref="I515:J515"/>
    <mergeCell ref="K515:M515"/>
    <mergeCell ref="A537:H539"/>
    <mergeCell ref="I537:J537"/>
    <mergeCell ref="K537:M537"/>
    <mergeCell ref="I538:J538"/>
    <mergeCell ref="K538:M538"/>
    <mergeCell ref="I539:J539"/>
    <mergeCell ref="K539:M539"/>
    <mergeCell ref="A540:B541"/>
    <mergeCell ref="C540:H541"/>
    <mergeCell ref="K540:M540"/>
    <mergeCell ref="I541:J541"/>
    <mergeCell ref="K541:M541"/>
    <mergeCell ref="A542:C542"/>
    <mergeCell ref="E542:G542"/>
    <mergeCell ref="I542:J542"/>
    <mergeCell ref="K542:M542"/>
    <mergeCell ref="A472:H474"/>
    <mergeCell ref="I472:J472"/>
    <mergeCell ref="K472:M472"/>
    <mergeCell ref="I473:J473"/>
    <mergeCell ref="K473:M473"/>
    <mergeCell ref="I474:J474"/>
    <mergeCell ref="K474:M474"/>
    <mergeCell ref="A475:B476"/>
    <mergeCell ref="C475:H476"/>
    <mergeCell ref="K475:M475"/>
    <mergeCell ref="I476:J476"/>
    <mergeCell ref="K476:M476"/>
    <mergeCell ref="A477:C477"/>
    <mergeCell ref="E477:G477"/>
    <mergeCell ref="I477:J477"/>
    <mergeCell ref="K477:M477"/>
    <mergeCell ref="A510:H512"/>
    <mergeCell ref="I510:J510"/>
    <mergeCell ref="K510:M510"/>
    <mergeCell ref="I511:J511"/>
    <mergeCell ref="K511:M511"/>
    <mergeCell ref="I512:J512"/>
    <mergeCell ref="K512:M512"/>
    <mergeCell ref="B432:B439"/>
    <mergeCell ref="A441:H443"/>
    <mergeCell ref="I441:J441"/>
    <mergeCell ref="K441:M441"/>
    <mergeCell ref="I442:J442"/>
    <mergeCell ref="K442:M442"/>
    <mergeCell ref="I443:J443"/>
    <mergeCell ref="K443:M443"/>
    <mergeCell ref="A444:B445"/>
    <mergeCell ref="C444:H445"/>
    <mergeCell ref="K444:M444"/>
    <mergeCell ref="I445:J445"/>
    <mergeCell ref="K445:M445"/>
    <mergeCell ref="A446:C446"/>
    <mergeCell ref="E446:G446"/>
    <mergeCell ref="I446:J446"/>
    <mergeCell ref="K446:M446"/>
    <mergeCell ref="B419:B423"/>
    <mergeCell ref="A425:H427"/>
    <mergeCell ref="I425:J425"/>
    <mergeCell ref="K425:M425"/>
    <mergeCell ref="I426:J426"/>
    <mergeCell ref="K426:M426"/>
    <mergeCell ref="I427:J427"/>
    <mergeCell ref="K427:M427"/>
    <mergeCell ref="A428:B429"/>
    <mergeCell ref="C428:H429"/>
    <mergeCell ref="K428:M428"/>
    <mergeCell ref="I429:J429"/>
    <mergeCell ref="K429:M429"/>
    <mergeCell ref="A430:C430"/>
    <mergeCell ref="E430:G430"/>
    <mergeCell ref="I430:J430"/>
    <mergeCell ref="K430:M430"/>
    <mergeCell ref="B407:B410"/>
    <mergeCell ref="A412:H414"/>
    <mergeCell ref="I412:J412"/>
    <mergeCell ref="K412:M412"/>
    <mergeCell ref="I413:J413"/>
    <mergeCell ref="K413:M413"/>
    <mergeCell ref="I414:J414"/>
    <mergeCell ref="K414:M414"/>
    <mergeCell ref="A415:B416"/>
    <mergeCell ref="C415:H416"/>
    <mergeCell ref="K415:M415"/>
    <mergeCell ref="I416:J416"/>
    <mergeCell ref="K416:M416"/>
    <mergeCell ref="A417:C417"/>
    <mergeCell ref="E417:G417"/>
    <mergeCell ref="I417:J417"/>
    <mergeCell ref="K417:M417"/>
    <mergeCell ref="B393:B398"/>
    <mergeCell ref="A400:H402"/>
    <mergeCell ref="I400:J400"/>
    <mergeCell ref="K400:M400"/>
    <mergeCell ref="I401:J401"/>
    <mergeCell ref="K401:M401"/>
    <mergeCell ref="I402:J402"/>
    <mergeCell ref="K402:M402"/>
    <mergeCell ref="A403:B404"/>
    <mergeCell ref="C403:H404"/>
    <mergeCell ref="K403:M403"/>
    <mergeCell ref="I404:J404"/>
    <mergeCell ref="K404:M404"/>
    <mergeCell ref="A405:C405"/>
    <mergeCell ref="E405:G405"/>
    <mergeCell ref="I405:J405"/>
    <mergeCell ref="K405:M405"/>
    <mergeCell ref="B334:B384"/>
    <mergeCell ref="A386:H388"/>
    <mergeCell ref="I386:J386"/>
    <mergeCell ref="K386:M386"/>
    <mergeCell ref="I387:J387"/>
    <mergeCell ref="K387:M387"/>
    <mergeCell ref="I388:J388"/>
    <mergeCell ref="K388:M388"/>
    <mergeCell ref="A389:B390"/>
    <mergeCell ref="C389:H390"/>
    <mergeCell ref="K389:M389"/>
    <mergeCell ref="I390:J390"/>
    <mergeCell ref="K390:M390"/>
    <mergeCell ref="A391:C391"/>
    <mergeCell ref="E391:G391"/>
    <mergeCell ref="I391:J391"/>
    <mergeCell ref="K391:M391"/>
    <mergeCell ref="A239:C239"/>
    <mergeCell ref="E239:G239"/>
    <mergeCell ref="I239:J239"/>
    <mergeCell ref="K239:M239"/>
    <mergeCell ref="A327:H329"/>
    <mergeCell ref="I327:J327"/>
    <mergeCell ref="K327:M327"/>
    <mergeCell ref="I328:J328"/>
    <mergeCell ref="K328:M328"/>
    <mergeCell ref="I329:J329"/>
    <mergeCell ref="K329:M329"/>
    <mergeCell ref="A330:B331"/>
    <mergeCell ref="C330:H331"/>
    <mergeCell ref="K330:M330"/>
    <mergeCell ref="I331:J331"/>
    <mergeCell ref="K331:M331"/>
    <mergeCell ref="A332:C332"/>
    <mergeCell ref="E332:G332"/>
    <mergeCell ref="I332:J332"/>
    <mergeCell ref="K332:M332"/>
    <mergeCell ref="I305:J305"/>
    <mergeCell ref="K305:M305"/>
    <mergeCell ref="I302:J302"/>
    <mergeCell ref="K302:M302"/>
    <mergeCell ref="A303:B304"/>
    <mergeCell ref="C303:H304"/>
    <mergeCell ref="K303:M303"/>
    <mergeCell ref="I304:J304"/>
    <mergeCell ref="K304:M304"/>
    <mergeCell ref="A305:C305"/>
    <mergeCell ref="E305:G305"/>
    <mergeCell ref="A273:H275"/>
    <mergeCell ref="B241:B262"/>
    <mergeCell ref="L262:M262"/>
    <mergeCell ref="A223:H225"/>
    <mergeCell ref="I223:J223"/>
    <mergeCell ref="K223:M223"/>
    <mergeCell ref="I224:J224"/>
    <mergeCell ref="K224:M224"/>
    <mergeCell ref="I225:J225"/>
    <mergeCell ref="K225:M225"/>
    <mergeCell ref="A226:B227"/>
    <mergeCell ref="C226:H227"/>
    <mergeCell ref="K226:M226"/>
    <mergeCell ref="I227:J227"/>
    <mergeCell ref="K227:M227"/>
    <mergeCell ref="A228:C228"/>
    <mergeCell ref="E228:G228"/>
    <mergeCell ref="I228:J228"/>
    <mergeCell ref="K228:M228"/>
    <mergeCell ref="L230:M230"/>
    <mergeCell ref="B230:B232"/>
    <mergeCell ref="A234:H236"/>
    <mergeCell ref="I234:J234"/>
    <mergeCell ref="K234:M234"/>
    <mergeCell ref="I235:J235"/>
    <mergeCell ref="K235:M235"/>
    <mergeCell ref="I236:J236"/>
    <mergeCell ref="K236:M236"/>
    <mergeCell ref="A237:B238"/>
    <mergeCell ref="C237:H238"/>
    <mergeCell ref="K237:M237"/>
    <mergeCell ref="I238:J238"/>
    <mergeCell ref="K238:M238"/>
    <mergeCell ref="B86:B113"/>
    <mergeCell ref="B175:B221"/>
    <mergeCell ref="A140:H142"/>
    <mergeCell ref="I140:J140"/>
    <mergeCell ref="K140:M140"/>
    <mergeCell ref="I141:J141"/>
    <mergeCell ref="K141:M141"/>
    <mergeCell ref="I142:J142"/>
    <mergeCell ref="K142:M142"/>
    <mergeCell ref="A143:B144"/>
    <mergeCell ref="C143:H144"/>
    <mergeCell ref="K143:M143"/>
    <mergeCell ref="I144:J144"/>
    <mergeCell ref="K144:M144"/>
    <mergeCell ref="A145:C145"/>
    <mergeCell ref="E145:G145"/>
    <mergeCell ref="I145:J145"/>
    <mergeCell ref="K145:M145"/>
    <mergeCell ref="B147:B174"/>
    <mergeCell ref="B114:B138"/>
    <mergeCell ref="L133:M138"/>
    <mergeCell ref="B74:B77"/>
    <mergeCell ref="E84:G84"/>
    <mergeCell ref="I84:J84"/>
    <mergeCell ref="K84:M84"/>
    <mergeCell ref="A79:H81"/>
    <mergeCell ref="I79:J79"/>
    <mergeCell ref="K79:M79"/>
    <mergeCell ref="I80:J80"/>
    <mergeCell ref="K80:M80"/>
    <mergeCell ref="I81:J81"/>
    <mergeCell ref="K81:M81"/>
    <mergeCell ref="A82:B83"/>
    <mergeCell ref="C82:H83"/>
    <mergeCell ref="K82:M82"/>
    <mergeCell ref="I83:J83"/>
    <mergeCell ref="K83:M83"/>
    <mergeCell ref="A84:C84"/>
    <mergeCell ref="I63:J63"/>
    <mergeCell ref="K63:M63"/>
    <mergeCell ref="B65:B66"/>
    <mergeCell ref="K67:M67"/>
    <mergeCell ref="I68:J68"/>
    <mergeCell ref="K68:M68"/>
    <mergeCell ref="I69:J69"/>
    <mergeCell ref="K69:M69"/>
    <mergeCell ref="A70:B71"/>
    <mergeCell ref="C70:H71"/>
    <mergeCell ref="K70:M70"/>
    <mergeCell ref="I71:J71"/>
    <mergeCell ref="K71:M71"/>
    <mergeCell ref="A72:C72"/>
    <mergeCell ref="E72:G72"/>
    <mergeCell ref="I72:J72"/>
    <mergeCell ref="K72:M72"/>
    <mergeCell ref="A67:H69"/>
    <mergeCell ref="I67:J67"/>
    <mergeCell ref="A44:H46"/>
    <mergeCell ref="I44:J44"/>
    <mergeCell ref="K44:M44"/>
    <mergeCell ref="I45:J45"/>
    <mergeCell ref="K45:M45"/>
    <mergeCell ref="I46:J46"/>
    <mergeCell ref="K46:M46"/>
    <mergeCell ref="A47:B48"/>
    <mergeCell ref="C47:H48"/>
    <mergeCell ref="K47:M47"/>
    <mergeCell ref="I48:J48"/>
    <mergeCell ref="K48:M48"/>
    <mergeCell ref="A49:C49"/>
    <mergeCell ref="E49:G49"/>
    <mergeCell ref="I49:J49"/>
    <mergeCell ref="K49:M49"/>
    <mergeCell ref="B51:B56"/>
    <mergeCell ref="A58:H60"/>
    <mergeCell ref="I58:J58"/>
    <mergeCell ref="K58:M58"/>
    <mergeCell ref="I59:J59"/>
    <mergeCell ref="K59:M59"/>
    <mergeCell ref="I60:J60"/>
    <mergeCell ref="K60:M60"/>
    <mergeCell ref="A61:B62"/>
    <mergeCell ref="C61:H62"/>
    <mergeCell ref="K61:M61"/>
    <mergeCell ref="I62:J62"/>
    <mergeCell ref="K62:M62"/>
    <mergeCell ref="A63:C63"/>
    <mergeCell ref="E63:G63"/>
    <mergeCell ref="A34:H36"/>
    <mergeCell ref="I34:J34"/>
    <mergeCell ref="K34:M34"/>
    <mergeCell ref="I35:J35"/>
    <mergeCell ref="K35:M35"/>
    <mergeCell ref="I36:J36"/>
    <mergeCell ref="K36:M36"/>
    <mergeCell ref="A37:B38"/>
    <mergeCell ref="C37:H38"/>
    <mergeCell ref="K37:M37"/>
    <mergeCell ref="I38:J38"/>
    <mergeCell ref="K38:M38"/>
    <mergeCell ref="A39:C39"/>
    <mergeCell ref="E39:G39"/>
    <mergeCell ref="I39:J39"/>
    <mergeCell ref="K39:M39"/>
    <mergeCell ref="B41:B42"/>
    <mergeCell ref="A22:H24"/>
    <mergeCell ref="I22:J22"/>
    <mergeCell ref="K22:M22"/>
    <mergeCell ref="I23:J23"/>
    <mergeCell ref="K23:M23"/>
    <mergeCell ref="I24:J24"/>
    <mergeCell ref="K24:M24"/>
    <mergeCell ref="A25:B26"/>
    <mergeCell ref="C25:H26"/>
    <mergeCell ref="K25:M25"/>
    <mergeCell ref="I26:J26"/>
    <mergeCell ref="K26:M26"/>
    <mergeCell ref="A27:C27"/>
    <mergeCell ref="E27:G27"/>
    <mergeCell ref="I27:J27"/>
    <mergeCell ref="K27:M27"/>
    <mergeCell ref="B29:B32"/>
    <mergeCell ref="A10:H12"/>
    <mergeCell ref="I10:J10"/>
    <mergeCell ref="K10:M10"/>
    <mergeCell ref="I11:J11"/>
    <mergeCell ref="K11:M11"/>
    <mergeCell ref="I12:J12"/>
    <mergeCell ref="K12:M12"/>
    <mergeCell ref="A13:B14"/>
    <mergeCell ref="C13:H14"/>
    <mergeCell ref="K13:M13"/>
    <mergeCell ref="I14:J14"/>
    <mergeCell ref="K14:M14"/>
    <mergeCell ref="A15:C15"/>
    <mergeCell ref="E15:G15"/>
    <mergeCell ref="I15:J15"/>
    <mergeCell ref="K15:M15"/>
    <mergeCell ref="B17:B20"/>
    <mergeCell ref="A1:H3"/>
    <mergeCell ref="I1:J1"/>
    <mergeCell ref="K1:M1"/>
    <mergeCell ref="I2:J2"/>
    <mergeCell ref="K2:M2"/>
    <mergeCell ref="I3:J3"/>
    <mergeCell ref="K3:M3"/>
    <mergeCell ref="A4:B5"/>
    <mergeCell ref="C4:H5"/>
    <mergeCell ref="K4:M4"/>
    <mergeCell ref="I5:J5"/>
    <mergeCell ref="K5:M5"/>
    <mergeCell ref="A6:C6"/>
    <mergeCell ref="E6:G6"/>
    <mergeCell ref="I6:J6"/>
    <mergeCell ref="K6:M6"/>
    <mergeCell ref="B8:B9"/>
  </mergeCells>
  <conditionalFormatting sqref="I2421:I2426 I1987:I1992 I2077 I2082:I2087 I2079 I1833:I1843 I718 I614:I625 I562 I549">
    <cfRule type="cellIs" dxfId="2672" priority="6957" operator="equal">
      <formula>"SC1-7"</formula>
    </cfRule>
    <cfRule type="cellIs" dxfId="2671" priority="6958" operator="equal">
      <formula>"B2-45"</formula>
    </cfRule>
  </conditionalFormatting>
  <conditionalFormatting sqref="I2421">
    <cfRule type="cellIs" dxfId="2670" priority="6955" operator="equal">
      <formula>"SC1-7"</formula>
    </cfRule>
    <cfRule type="cellIs" dxfId="2669" priority="6956" operator="equal">
      <formula>"B2-45"</formula>
    </cfRule>
  </conditionalFormatting>
  <conditionalFormatting sqref="I2422">
    <cfRule type="cellIs" dxfId="2668" priority="6953" operator="equal">
      <formula>"SC1-7"</formula>
    </cfRule>
    <cfRule type="cellIs" dxfId="2667" priority="6954" operator="equal">
      <formula>"B2-45"</formula>
    </cfRule>
  </conditionalFormatting>
  <conditionalFormatting sqref="I2427">
    <cfRule type="cellIs" dxfId="2666" priority="6927" operator="equal">
      <formula>"SC1-7"</formula>
    </cfRule>
    <cfRule type="cellIs" dxfId="2665" priority="6928" operator="equal">
      <formula>"B2-45"</formula>
    </cfRule>
  </conditionalFormatting>
  <conditionalFormatting sqref="I2428">
    <cfRule type="cellIs" dxfId="2664" priority="6921" operator="equal">
      <formula>"SC1-7"</formula>
    </cfRule>
    <cfRule type="cellIs" dxfId="2663" priority="6922" operator="equal">
      <formula>"B2-45"</formula>
    </cfRule>
  </conditionalFormatting>
  <conditionalFormatting sqref="I2429">
    <cfRule type="cellIs" dxfId="2662" priority="6919" operator="equal">
      <formula>"SC1-7"</formula>
    </cfRule>
    <cfRule type="cellIs" dxfId="2661" priority="6920" operator="equal">
      <formula>"B2-45"</formula>
    </cfRule>
  </conditionalFormatting>
  <conditionalFormatting sqref="I2438">
    <cfRule type="cellIs" dxfId="2660" priority="6925" operator="equal">
      <formula>"SC1-7"</formula>
    </cfRule>
    <cfRule type="cellIs" dxfId="2659" priority="6926" operator="equal">
      <formula>"B2-45"</formula>
    </cfRule>
  </conditionalFormatting>
  <conditionalFormatting sqref="I2437">
    <cfRule type="cellIs" dxfId="2658" priority="6923" operator="equal">
      <formula>"SC1-7"</formula>
    </cfRule>
    <cfRule type="cellIs" dxfId="2657" priority="6924" operator="equal">
      <formula>"B2-45"</formula>
    </cfRule>
  </conditionalFormatting>
  <conditionalFormatting sqref="I2430">
    <cfRule type="cellIs" dxfId="2656" priority="6917" operator="equal">
      <formula>"SC1-7"</formula>
    </cfRule>
    <cfRule type="cellIs" dxfId="2655" priority="6918" operator="equal">
      <formula>"B2-45"</formula>
    </cfRule>
  </conditionalFormatting>
  <conditionalFormatting sqref="I2431">
    <cfRule type="cellIs" dxfId="2654" priority="6915" operator="equal">
      <formula>"SC1-7"</formula>
    </cfRule>
    <cfRule type="cellIs" dxfId="2653" priority="6916" operator="equal">
      <formula>"B2-45"</formula>
    </cfRule>
  </conditionalFormatting>
  <conditionalFormatting sqref="I2432">
    <cfRule type="cellIs" dxfId="2652" priority="6913" operator="equal">
      <formula>"SC1-7"</formula>
    </cfRule>
    <cfRule type="cellIs" dxfId="2651" priority="6914" operator="equal">
      <formula>"B2-45"</formula>
    </cfRule>
  </conditionalFormatting>
  <conditionalFormatting sqref="I2433">
    <cfRule type="cellIs" dxfId="2650" priority="6911" operator="equal">
      <formula>"SC1-7"</formula>
    </cfRule>
    <cfRule type="cellIs" dxfId="2649" priority="6912" operator="equal">
      <formula>"B2-45"</formula>
    </cfRule>
  </conditionalFormatting>
  <conditionalFormatting sqref="I2434">
    <cfRule type="cellIs" dxfId="2648" priority="6909" operator="equal">
      <formula>"SC1-7"</formula>
    </cfRule>
    <cfRule type="cellIs" dxfId="2647" priority="6910" operator="equal">
      <formula>"B2-45"</formula>
    </cfRule>
  </conditionalFormatting>
  <conditionalFormatting sqref="I2435:I2437">
    <cfRule type="cellIs" dxfId="2646" priority="6907" operator="equal">
      <formula>"SC1-7"</formula>
    </cfRule>
    <cfRule type="cellIs" dxfId="2645" priority="6908" operator="equal">
      <formula>"B2-45"</formula>
    </cfRule>
  </conditionalFormatting>
  <conditionalFormatting sqref="I2436">
    <cfRule type="cellIs" dxfId="2644" priority="6905" operator="equal">
      <formula>"SC1-7"</formula>
    </cfRule>
    <cfRule type="cellIs" dxfId="2643" priority="6906" operator="equal">
      <formula>"B2-45"</formula>
    </cfRule>
  </conditionalFormatting>
  <conditionalFormatting sqref="I2359:I2364">
    <cfRule type="cellIs" dxfId="2642" priority="6903" operator="equal">
      <formula>"SC1-7"</formula>
    </cfRule>
    <cfRule type="cellIs" dxfId="2641" priority="6904" operator="equal">
      <formula>"B2-45"</formula>
    </cfRule>
  </conditionalFormatting>
  <conditionalFormatting sqref="I2359">
    <cfRule type="cellIs" dxfId="2640" priority="6901" operator="equal">
      <formula>"SC1-7"</formula>
    </cfRule>
    <cfRule type="cellIs" dxfId="2639" priority="6902" operator="equal">
      <formula>"B2-45"</formula>
    </cfRule>
  </conditionalFormatting>
  <conditionalFormatting sqref="I2360">
    <cfRule type="cellIs" dxfId="2638" priority="6899" operator="equal">
      <formula>"SC1-7"</formula>
    </cfRule>
    <cfRule type="cellIs" dxfId="2637" priority="6900" operator="equal">
      <formula>"B2-45"</formula>
    </cfRule>
  </conditionalFormatting>
  <conditionalFormatting sqref="I2383:I2403">
    <cfRule type="cellIs" dxfId="2636" priority="6867" operator="equal">
      <formula>"SC1-7"</formula>
    </cfRule>
    <cfRule type="cellIs" dxfId="2635" priority="6868" operator="equal">
      <formula>"B2-45"</formula>
    </cfRule>
  </conditionalFormatting>
  <conditionalFormatting sqref="I2404:I2420">
    <cfRule type="cellIs" dxfId="2634" priority="6865" operator="equal">
      <formula>"SC1-7"</formula>
    </cfRule>
    <cfRule type="cellIs" dxfId="2633" priority="6866" operator="equal">
      <formula>"B2-45"</formula>
    </cfRule>
  </conditionalFormatting>
  <conditionalFormatting sqref="I2365">
    <cfRule type="cellIs" dxfId="2632" priority="6863" operator="equal">
      <formula>"SC1-7"</formula>
    </cfRule>
    <cfRule type="cellIs" dxfId="2631" priority="6864" operator="equal">
      <formula>"B2-45"</formula>
    </cfRule>
  </conditionalFormatting>
  <conditionalFormatting sqref="I2366">
    <cfRule type="cellIs" dxfId="2630" priority="6855" operator="equal">
      <formula>"SC1-7"</formula>
    </cfRule>
    <cfRule type="cellIs" dxfId="2629" priority="6856" operator="equal">
      <formula>"B2-45"</formula>
    </cfRule>
  </conditionalFormatting>
  <conditionalFormatting sqref="I2377:I2382">
    <cfRule type="cellIs" dxfId="2628" priority="6861" operator="equal">
      <formula>"SC1-7"</formula>
    </cfRule>
    <cfRule type="cellIs" dxfId="2627" priority="6862" operator="equal">
      <formula>"B2-45"</formula>
    </cfRule>
  </conditionalFormatting>
  <conditionalFormatting sqref="I2367">
    <cfRule type="cellIs" dxfId="2626" priority="6853" operator="equal">
      <formula>"SC1-7"</formula>
    </cfRule>
    <cfRule type="cellIs" dxfId="2625" priority="6854" operator="equal">
      <formula>"B2-45"</formula>
    </cfRule>
  </conditionalFormatting>
  <conditionalFormatting sqref="I2376">
    <cfRule type="cellIs" dxfId="2624" priority="6859" operator="equal">
      <formula>"SC1-7"</formula>
    </cfRule>
    <cfRule type="cellIs" dxfId="2623" priority="6860" operator="equal">
      <formula>"B2-45"</formula>
    </cfRule>
  </conditionalFormatting>
  <conditionalFormatting sqref="I2375">
    <cfRule type="cellIs" dxfId="2622" priority="6857" operator="equal">
      <formula>"SC1-7"</formula>
    </cfRule>
    <cfRule type="cellIs" dxfId="2621" priority="6858" operator="equal">
      <formula>"B2-45"</formula>
    </cfRule>
  </conditionalFormatting>
  <conditionalFormatting sqref="I2368">
    <cfRule type="cellIs" dxfId="2620" priority="6851" operator="equal">
      <formula>"SC1-7"</formula>
    </cfRule>
    <cfRule type="cellIs" dxfId="2619" priority="6852" operator="equal">
      <formula>"B2-45"</formula>
    </cfRule>
  </conditionalFormatting>
  <conditionalFormatting sqref="I2369">
    <cfRule type="cellIs" dxfId="2618" priority="6849" operator="equal">
      <formula>"SC1-7"</formula>
    </cfRule>
    <cfRule type="cellIs" dxfId="2617" priority="6850" operator="equal">
      <formula>"B2-45"</formula>
    </cfRule>
  </conditionalFormatting>
  <conditionalFormatting sqref="I2370">
    <cfRule type="cellIs" dxfId="2616" priority="6847" operator="equal">
      <formula>"SC1-7"</formula>
    </cfRule>
    <cfRule type="cellIs" dxfId="2615" priority="6848" operator="equal">
      <formula>"B2-45"</formula>
    </cfRule>
  </conditionalFormatting>
  <conditionalFormatting sqref="I2371">
    <cfRule type="cellIs" dxfId="2614" priority="6845" operator="equal">
      <formula>"SC1-7"</formula>
    </cfRule>
    <cfRule type="cellIs" dxfId="2613" priority="6846" operator="equal">
      <formula>"B2-45"</formula>
    </cfRule>
  </conditionalFormatting>
  <conditionalFormatting sqref="I2372">
    <cfRule type="cellIs" dxfId="2612" priority="6843" operator="equal">
      <formula>"SC1-7"</formula>
    </cfRule>
    <cfRule type="cellIs" dxfId="2611" priority="6844" operator="equal">
      <formula>"B2-45"</formula>
    </cfRule>
  </conditionalFormatting>
  <conditionalFormatting sqref="I2373:I2375">
    <cfRule type="cellIs" dxfId="2610" priority="6841" operator="equal">
      <formula>"SC1-7"</formula>
    </cfRule>
    <cfRule type="cellIs" dxfId="2609" priority="6842" operator="equal">
      <formula>"B2-45"</formula>
    </cfRule>
  </conditionalFormatting>
  <conditionalFormatting sqref="I2374">
    <cfRule type="cellIs" dxfId="2608" priority="6839" operator="equal">
      <formula>"SC1-7"</formula>
    </cfRule>
    <cfRule type="cellIs" dxfId="2607" priority="6840" operator="equal">
      <formula>"B2-45"</formula>
    </cfRule>
  </conditionalFormatting>
  <conditionalFormatting sqref="I2334:I2339">
    <cfRule type="cellIs" dxfId="2606" priority="6837" operator="equal">
      <formula>"SC1-7"</formula>
    </cfRule>
    <cfRule type="cellIs" dxfId="2605" priority="6838" operator="equal">
      <formula>"B2-45"</formula>
    </cfRule>
  </conditionalFormatting>
  <conditionalFormatting sqref="I2334">
    <cfRule type="cellIs" dxfId="2604" priority="6835" operator="equal">
      <formula>"SC1-7"</formula>
    </cfRule>
    <cfRule type="cellIs" dxfId="2603" priority="6836" operator="equal">
      <formula>"B2-45"</formula>
    </cfRule>
  </conditionalFormatting>
  <conditionalFormatting sqref="I2335">
    <cfRule type="cellIs" dxfId="2602" priority="6833" operator="equal">
      <formula>"SC1-7"</formula>
    </cfRule>
    <cfRule type="cellIs" dxfId="2601" priority="6834" operator="equal">
      <formula>"B2-45"</formula>
    </cfRule>
  </conditionalFormatting>
  <conditionalFormatting sqref="I2358">
    <cfRule type="cellIs" dxfId="2600" priority="6803" operator="equal">
      <formula>"SC1-7"</formula>
    </cfRule>
    <cfRule type="cellIs" dxfId="2599" priority="6804" operator="equal">
      <formula>"B2-45"</formula>
    </cfRule>
  </conditionalFormatting>
  <conditionalFormatting sqref="I2340">
    <cfRule type="cellIs" dxfId="2598" priority="6801" operator="equal">
      <formula>"SC1-7"</formula>
    </cfRule>
    <cfRule type="cellIs" dxfId="2597" priority="6802" operator="equal">
      <formula>"B2-45"</formula>
    </cfRule>
  </conditionalFormatting>
  <conditionalFormatting sqref="I2341">
    <cfRule type="cellIs" dxfId="2596" priority="6793" operator="equal">
      <formula>"SC1-7"</formula>
    </cfRule>
    <cfRule type="cellIs" dxfId="2595" priority="6794" operator="equal">
      <formula>"B2-45"</formula>
    </cfRule>
  </conditionalFormatting>
  <conditionalFormatting sqref="I2352:I2357">
    <cfRule type="cellIs" dxfId="2594" priority="6799" operator="equal">
      <formula>"SC1-7"</formula>
    </cfRule>
    <cfRule type="cellIs" dxfId="2593" priority="6800" operator="equal">
      <formula>"B2-45"</formula>
    </cfRule>
  </conditionalFormatting>
  <conditionalFormatting sqref="I2342">
    <cfRule type="cellIs" dxfId="2592" priority="6791" operator="equal">
      <formula>"SC1-7"</formula>
    </cfRule>
    <cfRule type="cellIs" dxfId="2591" priority="6792" operator="equal">
      <formula>"B2-45"</formula>
    </cfRule>
  </conditionalFormatting>
  <conditionalFormatting sqref="I2351">
    <cfRule type="cellIs" dxfId="2590" priority="6797" operator="equal">
      <formula>"SC1-7"</formula>
    </cfRule>
    <cfRule type="cellIs" dxfId="2589" priority="6798" operator="equal">
      <formula>"B2-45"</formula>
    </cfRule>
  </conditionalFormatting>
  <conditionalFormatting sqref="I2350">
    <cfRule type="cellIs" dxfId="2588" priority="6795" operator="equal">
      <formula>"SC1-7"</formula>
    </cfRule>
    <cfRule type="cellIs" dxfId="2587" priority="6796" operator="equal">
      <formula>"B2-45"</formula>
    </cfRule>
  </conditionalFormatting>
  <conditionalFormatting sqref="I2343">
    <cfRule type="cellIs" dxfId="2586" priority="6789" operator="equal">
      <formula>"SC1-7"</formula>
    </cfRule>
    <cfRule type="cellIs" dxfId="2585" priority="6790" operator="equal">
      <formula>"B2-45"</formula>
    </cfRule>
  </conditionalFormatting>
  <conditionalFormatting sqref="I2344">
    <cfRule type="cellIs" dxfId="2584" priority="6787" operator="equal">
      <formula>"SC1-7"</formula>
    </cfRule>
    <cfRule type="cellIs" dxfId="2583" priority="6788" operator="equal">
      <formula>"B2-45"</formula>
    </cfRule>
  </conditionalFormatting>
  <conditionalFormatting sqref="I2345">
    <cfRule type="cellIs" dxfId="2582" priority="6785" operator="equal">
      <formula>"SC1-7"</formula>
    </cfRule>
    <cfRule type="cellIs" dxfId="2581" priority="6786" operator="equal">
      <formula>"B2-45"</formula>
    </cfRule>
  </conditionalFormatting>
  <conditionalFormatting sqref="I2346">
    <cfRule type="cellIs" dxfId="2580" priority="6783" operator="equal">
      <formula>"SC1-7"</formula>
    </cfRule>
    <cfRule type="cellIs" dxfId="2579" priority="6784" operator="equal">
      <formula>"B2-45"</formula>
    </cfRule>
  </conditionalFormatting>
  <conditionalFormatting sqref="I2347">
    <cfRule type="cellIs" dxfId="2578" priority="6781" operator="equal">
      <formula>"SC1-7"</formula>
    </cfRule>
    <cfRule type="cellIs" dxfId="2577" priority="6782" operator="equal">
      <formula>"B2-45"</formula>
    </cfRule>
  </conditionalFormatting>
  <conditionalFormatting sqref="I2348:I2350">
    <cfRule type="cellIs" dxfId="2576" priority="6779" operator="equal">
      <formula>"SC1-7"</formula>
    </cfRule>
    <cfRule type="cellIs" dxfId="2575" priority="6780" operator="equal">
      <formula>"B2-45"</formula>
    </cfRule>
  </conditionalFormatting>
  <conditionalFormatting sqref="I2349">
    <cfRule type="cellIs" dxfId="2574" priority="6777" operator="equal">
      <formula>"SC1-7"</formula>
    </cfRule>
    <cfRule type="cellIs" dxfId="2573" priority="6778" operator="equal">
      <formula>"B2-45"</formula>
    </cfRule>
  </conditionalFormatting>
  <conditionalFormatting sqref="I2323:I2328">
    <cfRule type="cellIs" dxfId="2572" priority="6775" operator="equal">
      <formula>"SC1-7"</formula>
    </cfRule>
    <cfRule type="cellIs" dxfId="2571" priority="6776" operator="equal">
      <formula>"B2-45"</formula>
    </cfRule>
  </conditionalFormatting>
  <conditionalFormatting sqref="I2323">
    <cfRule type="cellIs" dxfId="2570" priority="6773" operator="equal">
      <formula>"SC1-7"</formula>
    </cfRule>
    <cfRule type="cellIs" dxfId="2569" priority="6774" operator="equal">
      <formula>"B2-45"</formula>
    </cfRule>
  </conditionalFormatting>
  <conditionalFormatting sqref="I2324">
    <cfRule type="cellIs" dxfId="2568" priority="6771" operator="equal">
      <formula>"SC1-7"</formula>
    </cfRule>
    <cfRule type="cellIs" dxfId="2567" priority="6772" operator="equal">
      <formula>"B2-45"</formula>
    </cfRule>
  </conditionalFormatting>
  <conditionalFormatting sqref="I2329">
    <cfRule type="cellIs" dxfId="2566" priority="6759" operator="equal">
      <formula>"SC1-7"</formula>
    </cfRule>
    <cfRule type="cellIs" dxfId="2565" priority="6760" operator="equal">
      <formula>"B2-45"</formula>
    </cfRule>
  </conditionalFormatting>
  <conditionalFormatting sqref="I2330">
    <cfRule type="cellIs" dxfId="2564" priority="6757" operator="equal">
      <formula>"SC1-7"</formula>
    </cfRule>
    <cfRule type="cellIs" dxfId="2563" priority="6758" operator="equal">
      <formula>"B2-45"</formula>
    </cfRule>
  </conditionalFormatting>
  <conditionalFormatting sqref="I2331">
    <cfRule type="cellIs" dxfId="2562" priority="6755" operator="equal">
      <formula>"SC1-7"</formula>
    </cfRule>
    <cfRule type="cellIs" dxfId="2561" priority="6756" operator="equal">
      <formula>"B2-45"</formula>
    </cfRule>
  </conditionalFormatting>
  <conditionalFormatting sqref="I2332">
    <cfRule type="cellIs" dxfId="2560" priority="6753" operator="equal">
      <formula>"SC1-7"</formula>
    </cfRule>
    <cfRule type="cellIs" dxfId="2559" priority="6754" operator="equal">
      <formula>"B2-45"</formula>
    </cfRule>
  </conditionalFormatting>
  <conditionalFormatting sqref="I2333">
    <cfRule type="cellIs" dxfId="2558" priority="6751" operator="equal">
      <formula>"SC1-7"</formula>
    </cfRule>
    <cfRule type="cellIs" dxfId="2557" priority="6752" operator="equal">
      <formula>"B2-45"</formula>
    </cfRule>
  </conditionalFormatting>
  <conditionalFormatting sqref="I2311:I2316">
    <cfRule type="cellIs" dxfId="2556" priority="6749" operator="equal">
      <formula>"SC1-7"</formula>
    </cfRule>
    <cfRule type="cellIs" dxfId="2555" priority="6750" operator="equal">
      <formula>"B2-45"</formula>
    </cfRule>
  </conditionalFormatting>
  <conditionalFormatting sqref="I2311">
    <cfRule type="cellIs" dxfId="2554" priority="6747" operator="equal">
      <formula>"SC1-7"</formula>
    </cfRule>
    <cfRule type="cellIs" dxfId="2553" priority="6748" operator="equal">
      <formula>"B2-45"</formula>
    </cfRule>
  </conditionalFormatting>
  <conditionalFormatting sqref="I2312">
    <cfRule type="cellIs" dxfId="2552" priority="6745" operator="equal">
      <formula>"SC1-7"</formula>
    </cfRule>
    <cfRule type="cellIs" dxfId="2551" priority="6746" operator="equal">
      <formula>"B2-45"</formula>
    </cfRule>
  </conditionalFormatting>
  <conditionalFormatting sqref="I2317">
    <cfRule type="cellIs" dxfId="2550" priority="6731" operator="equal">
      <formula>"SC1-7"</formula>
    </cfRule>
    <cfRule type="cellIs" dxfId="2549" priority="6732" operator="equal">
      <formula>"B2-45"</formula>
    </cfRule>
  </conditionalFormatting>
  <conditionalFormatting sqref="I2318">
    <cfRule type="cellIs" dxfId="2548" priority="6729" operator="equal">
      <formula>"SC1-7"</formula>
    </cfRule>
    <cfRule type="cellIs" dxfId="2547" priority="6730" operator="equal">
      <formula>"B2-45"</formula>
    </cfRule>
  </conditionalFormatting>
  <conditionalFormatting sqref="I2319">
    <cfRule type="cellIs" dxfId="2546" priority="6727" operator="equal">
      <formula>"SC1-7"</formula>
    </cfRule>
    <cfRule type="cellIs" dxfId="2545" priority="6728" operator="equal">
      <formula>"B2-45"</formula>
    </cfRule>
  </conditionalFormatting>
  <conditionalFormatting sqref="I2320">
    <cfRule type="cellIs" dxfId="2544" priority="6725" operator="equal">
      <formula>"SC1-7"</formula>
    </cfRule>
    <cfRule type="cellIs" dxfId="2543" priority="6726" operator="equal">
      <formula>"B2-45"</formula>
    </cfRule>
  </conditionalFormatting>
  <conditionalFormatting sqref="I2321">
    <cfRule type="cellIs" dxfId="2542" priority="6723" operator="equal">
      <formula>"SC1-7"</formula>
    </cfRule>
    <cfRule type="cellIs" dxfId="2541" priority="6724" operator="equal">
      <formula>"B2-45"</formula>
    </cfRule>
  </conditionalFormatting>
  <conditionalFormatting sqref="I2322">
    <cfRule type="cellIs" dxfId="2540" priority="6721" operator="equal">
      <formula>"SC1-7"</formula>
    </cfRule>
    <cfRule type="cellIs" dxfId="2539" priority="6722" operator="equal">
      <formula>"B2-45"</formula>
    </cfRule>
  </conditionalFormatting>
  <conditionalFormatting sqref="I2301:I2306">
    <cfRule type="cellIs" dxfId="2538" priority="6697" operator="equal">
      <formula>"SC1-7"</formula>
    </cfRule>
    <cfRule type="cellIs" dxfId="2537" priority="6698" operator="equal">
      <formula>"B2-45"</formula>
    </cfRule>
  </conditionalFormatting>
  <conditionalFormatting sqref="I2301">
    <cfRule type="cellIs" dxfId="2536" priority="6695" operator="equal">
      <formula>"SC1-7"</formula>
    </cfRule>
    <cfRule type="cellIs" dxfId="2535" priority="6696" operator="equal">
      <formula>"B2-45"</formula>
    </cfRule>
  </conditionalFormatting>
  <conditionalFormatting sqref="I2302">
    <cfRule type="cellIs" dxfId="2534" priority="6693" operator="equal">
      <formula>"SC1-7"</formula>
    </cfRule>
    <cfRule type="cellIs" dxfId="2533" priority="6694" operator="equal">
      <formula>"B2-45"</formula>
    </cfRule>
  </conditionalFormatting>
  <conditionalFormatting sqref="I2307">
    <cfRule type="cellIs" dxfId="2532" priority="6683" operator="equal">
      <formula>"SC1-7"</formula>
    </cfRule>
    <cfRule type="cellIs" dxfId="2531" priority="6684" operator="equal">
      <formula>"B2-45"</formula>
    </cfRule>
  </conditionalFormatting>
  <conditionalFormatting sqref="I2308">
    <cfRule type="cellIs" dxfId="2530" priority="6681" operator="equal">
      <formula>"SC1-7"</formula>
    </cfRule>
    <cfRule type="cellIs" dxfId="2529" priority="6682" operator="equal">
      <formula>"B2-45"</formula>
    </cfRule>
  </conditionalFormatting>
  <conditionalFormatting sqref="I2309">
    <cfRule type="cellIs" dxfId="2528" priority="6679" operator="equal">
      <formula>"SC1-7"</formula>
    </cfRule>
    <cfRule type="cellIs" dxfId="2527" priority="6680" operator="equal">
      <formula>"B2-45"</formula>
    </cfRule>
  </conditionalFormatting>
  <conditionalFormatting sqref="I2310">
    <cfRule type="cellIs" dxfId="2526" priority="6677" operator="equal">
      <formula>"SC1-7"</formula>
    </cfRule>
    <cfRule type="cellIs" dxfId="2525" priority="6678" operator="equal">
      <formula>"B2-45"</formula>
    </cfRule>
  </conditionalFormatting>
  <conditionalFormatting sqref="I2285:I2290">
    <cfRule type="cellIs" dxfId="2524" priority="6609" operator="equal">
      <formula>"SC1-7"</formula>
    </cfRule>
    <cfRule type="cellIs" dxfId="2523" priority="6610" operator="equal">
      <formula>"B2-45"</formula>
    </cfRule>
  </conditionalFormatting>
  <conditionalFormatting sqref="I2285">
    <cfRule type="cellIs" dxfId="2522" priority="6607" operator="equal">
      <formula>"SC1-7"</formula>
    </cfRule>
    <cfRule type="cellIs" dxfId="2521" priority="6608" operator="equal">
      <formula>"B2-45"</formula>
    </cfRule>
  </conditionalFormatting>
  <conditionalFormatting sqref="I2286">
    <cfRule type="cellIs" dxfId="2520" priority="6605" operator="equal">
      <formula>"SC1-7"</formula>
    </cfRule>
    <cfRule type="cellIs" dxfId="2519" priority="6606" operator="equal">
      <formula>"B2-45"</formula>
    </cfRule>
  </conditionalFormatting>
  <conditionalFormatting sqref="I2291">
    <cfRule type="cellIs" dxfId="2518" priority="6583" operator="equal">
      <formula>"SC1-7"</formula>
    </cfRule>
    <cfRule type="cellIs" dxfId="2517" priority="6584" operator="equal">
      <formula>"B2-45"</formula>
    </cfRule>
  </conditionalFormatting>
  <conditionalFormatting sqref="I2292">
    <cfRule type="cellIs" dxfId="2516" priority="6581" operator="equal">
      <formula>"SC1-7"</formula>
    </cfRule>
    <cfRule type="cellIs" dxfId="2515" priority="6582" operator="equal">
      <formula>"B2-45"</formula>
    </cfRule>
  </conditionalFormatting>
  <conditionalFormatting sqref="I2293">
    <cfRule type="cellIs" dxfId="2514" priority="6579" operator="equal">
      <formula>"SC1-7"</formula>
    </cfRule>
    <cfRule type="cellIs" dxfId="2513" priority="6580" operator="equal">
      <formula>"B2-45"</formula>
    </cfRule>
  </conditionalFormatting>
  <conditionalFormatting sqref="I2294">
    <cfRule type="cellIs" dxfId="2512" priority="6577" operator="equal">
      <formula>"SC1-7"</formula>
    </cfRule>
    <cfRule type="cellIs" dxfId="2511" priority="6578" operator="equal">
      <formula>"B2-45"</formula>
    </cfRule>
  </conditionalFormatting>
  <conditionalFormatting sqref="I2295">
    <cfRule type="cellIs" dxfId="2510" priority="6575" operator="equal">
      <formula>"SC1-7"</formula>
    </cfRule>
    <cfRule type="cellIs" dxfId="2509" priority="6576" operator="equal">
      <formula>"B2-45"</formula>
    </cfRule>
  </conditionalFormatting>
  <conditionalFormatting sqref="I2296">
    <cfRule type="cellIs" dxfId="2508" priority="6573" operator="equal">
      <formula>"SC1-7"</formula>
    </cfRule>
    <cfRule type="cellIs" dxfId="2507" priority="6574" operator="equal">
      <formula>"B2-45"</formula>
    </cfRule>
  </conditionalFormatting>
  <conditionalFormatting sqref="I2297">
    <cfRule type="cellIs" dxfId="2506" priority="6571" operator="equal">
      <formula>"SC1-7"</formula>
    </cfRule>
    <cfRule type="cellIs" dxfId="2505" priority="6572" operator="equal">
      <formula>"B2-45"</formula>
    </cfRule>
  </conditionalFormatting>
  <conditionalFormatting sqref="I2298">
    <cfRule type="cellIs" dxfId="2504" priority="6569" operator="equal">
      <formula>"SC1-7"</formula>
    </cfRule>
    <cfRule type="cellIs" dxfId="2503" priority="6570" operator="equal">
      <formula>"B2-45"</formula>
    </cfRule>
  </conditionalFormatting>
  <conditionalFormatting sqref="I2299:I2300">
    <cfRule type="cellIs" dxfId="2502" priority="6567" operator="equal">
      <formula>"SC1-7"</formula>
    </cfRule>
    <cfRule type="cellIs" dxfId="2501" priority="6568" operator="equal">
      <formula>"B2-45"</formula>
    </cfRule>
  </conditionalFormatting>
  <conditionalFormatting sqref="I2300">
    <cfRule type="cellIs" dxfId="2500" priority="6565" operator="equal">
      <formula>"SC1-7"</formula>
    </cfRule>
    <cfRule type="cellIs" dxfId="2499" priority="6566" operator="equal">
      <formula>"B2-45"</formula>
    </cfRule>
  </conditionalFormatting>
  <conditionalFormatting sqref="I2265:I2270">
    <cfRule type="cellIs" dxfId="2498" priority="6563" operator="equal">
      <formula>"SC1-7"</formula>
    </cfRule>
    <cfRule type="cellIs" dxfId="2497" priority="6564" operator="equal">
      <formula>"B2-45"</formula>
    </cfRule>
  </conditionalFormatting>
  <conditionalFormatting sqref="I2265">
    <cfRule type="cellIs" dxfId="2496" priority="6561" operator="equal">
      <formula>"SC1-7"</formula>
    </cfRule>
    <cfRule type="cellIs" dxfId="2495" priority="6562" operator="equal">
      <formula>"B2-45"</formula>
    </cfRule>
  </conditionalFormatting>
  <conditionalFormatting sqref="I2266">
    <cfRule type="cellIs" dxfId="2494" priority="6559" operator="equal">
      <formula>"SC1-7"</formula>
    </cfRule>
    <cfRule type="cellIs" dxfId="2493" priority="6560" operator="equal">
      <formula>"B2-45"</formula>
    </cfRule>
  </conditionalFormatting>
  <conditionalFormatting sqref="I2271">
    <cfRule type="cellIs" dxfId="2492" priority="6531" operator="equal">
      <formula>"SC1-7"</formula>
    </cfRule>
    <cfRule type="cellIs" dxfId="2491" priority="6532" operator="equal">
      <formula>"B2-45"</formula>
    </cfRule>
  </conditionalFormatting>
  <conditionalFormatting sqref="I2272">
    <cfRule type="cellIs" dxfId="2490" priority="6523" operator="equal">
      <formula>"SC1-7"</formula>
    </cfRule>
    <cfRule type="cellIs" dxfId="2489" priority="6524" operator="equal">
      <formula>"B2-45"</formula>
    </cfRule>
  </conditionalFormatting>
  <conditionalFormatting sqref="I2283:I2284">
    <cfRule type="cellIs" dxfId="2488" priority="6529" operator="equal">
      <formula>"SC1-7"</formula>
    </cfRule>
    <cfRule type="cellIs" dxfId="2487" priority="6530" operator="equal">
      <formula>"B2-45"</formula>
    </cfRule>
  </conditionalFormatting>
  <conditionalFormatting sqref="I2273">
    <cfRule type="cellIs" dxfId="2486" priority="6521" operator="equal">
      <formula>"SC1-7"</formula>
    </cfRule>
    <cfRule type="cellIs" dxfId="2485" priority="6522" operator="equal">
      <formula>"B2-45"</formula>
    </cfRule>
  </conditionalFormatting>
  <conditionalFormatting sqref="I2282">
    <cfRule type="cellIs" dxfId="2484" priority="6527" operator="equal">
      <formula>"SC1-7"</formula>
    </cfRule>
    <cfRule type="cellIs" dxfId="2483" priority="6528" operator="equal">
      <formula>"B2-45"</formula>
    </cfRule>
  </conditionalFormatting>
  <conditionalFormatting sqref="I2281">
    <cfRule type="cellIs" dxfId="2482" priority="6525" operator="equal">
      <formula>"SC1-7"</formula>
    </cfRule>
    <cfRule type="cellIs" dxfId="2481" priority="6526" operator="equal">
      <formula>"B2-45"</formula>
    </cfRule>
  </conditionalFormatting>
  <conditionalFormatting sqref="I2274">
    <cfRule type="cellIs" dxfId="2480" priority="6519" operator="equal">
      <formula>"SC1-7"</formula>
    </cfRule>
    <cfRule type="cellIs" dxfId="2479" priority="6520" operator="equal">
      <formula>"B2-45"</formula>
    </cfRule>
  </conditionalFormatting>
  <conditionalFormatting sqref="I2275">
    <cfRule type="cellIs" dxfId="2478" priority="6517" operator="equal">
      <formula>"SC1-7"</formula>
    </cfRule>
    <cfRule type="cellIs" dxfId="2477" priority="6518" operator="equal">
      <formula>"B2-45"</formula>
    </cfRule>
  </conditionalFormatting>
  <conditionalFormatting sqref="I2276">
    <cfRule type="cellIs" dxfId="2476" priority="6515" operator="equal">
      <formula>"SC1-7"</formula>
    </cfRule>
    <cfRule type="cellIs" dxfId="2475" priority="6516" operator="equal">
      <formula>"B2-45"</formula>
    </cfRule>
  </conditionalFormatting>
  <conditionalFormatting sqref="I2277">
    <cfRule type="cellIs" dxfId="2474" priority="6513" operator="equal">
      <formula>"SC1-7"</formula>
    </cfRule>
    <cfRule type="cellIs" dxfId="2473" priority="6514" operator="equal">
      <formula>"B2-45"</formula>
    </cfRule>
  </conditionalFormatting>
  <conditionalFormatting sqref="I2278">
    <cfRule type="cellIs" dxfId="2472" priority="6511" operator="equal">
      <formula>"SC1-7"</formula>
    </cfRule>
    <cfRule type="cellIs" dxfId="2471" priority="6512" operator="equal">
      <formula>"B2-45"</formula>
    </cfRule>
  </conditionalFormatting>
  <conditionalFormatting sqref="I2279:I2281">
    <cfRule type="cellIs" dxfId="2470" priority="6509" operator="equal">
      <formula>"SC1-7"</formula>
    </cfRule>
    <cfRule type="cellIs" dxfId="2469" priority="6510" operator="equal">
      <formula>"B2-45"</formula>
    </cfRule>
  </conditionalFormatting>
  <conditionalFormatting sqref="I2280">
    <cfRule type="cellIs" dxfId="2468" priority="6507" operator="equal">
      <formula>"SC1-7"</formula>
    </cfRule>
    <cfRule type="cellIs" dxfId="2467" priority="6508" operator="equal">
      <formula>"B2-45"</formula>
    </cfRule>
  </conditionalFormatting>
  <conditionalFormatting sqref="I2204:I2209">
    <cfRule type="cellIs" dxfId="2466" priority="6505" operator="equal">
      <formula>"SC1-7"</formula>
    </cfRule>
    <cfRule type="cellIs" dxfId="2465" priority="6506" operator="equal">
      <formula>"B2-45"</formula>
    </cfRule>
  </conditionalFormatting>
  <conditionalFormatting sqref="I2204">
    <cfRule type="cellIs" dxfId="2464" priority="6503" operator="equal">
      <formula>"SC1-7"</formula>
    </cfRule>
    <cfRule type="cellIs" dxfId="2463" priority="6504" operator="equal">
      <formula>"B2-45"</formula>
    </cfRule>
  </conditionalFormatting>
  <conditionalFormatting sqref="I2205">
    <cfRule type="cellIs" dxfId="2462" priority="6501" operator="equal">
      <formula>"SC1-7"</formula>
    </cfRule>
    <cfRule type="cellIs" dxfId="2461" priority="6502" operator="equal">
      <formula>"B2-45"</formula>
    </cfRule>
  </conditionalFormatting>
  <conditionalFormatting sqref="I2228:I2248">
    <cfRule type="cellIs" dxfId="2460" priority="6469" operator="equal">
      <formula>"SC1-7"</formula>
    </cfRule>
    <cfRule type="cellIs" dxfId="2459" priority="6470" operator="equal">
      <formula>"B2-45"</formula>
    </cfRule>
  </conditionalFormatting>
  <conditionalFormatting sqref="I2249:I2264">
    <cfRule type="cellIs" dxfId="2458" priority="6467" operator="equal">
      <formula>"SC1-7"</formula>
    </cfRule>
    <cfRule type="cellIs" dxfId="2457" priority="6468" operator="equal">
      <formula>"B2-45"</formula>
    </cfRule>
  </conditionalFormatting>
  <conditionalFormatting sqref="I2210">
    <cfRule type="cellIs" dxfId="2456" priority="6465" operator="equal">
      <formula>"SC1-7"</formula>
    </cfRule>
    <cfRule type="cellIs" dxfId="2455" priority="6466" operator="equal">
      <formula>"B2-45"</formula>
    </cfRule>
  </conditionalFormatting>
  <conditionalFormatting sqref="I2211">
    <cfRule type="cellIs" dxfId="2454" priority="6457" operator="equal">
      <formula>"SC1-7"</formula>
    </cfRule>
    <cfRule type="cellIs" dxfId="2453" priority="6458" operator="equal">
      <formula>"B2-45"</formula>
    </cfRule>
  </conditionalFormatting>
  <conditionalFormatting sqref="I2222:I2227">
    <cfRule type="cellIs" dxfId="2452" priority="6463" operator="equal">
      <formula>"SC1-7"</formula>
    </cfRule>
    <cfRule type="cellIs" dxfId="2451" priority="6464" operator="equal">
      <formula>"B2-45"</formula>
    </cfRule>
  </conditionalFormatting>
  <conditionalFormatting sqref="I2212">
    <cfRule type="cellIs" dxfId="2450" priority="6455" operator="equal">
      <formula>"SC1-7"</formula>
    </cfRule>
    <cfRule type="cellIs" dxfId="2449" priority="6456" operator="equal">
      <formula>"B2-45"</formula>
    </cfRule>
  </conditionalFormatting>
  <conditionalFormatting sqref="I2221">
    <cfRule type="cellIs" dxfId="2448" priority="6461" operator="equal">
      <formula>"SC1-7"</formula>
    </cfRule>
    <cfRule type="cellIs" dxfId="2447" priority="6462" operator="equal">
      <formula>"B2-45"</formula>
    </cfRule>
  </conditionalFormatting>
  <conditionalFormatting sqref="I2220">
    <cfRule type="cellIs" dxfId="2446" priority="6459" operator="equal">
      <formula>"SC1-7"</formula>
    </cfRule>
    <cfRule type="cellIs" dxfId="2445" priority="6460" operator="equal">
      <formula>"B2-45"</formula>
    </cfRule>
  </conditionalFormatting>
  <conditionalFormatting sqref="I2213">
    <cfRule type="cellIs" dxfId="2444" priority="6453" operator="equal">
      <formula>"SC1-7"</formula>
    </cfRule>
    <cfRule type="cellIs" dxfId="2443" priority="6454" operator="equal">
      <formula>"B2-45"</formula>
    </cfRule>
  </conditionalFormatting>
  <conditionalFormatting sqref="I2214">
    <cfRule type="cellIs" dxfId="2442" priority="6451" operator="equal">
      <formula>"SC1-7"</formula>
    </cfRule>
    <cfRule type="cellIs" dxfId="2441" priority="6452" operator="equal">
      <formula>"B2-45"</formula>
    </cfRule>
  </conditionalFormatting>
  <conditionalFormatting sqref="I2215">
    <cfRule type="cellIs" dxfId="2440" priority="6449" operator="equal">
      <formula>"SC1-7"</formula>
    </cfRule>
    <cfRule type="cellIs" dxfId="2439" priority="6450" operator="equal">
      <formula>"B2-45"</formula>
    </cfRule>
  </conditionalFormatting>
  <conditionalFormatting sqref="I2216">
    <cfRule type="cellIs" dxfId="2438" priority="6447" operator="equal">
      <formula>"SC1-7"</formula>
    </cfRule>
    <cfRule type="cellIs" dxfId="2437" priority="6448" operator="equal">
      <formula>"B2-45"</formula>
    </cfRule>
  </conditionalFormatting>
  <conditionalFormatting sqref="I2217">
    <cfRule type="cellIs" dxfId="2436" priority="6445" operator="equal">
      <formula>"SC1-7"</formula>
    </cfRule>
    <cfRule type="cellIs" dxfId="2435" priority="6446" operator="equal">
      <formula>"B2-45"</formula>
    </cfRule>
  </conditionalFormatting>
  <conditionalFormatting sqref="I2218:I2220">
    <cfRule type="cellIs" dxfId="2434" priority="6443" operator="equal">
      <formula>"SC1-7"</formula>
    </cfRule>
    <cfRule type="cellIs" dxfId="2433" priority="6444" operator="equal">
      <formula>"B2-45"</formula>
    </cfRule>
  </conditionalFormatting>
  <conditionalFormatting sqref="I2219">
    <cfRule type="cellIs" dxfId="2432" priority="6441" operator="equal">
      <formula>"SC1-7"</formula>
    </cfRule>
    <cfRule type="cellIs" dxfId="2431" priority="6442" operator="equal">
      <formula>"B2-45"</formula>
    </cfRule>
  </conditionalFormatting>
  <conditionalFormatting sqref="I2179:I2184">
    <cfRule type="cellIs" dxfId="2430" priority="6439" operator="equal">
      <formula>"SC1-7"</formula>
    </cfRule>
    <cfRule type="cellIs" dxfId="2429" priority="6440" operator="equal">
      <formula>"B2-45"</formula>
    </cfRule>
  </conditionalFormatting>
  <conditionalFormatting sqref="I2179">
    <cfRule type="cellIs" dxfId="2428" priority="6437" operator="equal">
      <formula>"SC1-7"</formula>
    </cfRule>
    <cfRule type="cellIs" dxfId="2427" priority="6438" operator="equal">
      <formula>"B2-45"</formula>
    </cfRule>
  </conditionalFormatting>
  <conditionalFormatting sqref="I2180">
    <cfRule type="cellIs" dxfId="2426" priority="6435" operator="equal">
      <formula>"SC1-7"</formula>
    </cfRule>
    <cfRule type="cellIs" dxfId="2425" priority="6436" operator="equal">
      <formula>"B2-45"</formula>
    </cfRule>
  </conditionalFormatting>
  <conditionalFormatting sqref="I2203">
    <cfRule type="cellIs" dxfId="2424" priority="6405" operator="equal">
      <formula>"SC1-7"</formula>
    </cfRule>
    <cfRule type="cellIs" dxfId="2423" priority="6406" operator="equal">
      <formula>"B2-45"</formula>
    </cfRule>
  </conditionalFormatting>
  <conditionalFormatting sqref="I2185">
    <cfRule type="cellIs" dxfId="2422" priority="6403" operator="equal">
      <formula>"SC1-7"</formula>
    </cfRule>
    <cfRule type="cellIs" dxfId="2421" priority="6404" operator="equal">
      <formula>"B2-45"</formula>
    </cfRule>
  </conditionalFormatting>
  <conditionalFormatting sqref="I2186">
    <cfRule type="cellIs" dxfId="2420" priority="6395" operator="equal">
      <formula>"SC1-7"</formula>
    </cfRule>
    <cfRule type="cellIs" dxfId="2419" priority="6396" operator="equal">
      <formula>"B2-45"</formula>
    </cfRule>
  </conditionalFormatting>
  <conditionalFormatting sqref="I2197:I2202">
    <cfRule type="cellIs" dxfId="2418" priority="6401" operator="equal">
      <formula>"SC1-7"</formula>
    </cfRule>
    <cfRule type="cellIs" dxfId="2417" priority="6402" operator="equal">
      <formula>"B2-45"</formula>
    </cfRule>
  </conditionalFormatting>
  <conditionalFormatting sqref="I2187">
    <cfRule type="cellIs" dxfId="2416" priority="6393" operator="equal">
      <formula>"SC1-7"</formula>
    </cfRule>
    <cfRule type="cellIs" dxfId="2415" priority="6394" operator="equal">
      <formula>"B2-45"</formula>
    </cfRule>
  </conditionalFormatting>
  <conditionalFormatting sqref="I2196">
    <cfRule type="cellIs" dxfId="2414" priority="6399" operator="equal">
      <formula>"SC1-7"</formula>
    </cfRule>
    <cfRule type="cellIs" dxfId="2413" priority="6400" operator="equal">
      <formula>"B2-45"</formula>
    </cfRule>
  </conditionalFormatting>
  <conditionalFormatting sqref="I2195">
    <cfRule type="cellIs" dxfId="2412" priority="6397" operator="equal">
      <formula>"SC1-7"</formula>
    </cfRule>
    <cfRule type="cellIs" dxfId="2411" priority="6398" operator="equal">
      <formula>"B2-45"</formula>
    </cfRule>
  </conditionalFormatting>
  <conditionalFormatting sqref="I2188">
    <cfRule type="cellIs" dxfId="2410" priority="6391" operator="equal">
      <formula>"SC1-7"</formula>
    </cfRule>
    <cfRule type="cellIs" dxfId="2409" priority="6392" operator="equal">
      <formula>"B2-45"</formula>
    </cfRule>
  </conditionalFormatting>
  <conditionalFormatting sqref="I2189">
    <cfRule type="cellIs" dxfId="2408" priority="6389" operator="equal">
      <formula>"SC1-7"</formula>
    </cfRule>
    <cfRule type="cellIs" dxfId="2407" priority="6390" operator="equal">
      <formula>"B2-45"</formula>
    </cfRule>
  </conditionalFormatting>
  <conditionalFormatting sqref="I2190">
    <cfRule type="cellIs" dxfId="2406" priority="6387" operator="equal">
      <formula>"SC1-7"</formula>
    </cfRule>
    <cfRule type="cellIs" dxfId="2405" priority="6388" operator="equal">
      <formula>"B2-45"</formula>
    </cfRule>
  </conditionalFormatting>
  <conditionalFormatting sqref="I2191">
    <cfRule type="cellIs" dxfId="2404" priority="6385" operator="equal">
      <formula>"SC1-7"</formula>
    </cfRule>
    <cfRule type="cellIs" dxfId="2403" priority="6386" operator="equal">
      <formula>"B2-45"</formula>
    </cfRule>
  </conditionalFormatting>
  <conditionalFormatting sqref="I2192">
    <cfRule type="cellIs" dxfId="2402" priority="6383" operator="equal">
      <formula>"SC1-7"</formula>
    </cfRule>
    <cfRule type="cellIs" dxfId="2401" priority="6384" operator="equal">
      <formula>"B2-45"</formula>
    </cfRule>
  </conditionalFormatting>
  <conditionalFormatting sqref="I2193:I2195">
    <cfRule type="cellIs" dxfId="2400" priority="6381" operator="equal">
      <formula>"SC1-7"</formula>
    </cfRule>
    <cfRule type="cellIs" dxfId="2399" priority="6382" operator="equal">
      <formula>"B2-45"</formula>
    </cfRule>
  </conditionalFormatting>
  <conditionalFormatting sqref="I2194">
    <cfRule type="cellIs" dxfId="2398" priority="6379" operator="equal">
      <formula>"SC1-7"</formula>
    </cfRule>
    <cfRule type="cellIs" dxfId="2397" priority="6380" operator="equal">
      <formula>"B2-45"</formula>
    </cfRule>
  </conditionalFormatting>
  <conditionalFormatting sqref="I2142:I2147">
    <cfRule type="cellIs" dxfId="2396" priority="6347" operator="equal">
      <formula>"SC1-7"</formula>
    </cfRule>
    <cfRule type="cellIs" dxfId="2395" priority="6348" operator="equal">
      <formula>"B2-45"</formula>
    </cfRule>
  </conditionalFormatting>
  <conditionalFormatting sqref="I2142">
    <cfRule type="cellIs" dxfId="2394" priority="6345" operator="equal">
      <formula>"SC1-7"</formula>
    </cfRule>
    <cfRule type="cellIs" dxfId="2393" priority="6346" operator="equal">
      <formula>"B2-45"</formula>
    </cfRule>
  </conditionalFormatting>
  <conditionalFormatting sqref="I2143">
    <cfRule type="cellIs" dxfId="2392" priority="6343" operator="equal">
      <formula>"SC1-7"</formula>
    </cfRule>
    <cfRule type="cellIs" dxfId="2391" priority="6344" operator="equal">
      <formula>"B2-45"</formula>
    </cfRule>
  </conditionalFormatting>
  <conditionalFormatting sqref="I2165:I2178">
    <cfRule type="cellIs" dxfId="2390" priority="6313" operator="equal">
      <formula>"SC1-7"</formula>
    </cfRule>
    <cfRule type="cellIs" dxfId="2389" priority="6314" operator="equal">
      <formula>"B2-45"</formula>
    </cfRule>
  </conditionalFormatting>
  <conditionalFormatting sqref="I2148">
    <cfRule type="cellIs" dxfId="2388" priority="6311" operator="equal">
      <formula>"SC1-7"</formula>
    </cfRule>
    <cfRule type="cellIs" dxfId="2387" priority="6312" operator="equal">
      <formula>"B2-45"</formula>
    </cfRule>
  </conditionalFormatting>
  <conditionalFormatting sqref="I2149">
    <cfRule type="cellIs" dxfId="2386" priority="6303" operator="equal">
      <formula>"SC1-7"</formula>
    </cfRule>
    <cfRule type="cellIs" dxfId="2385" priority="6304" operator="equal">
      <formula>"B2-45"</formula>
    </cfRule>
  </conditionalFormatting>
  <conditionalFormatting sqref="I2159:I2164">
    <cfRule type="cellIs" dxfId="2384" priority="6309" operator="equal">
      <formula>"SC1-7"</formula>
    </cfRule>
    <cfRule type="cellIs" dxfId="2383" priority="6310" operator="equal">
      <formula>"B2-45"</formula>
    </cfRule>
  </conditionalFormatting>
  <conditionalFormatting sqref="I2150">
    <cfRule type="cellIs" dxfId="2382" priority="6301" operator="equal">
      <formula>"SC1-7"</formula>
    </cfRule>
    <cfRule type="cellIs" dxfId="2381" priority="6302" operator="equal">
      <formula>"B2-45"</formula>
    </cfRule>
  </conditionalFormatting>
  <conditionalFormatting sqref="I2158">
    <cfRule type="cellIs" dxfId="2380" priority="6307" operator="equal">
      <formula>"SC1-7"</formula>
    </cfRule>
    <cfRule type="cellIs" dxfId="2379" priority="6308" operator="equal">
      <formula>"B2-45"</formula>
    </cfRule>
  </conditionalFormatting>
  <conditionalFormatting sqref="I2157">
    <cfRule type="cellIs" dxfId="2378" priority="6305" operator="equal">
      <formula>"SC1-7"</formula>
    </cfRule>
    <cfRule type="cellIs" dxfId="2377" priority="6306" operator="equal">
      <formula>"B2-45"</formula>
    </cfRule>
  </conditionalFormatting>
  <conditionalFormatting sqref="I2151">
    <cfRule type="cellIs" dxfId="2376" priority="6299" operator="equal">
      <formula>"SC1-7"</formula>
    </cfRule>
    <cfRule type="cellIs" dxfId="2375" priority="6300" operator="equal">
      <formula>"B2-45"</formula>
    </cfRule>
  </conditionalFormatting>
  <conditionalFormatting sqref="I2152">
    <cfRule type="cellIs" dxfId="2374" priority="6295" operator="equal">
      <formula>"SC1-7"</formula>
    </cfRule>
    <cfRule type="cellIs" dxfId="2373" priority="6296" operator="equal">
      <formula>"B2-45"</formula>
    </cfRule>
  </conditionalFormatting>
  <conditionalFormatting sqref="I2153">
    <cfRule type="cellIs" dxfId="2372" priority="6293" operator="equal">
      <formula>"SC1-7"</formula>
    </cfRule>
    <cfRule type="cellIs" dxfId="2371" priority="6294" operator="equal">
      <formula>"B2-45"</formula>
    </cfRule>
  </conditionalFormatting>
  <conditionalFormatting sqref="I2154">
    <cfRule type="cellIs" dxfId="2370" priority="6291" operator="equal">
      <formula>"SC1-7"</formula>
    </cfRule>
    <cfRule type="cellIs" dxfId="2369" priority="6292" operator="equal">
      <formula>"B2-45"</formula>
    </cfRule>
  </conditionalFormatting>
  <conditionalFormatting sqref="I2155:I2157">
    <cfRule type="cellIs" dxfId="2368" priority="6289" operator="equal">
      <formula>"SC1-7"</formula>
    </cfRule>
    <cfRule type="cellIs" dxfId="2367" priority="6290" operator="equal">
      <formula>"B2-45"</formula>
    </cfRule>
  </conditionalFormatting>
  <conditionalFormatting sqref="I2156">
    <cfRule type="cellIs" dxfId="2366" priority="6287" operator="equal">
      <formula>"SC1-7"</formula>
    </cfRule>
    <cfRule type="cellIs" dxfId="2365" priority="6288" operator="equal">
      <formula>"B2-45"</formula>
    </cfRule>
  </conditionalFormatting>
  <conditionalFormatting sqref="I2089:I2094">
    <cfRule type="cellIs" dxfId="2364" priority="6285" operator="equal">
      <formula>"SC1-7"</formula>
    </cfRule>
    <cfRule type="cellIs" dxfId="2363" priority="6286" operator="equal">
      <formula>"B2-45"</formula>
    </cfRule>
  </conditionalFormatting>
  <conditionalFormatting sqref="I2089">
    <cfRule type="cellIs" dxfId="2362" priority="6283" operator="equal">
      <formula>"SC1-7"</formula>
    </cfRule>
    <cfRule type="cellIs" dxfId="2361" priority="6284" operator="equal">
      <formula>"B2-45"</formula>
    </cfRule>
  </conditionalFormatting>
  <conditionalFormatting sqref="I2090">
    <cfRule type="cellIs" dxfId="2360" priority="6281" operator="equal">
      <formula>"SC1-7"</formula>
    </cfRule>
    <cfRule type="cellIs" dxfId="2359" priority="6282" operator="equal">
      <formula>"B2-45"</formula>
    </cfRule>
  </conditionalFormatting>
  <conditionalFormatting sqref="I2113:I2133">
    <cfRule type="cellIs" dxfId="2358" priority="6249" operator="equal">
      <formula>"SC1-7"</formula>
    </cfRule>
    <cfRule type="cellIs" dxfId="2357" priority="6250" operator="equal">
      <formula>"B2-45"</formula>
    </cfRule>
  </conditionalFormatting>
  <conditionalFormatting sqref="I2134:I2141">
    <cfRule type="cellIs" dxfId="2356" priority="6247" operator="equal">
      <formula>"SC1-7"</formula>
    </cfRule>
    <cfRule type="cellIs" dxfId="2355" priority="6248" operator="equal">
      <formula>"B2-45"</formula>
    </cfRule>
  </conditionalFormatting>
  <conditionalFormatting sqref="I2095">
    <cfRule type="cellIs" dxfId="2354" priority="6245" operator="equal">
      <formula>"SC1-7"</formula>
    </cfRule>
    <cfRule type="cellIs" dxfId="2353" priority="6246" operator="equal">
      <formula>"B2-45"</formula>
    </cfRule>
  </conditionalFormatting>
  <conditionalFormatting sqref="I2096">
    <cfRule type="cellIs" dxfId="2352" priority="6237" operator="equal">
      <formula>"SC1-7"</formula>
    </cfRule>
    <cfRule type="cellIs" dxfId="2351" priority="6238" operator="equal">
      <formula>"B2-45"</formula>
    </cfRule>
  </conditionalFormatting>
  <conditionalFormatting sqref="I2107:I2112">
    <cfRule type="cellIs" dxfId="2350" priority="6243" operator="equal">
      <formula>"SC1-7"</formula>
    </cfRule>
    <cfRule type="cellIs" dxfId="2349" priority="6244" operator="equal">
      <formula>"B2-45"</formula>
    </cfRule>
  </conditionalFormatting>
  <conditionalFormatting sqref="I2097">
    <cfRule type="cellIs" dxfId="2348" priority="6235" operator="equal">
      <formula>"SC1-7"</formula>
    </cfRule>
    <cfRule type="cellIs" dxfId="2347" priority="6236" operator="equal">
      <formula>"B2-45"</formula>
    </cfRule>
  </conditionalFormatting>
  <conditionalFormatting sqref="I2106">
    <cfRule type="cellIs" dxfId="2346" priority="6241" operator="equal">
      <formula>"SC1-7"</formula>
    </cfRule>
    <cfRule type="cellIs" dxfId="2345" priority="6242" operator="equal">
      <formula>"B2-45"</formula>
    </cfRule>
  </conditionalFormatting>
  <conditionalFormatting sqref="I2105">
    <cfRule type="cellIs" dxfId="2344" priority="6239" operator="equal">
      <formula>"SC1-7"</formula>
    </cfRule>
    <cfRule type="cellIs" dxfId="2343" priority="6240" operator="equal">
      <formula>"B2-45"</formula>
    </cfRule>
  </conditionalFormatting>
  <conditionalFormatting sqref="I2098">
    <cfRule type="cellIs" dxfId="2342" priority="6233" operator="equal">
      <formula>"SC1-7"</formula>
    </cfRule>
    <cfRule type="cellIs" dxfId="2341" priority="6234" operator="equal">
      <formula>"B2-45"</formula>
    </cfRule>
  </conditionalFormatting>
  <conditionalFormatting sqref="I2099">
    <cfRule type="cellIs" dxfId="2340" priority="6231" operator="equal">
      <formula>"SC1-7"</formula>
    </cfRule>
    <cfRule type="cellIs" dxfId="2339" priority="6232" operator="equal">
      <formula>"B2-45"</formula>
    </cfRule>
  </conditionalFormatting>
  <conditionalFormatting sqref="I2100">
    <cfRule type="cellIs" dxfId="2338" priority="6229" operator="equal">
      <formula>"SC1-7"</formula>
    </cfRule>
    <cfRule type="cellIs" dxfId="2337" priority="6230" operator="equal">
      <formula>"B2-45"</formula>
    </cfRule>
  </conditionalFormatting>
  <conditionalFormatting sqref="I2101">
    <cfRule type="cellIs" dxfId="2336" priority="6227" operator="equal">
      <formula>"SC1-7"</formula>
    </cfRule>
    <cfRule type="cellIs" dxfId="2335" priority="6228" operator="equal">
      <formula>"B2-45"</formula>
    </cfRule>
  </conditionalFormatting>
  <conditionalFormatting sqref="I2102">
    <cfRule type="cellIs" dxfId="2334" priority="6225" operator="equal">
      <formula>"SC1-7"</formula>
    </cfRule>
    <cfRule type="cellIs" dxfId="2333" priority="6226" operator="equal">
      <formula>"B2-45"</formula>
    </cfRule>
  </conditionalFormatting>
  <conditionalFormatting sqref="I2103:I2105">
    <cfRule type="cellIs" dxfId="2332" priority="6223" operator="equal">
      <formula>"SC1-7"</formula>
    </cfRule>
    <cfRule type="cellIs" dxfId="2331" priority="6224" operator="equal">
      <formula>"B2-45"</formula>
    </cfRule>
  </conditionalFormatting>
  <conditionalFormatting sqref="I2104">
    <cfRule type="cellIs" dxfId="2330" priority="6221" operator="equal">
      <formula>"SC1-7"</formula>
    </cfRule>
    <cfRule type="cellIs" dxfId="2329" priority="6222" operator="equal">
      <formula>"B2-45"</formula>
    </cfRule>
  </conditionalFormatting>
  <conditionalFormatting sqref="I2067:I2072">
    <cfRule type="cellIs" dxfId="2328" priority="6219" operator="equal">
      <formula>"SC1-7"</formula>
    </cfRule>
    <cfRule type="cellIs" dxfId="2327" priority="6220" operator="equal">
      <formula>"B2-45"</formula>
    </cfRule>
  </conditionalFormatting>
  <conditionalFormatting sqref="I2067">
    <cfRule type="cellIs" dxfId="2326" priority="6217" operator="equal">
      <formula>"SC1-7"</formula>
    </cfRule>
    <cfRule type="cellIs" dxfId="2325" priority="6218" operator="equal">
      <formula>"B2-45"</formula>
    </cfRule>
  </conditionalFormatting>
  <conditionalFormatting sqref="I2068">
    <cfRule type="cellIs" dxfId="2324" priority="6215" operator="equal">
      <formula>"SC1-7"</formula>
    </cfRule>
    <cfRule type="cellIs" dxfId="2323" priority="6216" operator="equal">
      <formula>"B2-45"</formula>
    </cfRule>
  </conditionalFormatting>
  <conditionalFormatting sqref="I2088">
    <cfRule type="cellIs" dxfId="2322" priority="6185" operator="equal">
      <formula>"SC1-7"</formula>
    </cfRule>
    <cfRule type="cellIs" dxfId="2321" priority="6186" operator="equal">
      <formula>"B2-45"</formula>
    </cfRule>
  </conditionalFormatting>
  <conditionalFormatting sqref="I2073">
    <cfRule type="cellIs" dxfId="2320" priority="6183" operator="equal">
      <formula>"SC1-7"</formula>
    </cfRule>
    <cfRule type="cellIs" dxfId="2319" priority="6184" operator="equal">
      <formula>"B2-45"</formula>
    </cfRule>
  </conditionalFormatting>
  <conditionalFormatting sqref="I2074">
    <cfRule type="cellIs" dxfId="2318" priority="6175" operator="equal">
      <formula>"SC1-7"</formula>
    </cfRule>
    <cfRule type="cellIs" dxfId="2317" priority="6176" operator="equal">
      <formula>"B2-45"</formula>
    </cfRule>
  </conditionalFormatting>
  <conditionalFormatting sqref="I2078">
    <cfRule type="cellIs" dxfId="2316" priority="6179" operator="equal">
      <formula>"SC1-7"</formula>
    </cfRule>
    <cfRule type="cellIs" dxfId="2315" priority="6180" operator="equal">
      <formula>"B2-45"</formula>
    </cfRule>
  </conditionalFormatting>
  <conditionalFormatting sqref="I2077">
    <cfRule type="cellIs" dxfId="2314" priority="6177" operator="equal">
      <formula>"SC1-7"</formula>
    </cfRule>
    <cfRule type="cellIs" dxfId="2313" priority="6178" operator="equal">
      <formula>"B2-45"</formula>
    </cfRule>
  </conditionalFormatting>
  <conditionalFormatting sqref="I2075">
    <cfRule type="cellIs" dxfId="2312" priority="6171" operator="equal">
      <formula>"SC1-7"</formula>
    </cfRule>
    <cfRule type="cellIs" dxfId="2311" priority="6172" operator="equal">
      <formula>"B2-45"</formula>
    </cfRule>
  </conditionalFormatting>
  <conditionalFormatting sqref="I2076:I2079">
    <cfRule type="cellIs" dxfId="2310" priority="6169" operator="equal">
      <formula>"SC1-7"</formula>
    </cfRule>
    <cfRule type="cellIs" dxfId="2309" priority="6170" operator="equal">
      <formula>"B2-45"</formula>
    </cfRule>
  </conditionalFormatting>
  <conditionalFormatting sqref="I2080">
    <cfRule type="cellIs" dxfId="2308" priority="6167" operator="equal">
      <formula>"SC1-7"</formula>
    </cfRule>
    <cfRule type="cellIs" dxfId="2307" priority="6168" operator="equal">
      <formula>"B2-45"</formula>
    </cfRule>
  </conditionalFormatting>
  <conditionalFormatting sqref="I2081">
    <cfRule type="cellIs" dxfId="2306" priority="6165" operator="equal">
      <formula>"SC1-7"</formula>
    </cfRule>
    <cfRule type="cellIs" dxfId="2305" priority="6166" operator="equal">
      <formula>"B2-45"</formula>
    </cfRule>
  </conditionalFormatting>
  <conditionalFormatting sqref="I2083">
    <cfRule type="cellIs" dxfId="2304" priority="6159" operator="equal">
      <formula>"SC1-7"</formula>
    </cfRule>
    <cfRule type="cellIs" dxfId="2303" priority="6160" operator="equal">
      <formula>"B2-45"</formula>
    </cfRule>
  </conditionalFormatting>
  <conditionalFormatting sqref="I1993:I1998">
    <cfRule type="cellIs" dxfId="2302" priority="6157" operator="equal">
      <formula>"SC1-7"</formula>
    </cfRule>
    <cfRule type="cellIs" dxfId="2301" priority="6158" operator="equal">
      <formula>"B2-45"</formula>
    </cfRule>
  </conditionalFormatting>
  <conditionalFormatting sqref="I1993">
    <cfRule type="cellIs" dxfId="2300" priority="6155" operator="equal">
      <formula>"SC1-7"</formula>
    </cfRule>
    <cfRule type="cellIs" dxfId="2299" priority="6156" operator="equal">
      <formula>"B2-45"</formula>
    </cfRule>
  </conditionalFormatting>
  <conditionalFormatting sqref="I1994">
    <cfRule type="cellIs" dxfId="2298" priority="6153" operator="equal">
      <formula>"SC1-7"</formula>
    </cfRule>
    <cfRule type="cellIs" dxfId="2297" priority="6154" operator="equal">
      <formula>"B2-45"</formula>
    </cfRule>
  </conditionalFormatting>
  <conditionalFormatting sqref="I2017:I2037">
    <cfRule type="cellIs" dxfId="2296" priority="6121" operator="equal">
      <formula>"SC1-7"</formula>
    </cfRule>
    <cfRule type="cellIs" dxfId="2295" priority="6122" operator="equal">
      <formula>"B2-45"</formula>
    </cfRule>
  </conditionalFormatting>
  <conditionalFormatting sqref="I2038:I2066">
    <cfRule type="cellIs" dxfId="2294" priority="6119" operator="equal">
      <formula>"SC1-7"</formula>
    </cfRule>
    <cfRule type="cellIs" dxfId="2293" priority="6120" operator="equal">
      <formula>"B2-45"</formula>
    </cfRule>
  </conditionalFormatting>
  <conditionalFormatting sqref="I1999">
    <cfRule type="cellIs" dxfId="2292" priority="6117" operator="equal">
      <formula>"SC1-7"</formula>
    </cfRule>
    <cfRule type="cellIs" dxfId="2291" priority="6118" operator="equal">
      <formula>"B2-45"</formula>
    </cfRule>
  </conditionalFormatting>
  <conditionalFormatting sqref="I2000">
    <cfRule type="cellIs" dxfId="2290" priority="6109" operator="equal">
      <formula>"SC1-7"</formula>
    </cfRule>
    <cfRule type="cellIs" dxfId="2289" priority="6110" operator="equal">
      <formula>"B2-45"</formula>
    </cfRule>
  </conditionalFormatting>
  <conditionalFormatting sqref="I2011:I2016">
    <cfRule type="cellIs" dxfId="2288" priority="6115" operator="equal">
      <formula>"SC1-7"</formula>
    </cfRule>
    <cfRule type="cellIs" dxfId="2287" priority="6116" operator="equal">
      <formula>"B2-45"</formula>
    </cfRule>
  </conditionalFormatting>
  <conditionalFormatting sqref="I2001">
    <cfRule type="cellIs" dxfId="2286" priority="6107" operator="equal">
      <formula>"SC1-7"</formula>
    </cfRule>
    <cfRule type="cellIs" dxfId="2285" priority="6108" operator="equal">
      <formula>"B2-45"</formula>
    </cfRule>
  </conditionalFormatting>
  <conditionalFormatting sqref="I2010">
    <cfRule type="cellIs" dxfId="2284" priority="6113" operator="equal">
      <formula>"SC1-7"</formula>
    </cfRule>
    <cfRule type="cellIs" dxfId="2283" priority="6114" operator="equal">
      <formula>"B2-45"</formula>
    </cfRule>
  </conditionalFormatting>
  <conditionalFormatting sqref="I2009">
    <cfRule type="cellIs" dxfId="2282" priority="6111" operator="equal">
      <formula>"SC1-7"</formula>
    </cfRule>
    <cfRule type="cellIs" dxfId="2281" priority="6112" operator="equal">
      <formula>"B2-45"</formula>
    </cfRule>
  </conditionalFormatting>
  <conditionalFormatting sqref="I2002">
    <cfRule type="cellIs" dxfId="2280" priority="6105" operator="equal">
      <formula>"SC1-7"</formula>
    </cfRule>
    <cfRule type="cellIs" dxfId="2279" priority="6106" operator="equal">
      <formula>"B2-45"</formula>
    </cfRule>
  </conditionalFormatting>
  <conditionalFormatting sqref="I2003">
    <cfRule type="cellIs" dxfId="2278" priority="6103" operator="equal">
      <formula>"SC1-7"</formula>
    </cfRule>
    <cfRule type="cellIs" dxfId="2277" priority="6104" operator="equal">
      <formula>"B2-45"</formula>
    </cfRule>
  </conditionalFormatting>
  <conditionalFormatting sqref="I2004">
    <cfRule type="cellIs" dxfId="2276" priority="6101" operator="equal">
      <formula>"SC1-7"</formula>
    </cfRule>
    <cfRule type="cellIs" dxfId="2275" priority="6102" operator="equal">
      <formula>"B2-45"</formula>
    </cfRule>
  </conditionalFormatting>
  <conditionalFormatting sqref="I2005">
    <cfRule type="cellIs" dxfId="2274" priority="6099" operator="equal">
      <formula>"SC1-7"</formula>
    </cfRule>
    <cfRule type="cellIs" dxfId="2273" priority="6100" operator="equal">
      <formula>"B2-45"</formula>
    </cfRule>
  </conditionalFormatting>
  <conditionalFormatting sqref="I2006">
    <cfRule type="cellIs" dxfId="2272" priority="6097" operator="equal">
      <formula>"SC1-7"</formula>
    </cfRule>
    <cfRule type="cellIs" dxfId="2271" priority="6098" operator="equal">
      <formula>"B2-45"</formula>
    </cfRule>
  </conditionalFormatting>
  <conditionalFormatting sqref="I2007:I2009">
    <cfRule type="cellIs" dxfId="2270" priority="6095" operator="equal">
      <formula>"SC1-7"</formula>
    </cfRule>
    <cfRule type="cellIs" dxfId="2269" priority="6096" operator="equal">
      <formula>"B2-45"</formula>
    </cfRule>
  </conditionalFormatting>
  <conditionalFormatting sqref="I2008">
    <cfRule type="cellIs" dxfId="2268" priority="6093" operator="equal">
      <formula>"SC1-7"</formula>
    </cfRule>
    <cfRule type="cellIs" dxfId="2267" priority="6094" operator="equal">
      <formula>"B2-45"</formula>
    </cfRule>
  </conditionalFormatting>
  <conditionalFormatting sqref="I1963:I1968">
    <cfRule type="cellIs" dxfId="2266" priority="6091" operator="equal">
      <formula>"SC1-7"</formula>
    </cfRule>
    <cfRule type="cellIs" dxfId="2265" priority="6092" operator="equal">
      <formula>"B2-45"</formula>
    </cfRule>
  </conditionalFormatting>
  <conditionalFormatting sqref="I1963">
    <cfRule type="cellIs" dxfId="2264" priority="6089" operator="equal">
      <formula>"SC1-7"</formula>
    </cfRule>
    <cfRule type="cellIs" dxfId="2263" priority="6090" operator="equal">
      <formula>"B2-45"</formula>
    </cfRule>
  </conditionalFormatting>
  <conditionalFormatting sqref="I1964">
    <cfRule type="cellIs" dxfId="2262" priority="6087" operator="equal">
      <formula>"SC1-7"</formula>
    </cfRule>
    <cfRule type="cellIs" dxfId="2261" priority="6088" operator="equal">
      <formula>"B2-45"</formula>
    </cfRule>
  </conditionalFormatting>
  <conditionalFormatting sqref="I1969">
    <cfRule type="cellIs" dxfId="2260" priority="6055" operator="equal">
      <formula>"SC1-7"</formula>
    </cfRule>
    <cfRule type="cellIs" dxfId="2259" priority="6056" operator="equal">
      <formula>"B2-45"</formula>
    </cfRule>
  </conditionalFormatting>
  <conditionalFormatting sqref="I1970">
    <cfRule type="cellIs" dxfId="2258" priority="6047" operator="equal">
      <formula>"SC1-7"</formula>
    </cfRule>
    <cfRule type="cellIs" dxfId="2257" priority="6048" operator="equal">
      <formula>"B2-45"</formula>
    </cfRule>
  </conditionalFormatting>
  <conditionalFormatting sqref="I1981:I1986">
    <cfRule type="cellIs" dxfId="2256" priority="6053" operator="equal">
      <formula>"SC1-7"</formula>
    </cfRule>
    <cfRule type="cellIs" dxfId="2255" priority="6054" operator="equal">
      <formula>"B2-45"</formula>
    </cfRule>
  </conditionalFormatting>
  <conditionalFormatting sqref="I1971">
    <cfRule type="cellIs" dxfId="2254" priority="6045" operator="equal">
      <formula>"SC1-7"</formula>
    </cfRule>
    <cfRule type="cellIs" dxfId="2253" priority="6046" operator="equal">
      <formula>"B2-45"</formula>
    </cfRule>
  </conditionalFormatting>
  <conditionalFormatting sqref="I1980">
    <cfRule type="cellIs" dxfId="2252" priority="6051" operator="equal">
      <formula>"SC1-7"</formula>
    </cfRule>
    <cfRule type="cellIs" dxfId="2251" priority="6052" operator="equal">
      <formula>"B2-45"</formula>
    </cfRule>
  </conditionalFormatting>
  <conditionalFormatting sqref="I1979">
    <cfRule type="cellIs" dxfId="2250" priority="6049" operator="equal">
      <formula>"SC1-7"</formula>
    </cfRule>
    <cfRule type="cellIs" dxfId="2249" priority="6050" operator="equal">
      <formula>"B2-45"</formula>
    </cfRule>
  </conditionalFormatting>
  <conditionalFormatting sqref="I1972">
    <cfRule type="cellIs" dxfId="2248" priority="6043" operator="equal">
      <formula>"SC1-7"</formula>
    </cfRule>
    <cfRule type="cellIs" dxfId="2247" priority="6044" operator="equal">
      <formula>"B2-45"</formula>
    </cfRule>
  </conditionalFormatting>
  <conditionalFormatting sqref="I1973">
    <cfRule type="cellIs" dxfId="2246" priority="6041" operator="equal">
      <formula>"SC1-7"</formula>
    </cfRule>
    <cfRule type="cellIs" dxfId="2245" priority="6042" operator="equal">
      <formula>"B2-45"</formula>
    </cfRule>
  </conditionalFormatting>
  <conditionalFormatting sqref="I1974">
    <cfRule type="cellIs" dxfId="2244" priority="6039" operator="equal">
      <formula>"SC1-7"</formula>
    </cfRule>
    <cfRule type="cellIs" dxfId="2243" priority="6040" operator="equal">
      <formula>"B2-45"</formula>
    </cfRule>
  </conditionalFormatting>
  <conditionalFormatting sqref="I1975">
    <cfRule type="cellIs" dxfId="2242" priority="6037" operator="equal">
      <formula>"SC1-7"</formula>
    </cfRule>
    <cfRule type="cellIs" dxfId="2241" priority="6038" operator="equal">
      <formula>"B2-45"</formula>
    </cfRule>
  </conditionalFormatting>
  <conditionalFormatting sqref="I1976">
    <cfRule type="cellIs" dxfId="2240" priority="6035" operator="equal">
      <formula>"SC1-7"</formula>
    </cfRule>
    <cfRule type="cellIs" dxfId="2239" priority="6036" operator="equal">
      <formula>"B2-45"</formula>
    </cfRule>
  </conditionalFormatting>
  <conditionalFormatting sqref="I1977:I1979">
    <cfRule type="cellIs" dxfId="2238" priority="6033" operator="equal">
      <formula>"SC1-7"</formula>
    </cfRule>
    <cfRule type="cellIs" dxfId="2237" priority="6034" operator="equal">
      <formula>"B2-45"</formula>
    </cfRule>
  </conditionalFormatting>
  <conditionalFormatting sqref="I1978">
    <cfRule type="cellIs" dxfId="2236" priority="6031" operator="equal">
      <formula>"SC1-7"</formula>
    </cfRule>
    <cfRule type="cellIs" dxfId="2235" priority="6032" operator="equal">
      <formula>"B2-45"</formula>
    </cfRule>
  </conditionalFormatting>
  <conditionalFormatting sqref="I1911:I1916">
    <cfRule type="cellIs" dxfId="2234" priority="6029" operator="equal">
      <formula>"SC1-7"</formula>
    </cfRule>
    <cfRule type="cellIs" dxfId="2233" priority="6030" operator="equal">
      <formula>"B2-45"</formula>
    </cfRule>
  </conditionalFormatting>
  <conditionalFormatting sqref="I1911">
    <cfRule type="cellIs" dxfId="2232" priority="6027" operator="equal">
      <formula>"SC1-7"</formula>
    </cfRule>
    <cfRule type="cellIs" dxfId="2231" priority="6028" operator="equal">
      <formula>"B2-45"</formula>
    </cfRule>
  </conditionalFormatting>
  <conditionalFormatting sqref="I1912">
    <cfRule type="cellIs" dxfId="2230" priority="6025" operator="equal">
      <formula>"SC1-7"</formula>
    </cfRule>
    <cfRule type="cellIs" dxfId="2229" priority="6026" operator="equal">
      <formula>"B2-45"</formula>
    </cfRule>
  </conditionalFormatting>
  <conditionalFormatting sqref="I1935:I1955">
    <cfRule type="cellIs" dxfId="2228" priority="5993" operator="equal">
      <formula>"SC1-7"</formula>
    </cfRule>
    <cfRule type="cellIs" dxfId="2227" priority="5994" operator="equal">
      <formula>"B2-45"</formula>
    </cfRule>
  </conditionalFormatting>
  <conditionalFormatting sqref="I1956:I1962">
    <cfRule type="cellIs" dxfId="2226" priority="5991" operator="equal">
      <formula>"SC1-7"</formula>
    </cfRule>
    <cfRule type="cellIs" dxfId="2225" priority="5992" operator="equal">
      <formula>"B2-45"</formula>
    </cfRule>
  </conditionalFormatting>
  <conditionalFormatting sqref="I1917">
    <cfRule type="cellIs" dxfId="2224" priority="5989" operator="equal">
      <formula>"SC1-7"</formula>
    </cfRule>
    <cfRule type="cellIs" dxfId="2223" priority="5990" operator="equal">
      <formula>"B2-45"</formula>
    </cfRule>
  </conditionalFormatting>
  <conditionalFormatting sqref="I1918">
    <cfRule type="cellIs" dxfId="2222" priority="5981" operator="equal">
      <formula>"SC1-7"</formula>
    </cfRule>
    <cfRule type="cellIs" dxfId="2221" priority="5982" operator="equal">
      <formula>"B2-45"</formula>
    </cfRule>
  </conditionalFormatting>
  <conditionalFormatting sqref="I1929:I1934">
    <cfRule type="cellIs" dxfId="2220" priority="5987" operator="equal">
      <formula>"SC1-7"</formula>
    </cfRule>
    <cfRule type="cellIs" dxfId="2219" priority="5988" operator="equal">
      <formula>"B2-45"</formula>
    </cfRule>
  </conditionalFormatting>
  <conditionalFormatting sqref="I1919">
    <cfRule type="cellIs" dxfId="2218" priority="5979" operator="equal">
      <formula>"SC1-7"</formula>
    </cfRule>
    <cfRule type="cellIs" dxfId="2217" priority="5980" operator="equal">
      <formula>"B2-45"</formula>
    </cfRule>
  </conditionalFormatting>
  <conditionalFormatting sqref="I1928">
    <cfRule type="cellIs" dxfId="2216" priority="5985" operator="equal">
      <formula>"SC1-7"</formula>
    </cfRule>
    <cfRule type="cellIs" dxfId="2215" priority="5986" operator="equal">
      <formula>"B2-45"</formula>
    </cfRule>
  </conditionalFormatting>
  <conditionalFormatting sqref="I1927">
    <cfRule type="cellIs" dxfId="2214" priority="5983" operator="equal">
      <formula>"SC1-7"</formula>
    </cfRule>
    <cfRule type="cellIs" dxfId="2213" priority="5984" operator="equal">
      <formula>"B2-45"</formula>
    </cfRule>
  </conditionalFormatting>
  <conditionalFormatting sqref="I1920">
    <cfRule type="cellIs" dxfId="2212" priority="5977" operator="equal">
      <formula>"SC1-7"</formula>
    </cfRule>
    <cfRule type="cellIs" dxfId="2211" priority="5978" operator="equal">
      <formula>"B2-45"</formula>
    </cfRule>
  </conditionalFormatting>
  <conditionalFormatting sqref="I1921">
    <cfRule type="cellIs" dxfId="2210" priority="5975" operator="equal">
      <formula>"SC1-7"</formula>
    </cfRule>
    <cfRule type="cellIs" dxfId="2209" priority="5976" operator="equal">
      <formula>"B2-45"</formula>
    </cfRule>
  </conditionalFormatting>
  <conditionalFormatting sqref="I1922">
    <cfRule type="cellIs" dxfId="2208" priority="5973" operator="equal">
      <formula>"SC1-7"</formula>
    </cfRule>
    <cfRule type="cellIs" dxfId="2207" priority="5974" operator="equal">
      <formula>"B2-45"</formula>
    </cfRule>
  </conditionalFormatting>
  <conditionalFormatting sqref="I1923">
    <cfRule type="cellIs" dxfId="2206" priority="5971" operator="equal">
      <formula>"SC1-7"</formula>
    </cfRule>
    <cfRule type="cellIs" dxfId="2205" priority="5972" operator="equal">
      <formula>"B2-45"</formula>
    </cfRule>
  </conditionalFormatting>
  <conditionalFormatting sqref="I1924">
    <cfRule type="cellIs" dxfId="2204" priority="5969" operator="equal">
      <formula>"SC1-7"</formula>
    </cfRule>
    <cfRule type="cellIs" dxfId="2203" priority="5970" operator="equal">
      <formula>"B2-45"</formula>
    </cfRule>
  </conditionalFormatting>
  <conditionalFormatting sqref="I1925:I1927">
    <cfRule type="cellIs" dxfId="2202" priority="5967" operator="equal">
      <formula>"SC1-7"</formula>
    </cfRule>
    <cfRule type="cellIs" dxfId="2201" priority="5968" operator="equal">
      <formula>"B2-45"</formula>
    </cfRule>
  </conditionalFormatting>
  <conditionalFormatting sqref="I1926">
    <cfRule type="cellIs" dxfId="2200" priority="5965" operator="equal">
      <formula>"SC1-7"</formula>
    </cfRule>
    <cfRule type="cellIs" dxfId="2199" priority="5966" operator="equal">
      <formula>"B2-45"</formula>
    </cfRule>
  </conditionalFormatting>
  <conditionalFormatting sqref="I1899:I1904">
    <cfRule type="cellIs" dxfId="2198" priority="5963" operator="equal">
      <formula>"SC1-7"</formula>
    </cfRule>
    <cfRule type="cellIs" dxfId="2197" priority="5964" operator="equal">
      <formula>"B2-45"</formula>
    </cfRule>
  </conditionalFormatting>
  <conditionalFormatting sqref="I1899">
    <cfRule type="cellIs" dxfId="2196" priority="5961" operator="equal">
      <formula>"SC1-7"</formula>
    </cfRule>
    <cfRule type="cellIs" dxfId="2195" priority="5962" operator="equal">
      <formula>"B2-45"</formula>
    </cfRule>
  </conditionalFormatting>
  <conditionalFormatting sqref="I1900">
    <cfRule type="cellIs" dxfId="2194" priority="5959" operator="equal">
      <formula>"SC1-7"</formula>
    </cfRule>
    <cfRule type="cellIs" dxfId="2193" priority="5960" operator="equal">
      <formula>"B2-45"</formula>
    </cfRule>
  </conditionalFormatting>
  <conditionalFormatting sqref="I1905">
    <cfRule type="cellIs" dxfId="2192" priority="5945" operator="equal">
      <formula>"SC1-7"</formula>
    </cfRule>
    <cfRule type="cellIs" dxfId="2191" priority="5946" operator="equal">
      <formula>"B2-45"</formula>
    </cfRule>
  </conditionalFormatting>
  <conditionalFormatting sqref="I1906">
    <cfRule type="cellIs" dxfId="2190" priority="5943" operator="equal">
      <formula>"SC1-7"</formula>
    </cfRule>
    <cfRule type="cellIs" dxfId="2189" priority="5944" operator="equal">
      <formula>"B2-45"</formula>
    </cfRule>
  </conditionalFormatting>
  <conditionalFormatting sqref="I1907">
    <cfRule type="cellIs" dxfId="2188" priority="5941" operator="equal">
      <formula>"SC1-7"</formula>
    </cfRule>
    <cfRule type="cellIs" dxfId="2187" priority="5942" operator="equal">
      <formula>"B2-45"</formula>
    </cfRule>
  </conditionalFormatting>
  <conditionalFormatting sqref="I1908">
    <cfRule type="cellIs" dxfId="2186" priority="5939" operator="equal">
      <formula>"SC1-7"</formula>
    </cfRule>
    <cfRule type="cellIs" dxfId="2185" priority="5940" operator="equal">
      <formula>"B2-45"</formula>
    </cfRule>
  </conditionalFormatting>
  <conditionalFormatting sqref="I1909">
    <cfRule type="cellIs" dxfId="2184" priority="5937" operator="equal">
      <formula>"SC1-7"</formula>
    </cfRule>
    <cfRule type="cellIs" dxfId="2183" priority="5938" operator="equal">
      <formula>"B2-45"</formula>
    </cfRule>
  </conditionalFormatting>
  <conditionalFormatting sqref="I1910">
    <cfRule type="cellIs" dxfId="2182" priority="5935" operator="equal">
      <formula>"SC1-7"</formula>
    </cfRule>
    <cfRule type="cellIs" dxfId="2181" priority="5936" operator="equal">
      <formula>"B2-45"</formula>
    </cfRule>
  </conditionalFormatting>
  <conditionalFormatting sqref="I1868:I1873">
    <cfRule type="cellIs" dxfId="2180" priority="5933" operator="equal">
      <formula>"SC1-7"</formula>
    </cfRule>
    <cfRule type="cellIs" dxfId="2179" priority="5934" operator="equal">
      <formula>"B2-45"</formula>
    </cfRule>
  </conditionalFormatting>
  <conditionalFormatting sqref="I1868">
    <cfRule type="cellIs" dxfId="2178" priority="5931" operator="equal">
      <formula>"SC1-7"</formula>
    </cfRule>
    <cfRule type="cellIs" dxfId="2177" priority="5932" operator="equal">
      <formula>"B2-45"</formula>
    </cfRule>
  </conditionalFormatting>
  <conditionalFormatting sqref="I1869">
    <cfRule type="cellIs" dxfId="2176" priority="5929" operator="equal">
      <formula>"SC1-7"</formula>
    </cfRule>
    <cfRule type="cellIs" dxfId="2175" priority="5930" operator="equal">
      <formula>"B2-45"</formula>
    </cfRule>
  </conditionalFormatting>
  <conditionalFormatting sqref="I1892:I1898">
    <cfRule type="cellIs" dxfId="2174" priority="5899" operator="equal">
      <formula>"SC1-7"</formula>
    </cfRule>
    <cfRule type="cellIs" dxfId="2173" priority="5900" operator="equal">
      <formula>"B2-45"</formula>
    </cfRule>
  </conditionalFormatting>
  <conditionalFormatting sqref="I1874">
    <cfRule type="cellIs" dxfId="2172" priority="5897" operator="equal">
      <formula>"SC1-7"</formula>
    </cfRule>
    <cfRule type="cellIs" dxfId="2171" priority="5898" operator="equal">
      <formula>"B2-45"</formula>
    </cfRule>
  </conditionalFormatting>
  <conditionalFormatting sqref="I1875">
    <cfRule type="cellIs" dxfId="2170" priority="5889" operator="equal">
      <formula>"SC1-7"</formula>
    </cfRule>
    <cfRule type="cellIs" dxfId="2169" priority="5890" operator="equal">
      <formula>"B2-45"</formula>
    </cfRule>
  </conditionalFormatting>
  <conditionalFormatting sqref="I1886:I1891">
    <cfRule type="cellIs" dxfId="2168" priority="5895" operator="equal">
      <formula>"SC1-7"</formula>
    </cfRule>
    <cfRule type="cellIs" dxfId="2167" priority="5896" operator="equal">
      <formula>"B2-45"</formula>
    </cfRule>
  </conditionalFormatting>
  <conditionalFormatting sqref="I1876">
    <cfRule type="cellIs" dxfId="2166" priority="5887" operator="equal">
      <formula>"SC1-7"</formula>
    </cfRule>
    <cfRule type="cellIs" dxfId="2165" priority="5888" operator="equal">
      <formula>"B2-45"</formula>
    </cfRule>
  </conditionalFormatting>
  <conditionalFormatting sqref="I1885">
    <cfRule type="cellIs" dxfId="2164" priority="5893" operator="equal">
      <formula>"SC1-7"</formula>
    </cfRule>
    <cfRule type="cellIs" dxfId="2163" priority="5894" operator="equal">
      <formula>"B2-45"</formula>
    </cfRule>
  </conditionalFormatting>
  <conditionalFormatting sqref="I1884">
    <cfRule type="cellIs" dxfId="2162" priority="5891" operator="equal">
      <formula>"SC1-7"</formula>
    </cfRule>
    <cfRule type="cellIs" dxfId="2161" priority="5892" operator="equal">
      <formula>"B2-45"</formula>
    </cfRule>
  </conditionalFormatting>
  <conditionalFormatting sqref="I1877">
    <cfRule type="cellIs" dxfId="2160" priority="5885" operator="equal">
      <formula>"SC1-7"</formula>
    </cfRule>
    <cfRule type="cellIs" dxfId="2159" priority="5886" operator="equal">
      <formula>"B2-45"</formula>
    </cfRule>
  </conditionalFormatting>
  <conditionalFormatting sqref="I1878">
    <cfRule type="cellIs" dxfId="2158" priority="5883" operator="equal">
      <formula>"SC1-7"</formula>
    </cfRule>
    <cfRule type="cellIs" dxfId="2157" priority="5884" operator="equal">
      <formula>"B2-45"</formula>
    </cfRule>
  </conditionalFormatting>
  <conditionalFormatting sqref="I1879">
    <cfRule type="cellIs" dxfId="2156" priority="5881" operator="equal">
      <formula>"SC1-7"</formula>
    </cfRule>
    <cfRule type="cellIs" dxfId="2155" priority="5882" operator="equal">
      <formula>"B2-45"</formula>
    </cfRule>
  </conditionalFormatting>
  <conditionalFormatting sqref="I1880">
    <cfRule type="cellIs" dxfId="2154" priority="5879" operator="equal">
      <formula>"SC1-7"</formula>
    </cfRule>
    <cfRule type="cellIs" dxfId="2153" priority="5880" operator="equal">
      <formula>"B2-45"</formula>
    </cfRule>
  </conditionalFormatting>
  <conditionalFormatting sqref="I1881">
    <cfRule type="cellIs" dxfId="2152" priority="5877" operator="equal">
      <formula>"SC1-7"</formula>
    </cfRule>
    <cfRule type="cellIs" dxfId="2151" priority="5878" operator="equal">
      <formula>"B2-45"</formula>
    </cfRule>
  </conditionalFormatting>
  <conditionalFormatting sqref="I1882:I1884">
    <cfRule type="cellIs" dxfId="2150" priority="5875" operator="equal">
      <formula>"SC1-7"</formula>
    </cfRule>
    <cfRule type="cellIs" dxfId="2149" priority="5876" operator="equal">
      <formula>"B2-45"</formula>
    </cfRule>
  </conditionalFormatting>
  <conditionalFormatting sqref="I1883">
    <cfRule type="cellIs" dxfId="2148" priority="5873" operator="equal">
      <formula>"SC1-7"</formula>
    </cfRule>
    <cfRule type="cellIs" dxfId="2147" priority="5874" operator="equal">
      <formula>"B2-45"</formula>
    </cfRule>
  </conditionalFormatting>
  <conditionalFormatting sqref="I1858:I1863">
    <cfRule type="cellIs" dxfId="2146" priority="5871" operator="equal">
      <formula>"SC1-7"</formula>
    </cfRule>
    <cfRule type="cellIs" dxfId="2145" priority="5872" operator="equal">
      <formula>"B2-45"</formula>
    </cfRule>
  </conditionalFormatting>
  <conditionalFormatting sqref="I1858">
    <cfRule type="cellIs" dxfId="2144" priority="5869" operator="equal">
      <formula>"SC1-7"</formula>
    </cfRule>
    <cfRule type="cellIs" dxfId="2143" priority="5870" operator="equal">
      <formula>"B2-45"</formula>
    </cfRule>
  </conditionalFormatting>
  <conditionalFormatting sqref="I1859">
    <cfRule type="cellIs" dxfId="2142" priority="5867" operator="equal">
      <formula>"SC1-7"</formula>
    </cfRule>
    <cfRule type="cellIs" dxfId="2141" priority="5868" operator="equal">
      <formula>"B2-45"</formula>
    </cfRule>
  </conditionalFormatting>
  <conditionalFormatting sqref="I1864">
    <cfRule type="cellIs" dxfId="2140" priority="5857" operator="equal">
      <formula>"SC1-7"</formula>
    </cfRule>
    <cfRule type="cellIs" dxfId="2139" priority="5858" operator="equal">
      <formula>"B2-45"</formula>
    </cfRule>
  </conditionalFormatting>
  <conditionalFormatting sqref="I1865">
    <cfRule type="cellIs" dxfId="2138" priority="5855" operator="equal">
      <formula>"SC1-7"</formula>
    </cfRule>
    <cfRule type="cellIs" dxfId="2137" priority="5856" operator="equal">
      <formula>"B2-45"</formula>
    </cfRule>
  </conditionalFormatting>
  <conditionalFormatting sqref="I1866">
    <cfRule type="cellIs" dxfId="2136" priority="5853" operator="equal">
      <formula>"SC1-7"</formula>
    </cfRule>
    <cfRule type="cellIs" dxfId="2135" priority="5854" operator="equal">
      <formula>"B2-45"</formula>
    </cfRule>
  </conditionalFormatting>
  <conditionalFormatting sqref="I1867">
    <cfRule type="cellIs" dxfId="2134" priority="5851" operator="equal">
      <formula>"SC1-7"</formula>
    </cfRule>
    <cfRule type="cellIs" dxfId="2133" priority="5852" operator="equal">
      <formula>"B2-45"</formula>
    </cfRule>
  </conditionalFormatting>
  <conditionalFormatting sqref="I1844:I1849">
    <cfRule type="cellIs" dxfId="2132" priority="5849" operator="equal">
      <formula>"SC1-7"</formula>
    </cfRule>
    <cfRule type="cellIs" dxfId="2131" priority="5850" operator="equal">
      <formula>"B2-45"</formula>
    </cfRule>
  </conditionalFormatting>
  <conditionalFormatting sqref="I1844">
    <cfRule type="cellIs" dxfId="2130" priority="5847" operator="equal">
      <formula>"SC1-7"</formula>
    </cfRule>
    <cfRule type="cellIs" dxfId="2129" priority="5848" operator="equal">
      <formula>"B2-45"</formula>
    </cfRule>
  </conditionalFormatting>
  <conditionalFormatting sqref="I1845">
    <cfRule type="cellIs" dxfId="2128" priority="5845" operator="equal">
      <formula>"SC1-7"</formula>
    </cfRule>
    <cfRule type="cellIs" dxfId="2127" priority="5846" operator="equal">
      <formula>"B2-45"</formula>
    </cfRule>
  </conditionalFormatting>
  <conditionalFormatting sqref="I1850">
    <cfRule type="cellIs" dxfId="2126" priority="5827" operator="equal">
      <formula>"SC1-7"</formula>
    </cfRule>
    <cfRule type="cellIs" dxfId="2125" priority="5828" operator="equal">
      <formula>"B2-45"</formula>
    </cfRule>
  </conditionalFormatting>
  <conditionalFormatting sqref="I1851">
    <cfRule type="cellIs" dxfId="2124" priority="5825" operator="equal">
      <formula>"SC1-7"</formula>
    </cfRule>
    <cfRule type="cellIs" dxfId="2123" priority="5826" operator="equal">
      <formula>"B2-45"</formula>
    </cfRule>
  </conditionalFormatting>
  <conditionalFormatting sqref="I1852">
    <cfRule type="cellIs" dxfId="2122" priority="5823" operator="equal">
      <formula>"SC1-7"</formula>
    </cfRule>
    <cfRule type="cellIs" dxfId="2121" priority="5824" operator="equal">
      <formula>"B2-45"</formula>
    </cfRule>
  </conditionalFormatting>
  <conditionalFormatting sqref="I1853">
    <cfRule type="cellIs" dxfId="2120" priority="5821" operator="equal">
      <formula>"SC1-7"</formula>
    </cfRule>
    <cfRule type="cellIs" dxfId="2119" priority="5822" operator="equal">
      <formula>"B2-45"</formula>
    </cfRule>
  </conditionalFormatting>
  <conditionalFormatting sqref="I1854">
    <cfRule type="cellIs" dxfId="2118" priority="5819" operator="equal">
      <formula>"SC1-7"</formula>
    </cfRule>
    <cfRule type="cellIs" dxfId="2117" priority="5820" operator="equal">
      <formula>"B2-45"</formula>
    </cfRule>
  </conditionalFormatting>
  <conditionalFormatting sqref="I1855">
    <cfRule type="cellIs" dxfId="2116" priority="5817" operator="equal">
      <formula>"SC1-7"</formula>
    </cfRule>
    <cfRule type="cellIs" dxfId="2115" priority="5818" operator="equal">
      <formula>"B2-45"</formula>
    </cfRule>
  </conditionalFormatting>
  <conditionalFormatting sqref="I1856">
    <cfRule type="cellIs" dxfId="2114" priority="5815" operator="equal">
      <formula>"SC1-7"</formula>
    </cfRule>
    <cfRule type="cellIs" dxfId="2113" priority="5816" operator="equal">
      <formula>"B2-45"</formula>
    </cfRule>
  </conditionalFormatting>
  <conditionalFormatting sqref="I1857">
    <cfRule type="cellIs" dxfId="2112" priority="5813" operator="equal">
      <formula>"SC1-7"</formula>
    </cfRule>
    <cfRule type="cellIs" dxfId="2111" priority="5814" operator="equal">
      <formula>"B2-45"</formula>
    </cfRule>
  </conditionalFormatting>
  <conditionalFormatting sqref="I1810:I1815">
    <cfRule type="cellIs" dxfId="2110" priority="5749" operator="equal">
      <formula>"SC1-7"</formula>
    </cfRule>
    <cfRule type="cellIs" dxfId="2109" priority="5750" operator="equal">
      <formula>"B2-45"</formula>
    </cfRule>
  </conditionalFormatting>
  <conditionalFormatting sqref="I1810">
    <cfRule type="cellIs" dxfId="2108" priority="5747" operator="equal">
      <formula>"SC1-7"</formula>
    </cfRule>
    <cfRule type="cellIs" dxfId="2107" priority="5748" operator="equal">
      <formula>"B2-45"</formula>
    </cfRule>
  </conditionalFormatting>
  <conditionalFormatting sqref="I1811">
    <cfRule type="cellIs" dxfId="2106" priority="5745" operator="equal">
      <formula>"SC1-7"</formula>
    </cfRule>
    <cfRule type="cellIs" dxfId="2105" priority="5746" operator="equal">
      <formula>"B2-45"</formula>
    </cfRule>
  </conditionalFormatting>
  <conditionalFormatting sqref="I1816">
    <cfRule type="cellIs" dxfId="2104" priority="5713" operator="equal">
      <formula>"SC1-7"</formula>
    </cfRule>
    <cfRule type="cellIs" dxfId="2103" priority="5714" operator="equal">
      <formula>"B2-45"</formula>
    </cfRule>
  </conditionalFormatting>
  <conditionalFormatting sqref="I1817">
    <cfRule type="cellIs" dxfId="2102" priority="5705" operator="equal">
      <formula>"SC1-7"</formula>
    </cfRule>
    <cfRule type="cellIs" dxfId="2101" priority="5706" operator="equal">
      <formula>"B2-45"</formula>
    </cfRule>
  </conditionalFormatting>
  <conditionalFormatting sqref="I1827:I1832">
    <cfRule type="cellIs" dxfId="2100" priority="5711" operator="equal">
      <formula>"SC1-7"</formula>
    </cfRule>
    <cfRule type="cellIs" dxfId="2099" priority="5712" operator="equal">
      <formula>"B2-45"</formula>
    </cfRule>
  </conditionalFormatting>
  <conditionalFormatting sqref="I1818">
    <cfRule type="cellIs" dxfId="2098" priority="5703" operator="equal">
      <formula>"SC1-7"</formula>
    </cfRule>
    <cfRule type="cellIs" dxfId="2097" priority="5704" operator="equal">
      <formula>"B2-45"</formula>
    </cfRule>
  </conditionalFormatting>
  <conditionalFormatting sqref="I1826">
    <cfRule type="cellIs" dxfId="2096" priority="5709" operator="equal">
      <formula>"SC1-7"</formula>
    </cfRule>
    <cfRule type="cellIs" dxfId="2095" priority="5710" operator="equal">
      <formula>"B2-45"</formula>
    </cfRule>
  </conditionalFormatting>
  <conditionalFormatting sqref="I1825">
    <cfRule type="cellIs" dxfId="2094" priority="5707" operator="equal">
      <formula>"SC1-7"</formula>
    </cfRule>
    <cfRule type="cellIs" dxfId="2093" priority="5708" operator="equal">
      <formula>"B2-45"</formula>
    </cfRule>
  </conditionalFormatting>
  <conditionalFormatting sqref="I1819">
    <cfRule type="cellIs" dxfId="2092" priority="5701" operator="equal">
      <formula>"SC1-7"</formula>
    </cfRule>
    <cfRule type="cellIs" dxfId="2091" priority="5702" operator="equal">
      <formula>"B2-45"</formula>
    </cfRule>
  </conditionalFormatting>
  <conditionalFormatting sqref="I1820">
    <cfRule type="cellIs" dxfId="2090" priority="5699" operator="equal">
      <formula>"SC1-7"</formula>
    </cfRule>
    <cfRule type="cellIs" dxfId="2089" priority="5700" operator="equal">
      <formula>"B2-45"</formula>
    </cfRule>
  </conditionalFormatting>
  <conditionalFormatting sqref="I1821">
    <cfRule type="cellIs" dxfId="2088" priority="5697" operator="equal">
      <formula>"SC1-7"</formula>
    </cfRule>
    <cfRule type="cellIs" dxfId="2087" priority="5698" operator="equal">
      <formula>"B2-45"</formula>
    </cfRule>
  </conditionalFormatting>
  <conditionalFormatting sqref="I1822">
    <cfRule type="cellIs" dxfId="2086" priority="5695" operator="equal">
      <formula>"SC1-7"</formula>
    </cfRule>
    <cfRule type="cellIs" dxfId="2085" priority="5696" operator="equal">
      <formula>"B2-45"</formula>
    </cfRule>
  </conditionalFormatting>
  <conditionalFormatting sqref="I1823:I1825">
    <cfRule type="cellIs" dxfId="2084" priority="5691" operator="equal">
      <formula>"SC1-7"</formula>
    </cfRule>
    <cfRule type="cellIs" dxfId="2083" priority="5692" operator="equal">
      <formula>"B2-45"</formula>
    </cfRule>
  </conditionalFormatting>
  <conditionalFormatting sqref="I1824">
    <cfRule type="cellIs" dxfId="2082" priority="5689" operator="equal">
      <formula>"SC1-7"</formula>
    </cfRule>
    <cfRule type="cellIs" dxfId="2081" priority="5690" operator="equal">
      <formula>"B2-45"</formula>
    </cfRule>
  </conditionalFormatting>
  <conditionalFormatting sqref="I1800:I1805">
    <cfRule type="cellIs" dxfId="2080" priority="5687" operator="equal">
      <formula>"SC1-7"</formula>
    </cfRule>
    <cfRule type="cellIs" dxfId="2079" priority="5688" operator="equal">
      <formula>"B2-45"</formula>
    </cfRule>
  </conditionalFormatting>
  <conditionalFormatting sqref="I1800">
    <cfRule type="cellIs" dxfId="2078" priority="5685" operator="equal">
      <formula>"SC1-7"</formula>
    </cfRule>
    <cfRule type="cellIs" dxfId="2077" priority="5686" operator="equal">
      <formula>"B2-45"</formula>
    </cfRule>
  </conditionalFormatting>
  <conditionalFormatting sqref="I1801">
    <cfRule type="cellIs" dxfId="2076" priority="5683" operator="equal">
      <formula>"SC1-7"</formula>
    </cfRule>
    <cfRule type="cellIs" dxfId="2075" priority="5684" operator="equal">
      <formula>"B2-45"</formula>
    </cfRule>
  </conditionalFormatting>
  <conditionalFormatting sqref="I1806">
    <cfRule type="cellIs" dxfId="2074" priority="5673" operator="equal">
      <formula>"SC1-7"</formula>
    </cfRule>
    <cfRule type="cellIs" dxfId="2073" priority="5674" operator="equal">
      <formula>"B2-45"</formula>
    </cfRule>
  </conditionalFormatting>
  <conditionalFormatting sqref="I1807">
    <cfRule type="cellIs" dxfId="2072" priority="5671" operator="equal">
      <formula>"SC1-7"</formula>
    </cfRule>
    <cfRule type="cellIs" dxfId="2071" priority="5672" operator="equal">
      <formula>"B2-45"</formula>
    </cfRule>
  </conditionalFormatting>
  <conditionalFormatting sqref="I1808">
    <cfRule type="cellIs" dxfId="2070" priority="5669" operator="equal">
      <formula>"SC1-7"</formula>
    </cfRule>
    <cfRule type="cellIs" dxfId="2069" priority="5670" operator="equal">
      <formula>"B2-45"</formula>
    </cfRule>
  </conditionalFormatting>
  <conditionalFormatting sqref="I1809">
    <cfRule type="cellIs" dxfId="2068" priority="5667" operator="equal">
      <formula>"SC1-7"</formula>
    </cfRule>
    <cfRule type="cellIs" dxfId="2067" priority="5668" operator="equal">
      <formula>"B2-45"</formula>
    </cfRule>
  </conditionalFormatting>
  <conditionalFormatting sqref="I1791:I1796">
    <cfRule type="cellIs" dxfId="2066" priority="5665" operator="equal">
      <formula>"SC1-7"</formula>
    </cfRule>
    <cfRule type="cellIs" dxfId="2065" priority="5666" operator="equal">
      <formula>"B2-45"</formula>
    </cfRule>
  </conditionalFormatting>
  <conditionalFormatting sqref="I1791">
    <cfRule type="cellIs" dxfId="2064" priority="5663" operator="equal">
      <formula>"SC1-7"</formula>
    </cfRule>
    <cfRule type="cellIs" dxfId="2063" priority="5664" operator="equal">
      <formula>"B2-45"</formula>
    </cfRule>
  </conditionalFormatting>
  <conditionalFormatting sqref="I1792">
    <cfRule type="cellIs" dxfId="2062" priority="5661" operator="equal">
      <formula>"SC1-7"</formula>
    </cfRule>
    <cfRule type="cellIs" dxfId="2061" priority="5662" operator="equal">
      <formula>"B2-45"</formula>
    </cfRule>
  </conditionalFormatting>
  <conditionalFormatting sqref="I1797">
    <cfRule type="cellIs" dxfId="2060" priority="5653" operator="equal">
      <formula>"SC1-7"</formula>
    </cfRule>
    <cfRule type="cellIs" dxfId="2059" priority="5654" operator="equal">
      <formula>"B2-45"</formula>
    </cfRule>
  </conditionalFormatting>
  <conditionalFormatting sqref="I1798">
    <cfRule type="cellIs" dxfId="2058" priority="5651" operator="equal">
      <formula>"SC1-7"</formula>
    </cfRule>
    <cfRule type="cellIs" dxfId="2057" priority="5652" operator="equal">
      <formula>"B2-45"</formula>
    </cfRule>
  </conditionalFormatting>
  <conditionalFormatting sqref="I1799">
    <cfRule type="cellIs" dxfId="2056" priority="5649" operator="equal">
      <formula>"SC1-7"</formula>
    </cfRule>
    <cfRule type="cellIs" dxfId="2055" priority="5650" operator="equal">
      <formula>"B2-45"</formula>
    </cfRule>
  </conditionalFormatting>
  <conditionalFormatting sqref="I1782:I1787">
    <cfRule type="cellIs" dxfId="2054" priority="5647" operator="equal">
      <formula>"SC1-7"</formula>
    </cfRule>
    <cfRule type="cellIs" dxfId="2053" priority="5648" operator="equal">
      <formula>"B2-45"</formula>
    </cfRule>
  </conditionalFormatting>
  <conditionalFormatting sqref="I1782">
    <cfRule type="cellIs" dxfId="2052" priority="5645" operator="equal">
      <formula>"SC1-7"</formula>
    </cfRule>
    <cfRule type="cellIs" dxfId="2051" priority="5646" operator="equal">
      <formula>"B2-45"</formula>
    </cfRule>
  </conditionalFormatting>
  <conditionalFormatting sqref="I1783">
    <cfRule type="cellIs" dxfId="2050" priority="5643" operator="equal">
      <formula>"SC1-7"</formula>
    </cfRule>
    <cfRule type="cellIs" dxfId="2049" priority="5644" operator="equal">
      <formula>"B2-45"</formula>
    </cfRule>
  </conditionalFormatting>
  <conditionalFormatting sqref="I1788">
    <cfRule type="cellIs" dxfId="2048" priority="5635" operator="equal">
      <formula>"SC1-7"</formula>
    </cfRule>
    <cfRule type="cellIs" dxfId="2047" priority="5636" operator="equal">
      <formula>"B2-45"</formula>
    </cfRule>
  </conditionalFormatting>
  <conditionalFormatting sqref="I1789">
    <cfRule type="cellIs" dxfId="2046" priority="5633" operator="equal">
      <formula>"SC1-7"</formula>
    </cfRule>
    <cfRule type="cellIs" dxfId="2045" priority="5634" operator="equal">
      <formula>"B2-45"</formula>
    </cfRule>
  </conditionalFormatting>
  <conditionalFormatting sqref="I1790">
    <cfRule type="cellIs" dxfId="2044" priority="5631" operator="equal">
      <formula>"SC1-7"</formula>
    </cfRule>
    <cfRule type="cellIs" dxfId="2043" priority="5632" operator="equal">
      <formula>"B2-45"</formula>
    </cfRule>
  </conditionalFormatting>
  <conditionalFormatting sqref="I1773:I1778">
    <cfRule type="cellIs" dxfId="2042" priority="5629" operator="equal">
      <formula>"SC1-7"</formula>
    </cfRule>
    <cfRule type="cellIs" dxfId="2041" priority="5630" operator="equal">
      <formula>"B2-45"</formula>
    </cfRule>
  </conditionalFormatting>
  <conditionalFormatting sqref="I1773">
    <cfRule type="cellIs" dxfId="2040" priority="5627" operator="equal">
      <formula>"SC1-7"</formula>
    </cfRule>
    <cfRule type="cellIs" dxfId="2039" priority="5628" operator="equal">
      <formula>"B2-45"</formula>
    </cfRule>
  </conditionalFormatting>
  <conditionalFormatting sqref="I1774">
    <cfRule type="cellIs" dxfId="2038" priority="5625" operator="equal">
      <formula>"SC1-7"</formula>
    </cfRule>
    <cfRule type="cellIs" dxfId="2037" priority="5626" operator="equal">
      <formula>"B2-45"</formula>
    </cfRule>
  </conditionalFormatting>
  <conditionalFormatting sqref="I1779">
    <cfRule type="cellIs" dxfId="2036" priority="5617" operator="equal">
      <formula>"SC1-7"</formula>
    </cfRule>
    <cfRule type="cellIs" dxfId="2035" priority="5618" operator="equal">
      <formula>"B2-45"</formula>
    </cfRule>
  </conditionalFormatting>
  <conditionalFormatting sqref="I1780">
    <cfRule type="cellIs" dxfId="2034" priority="5615" operator="equal">
      <formula>"SC1-7"</formula>
    </cfRule>
    <cfRule type="cellIs" dxfId="2033" priority="5616" operator="equal">
      <formula>"B2-45"</formula>
    </cfRule>
  </conditionalFormatting>
  <conditionalFormatting sqref="I1781">
    <cfRule type="cellIs" dxfId="2032" priority="5613" operator="equal">
      <formula>"SC1-7"</formula>
    </cfRule>
    <cfRule type="cellIs" dxfId="2031" priority="5614" operator="equal">
      <formula>"B2-45"</formula>
    </cfRule>
  </conditionalFormatting>
  <conditionalFormatting sqref="I1762:I1767">
    <cfRule type="cellIs" dxfId="2030" priority="5611" operator="equal">
      <formula>"SC1-7"</formula>
    </cfRule>
    <cfRule type="cellIs" dxfId="2029" priority="5612" operator="equal">
      <formula>"B2-45"</formula>
    </cfRule>
  </conditionalFormatting>
  <conditionalFormatting sqref="I1762">
    <cfRule type="cellIs" dxfId="2028" priority="5609" operator="equal">
      <formula>"SC1-7"</formula>
    </cfRule>
    <cfRule type="cellIs" dxfId="2027" priority="5610" operator="equal">
      <formula>"B2-45"</formula>
    </cfRule>
  </conditionalFormatting>
  <conditionalFormatting sqref="I1763">
    <cfRule type="cellIs" dxfId="2026" priority="5607" operator="equal">
      <formula>"SC1-7"</formula>
    </cfRule>
    <cfRule type="cellIs" dxfId="2025" priority="5608" operator="equal">
      <formula>"B2-45"</formula>
    </cfRule>
  </conditionalFormatting>
  <conditionalFormatting sqref="I1768">
    <cfRule type="cellIs" dxfId="2024" priority="5595" operator="equal">
      <formula>"SC1-7"</formula>
    </cfRule>
    <cfRule type="cellIs" dxfId="2023" priority="5596" operator="equal">
      <formula>"B2-45"</formula>
    </cfRule>
  </conditionalFormatting>
  <conditionalFormatting sqref="I1769">
    <cfRule type="cellIs" dxfId="2022" priority="5593" operator="equal">
      <formula>"SC1-7"</formula>
    </cfRule>
    <cfRule type="cellIs" dxfId="2021" priority="5594" operator="equal">
      <formula>"B2-45"</formula>
    </cfRule>
  </conditionalFormatting>
  <conditionalFormatting sqref="I1770">
    <cfRule type="cellIs" dxfId="2020" priority="5591" operator="equal">
      <formula>"SC1-7"</formula>
    </cfRule>
    <cfRule type="cellIs" dxfId="2019" priority="5592" operator="equal">
      <formula>"B2-45"</formula>
    </cfRule>
  </conditionalFormatting>
  <conditionalFormatting sqref="I1771">
    <cfRule type="cellIs" dxfId="2018" priority="5589" operator="equal">
      <formula>"SC1-7"</formula>
    </cfRule>
    <cfRule type="cellIs" dxfId="2017" priority="5590" operator="equal">
      <formula>"B2-45"</formula>
    </cfRule>
  </conditionalFormatting>
  <conditionalFormatting sqref="I1772">
    <cfRule type="cellIs" dxfId="2016" priority="5587" operator="equal">
      <formula>"SC1-7"</formula>
    </cfRule>
    <cfRule type="cellIs" dxfId="2015" priority="5588" operator="equal">
      <formula>"B2-45"</formula>
    </cfRule>
  </conditionalFormatting>
  <conditionalFormatting sqref="I1749:I1754">
    <cfRule type="cellIs" dxfId="2014" priority="5585" operator="equal">
      <formula>"SC1-7"</formula>
    </cfRule>
    <cfRule type="cellIs" dxfId="2013" priority="5586" operator="equal">
      <formula>"B2-45"</formula>
    </cfRule>
  </conditionalFormatting>
  <conditionalFormatting sqref="I1749">
    <cfRule type="cellIs" dxfId="2012" priority="5583" operator="equal">
      <formula>"SC1-7"</formula>
    </cfRule>
    <cfRule type="cellIs" dxfId="2011" priority="5584" operator="equal">
      <formula>"B2-45"</formula>
    </cfRule>
  </conditionalFormatting>
  <conditionalFormatting sqref="I1750">
    <cfRule type="cellIs" dxfId="2010" priority="5581" operator="equal">
      <formula>"SC1-7"</formula>
    </cfRule>
    <cfRule type="cellIs" dxfId="2009" priority="5582" operator="equal">
      <formula>"B2-45"</formula>
    </cfRule>
  </conditionalFormatting>
  <conditionalFormatting sqref="I1755">
    <cfRule type="cellIs" dxfId="2008" priority="5565" operator="equal">
      <formula>"SC1-7"</formula>
    </cfRule>
    <cfRule type="cellIs" dxfId="2007" priority="5566" operator="equal">
      <formula>"B2-45"</formula>
    </cfRule>
  </conditionalFormatting>
  <conditionalFormatting sqref="I1756">
    <cfRule type="cellIs" dxfId="2006" priority="5563" operator="equal">
      <formula>"SC1-7"</formula>
    </cfRule>
    <cfRule type="cellIs" dxfId="2005" priority="5564" operator="equal">
      <formula>"B2-45"</formula>
    </cfRule>
  </conditionalFormatting>
  <conditionalFormatting sqref="I1757">
    <cfRule type="cellIs" dxfId="2004" priority="5561" operator="equal">
      <formula>"SC1-7"</formula>
    </cfRule>
    <cfRule type="cellIs" dxfId="2003" priority="5562" operator="equal">
      <formula>"B2-45"</formula>
    </cfRule>
  </conditionalFormatting>
  <conditionalFormatting sqref="I1758">
    <cfRule type="cellIs" dxfId="2002" priority="5559" operator="equal">
      <formula>"SC1-7"</formula>
    </cfRule>
    <cfRule type="cellIs" dxfId="2001" priority="5560" operator="equal">
      <formula>"B2-45"</formula>
    </cfRule>
  </conditionalFormatting>
  <conditionalFormatting sqref="I1759">
    <cfRule type="cellIs" dxfId="2000" priority="5557" operator="equal">
      <formula>"SC1-7"</formula>
    </cfRule>
    <cfRule type="cellIs" dxfId="1999" priority="5558" operator="equal">
      <formula>"B2-45"</formula>
    </cfRule>
  </conditionalFormatting>
  <conditionalFormatting sqref="I1760">
    <cfRule type="cellIs" dxfId="1998" priority="5555" operator="equal">
      <formula>"SC1-7"</formula>
    </cfRule>
    <cfRule type="cellIs" dxfId="1997" priority="5556" operator="equal">
      <formula>"B2-45"</formula>
    </cfRule>
  </conditionalFormatting>
  <conditionalFormatting sqref="I1761">
    <cfRule type="cellIs" dxfId="1996" priority="5553" operator="equal">
      <formula>"SC1-7"</formula>
    </cfRule>
    <cfRule type="cellIs" dxfId="1995" priority="5554" operator="equal">
      <formula>"B2-45"</formula>
    </cfRule>
  </conditionalFormatting>
  <conditionalFormatting sqref="I1726:I1731">
    <cfRule type="cellIs" dxfId="1994" priority="5435" operator="equal">
      <formula>"SC1-7"</formula>
    </cfRule>
    <cfRule type="cellIs" dxfId="1993" priority="5436" operator="equal">
      <formula>"B2-45"</formula>
    </cfRule>
  </conditionalFormatting>
  <conditionalFormatting sqref="I1726">
    <cfRule type="cellIs" dxfId="1992" priority="5433" operator="equal">
      <formula>"SC1-7"</formula>
    </cfRule>
    <cfRule type="cellIs" dxfId="1991" priority="5434" operator="equal">
      <formula>"B2-45"</formula>
    </cfRule>
  </conditionalFormatting>
  <conditionalFormatting sqref="I1727">
    <cfRule type="cellIs" dxfId="1990" priority="5431" operator="equal">
      <formula>"SC1-7"</formula>
    </cfRule>
    <cfRule type="cellIs" dxfId="1989" priority="5432" operator="equal">
      <formula>"B2-45"</formula>
    </cfRule>
  </conditionalFormatting>
  <conditionalFormatting sqref="I1732">
    <cfRule type="cellIs" dxfId="1988" priority="5403" operator="equal">
      <formula>"SC1-7"</formula>
    </cfRule>
    <cfRule type="cellIs" dxfId="1987" priority="5404" operator="equal">
      <formula>"B2-45"</formula>
    </cfRule>
  </conditionalFormatting>
  <conditionalFormatting sqref="I1733">
    <cfRule type="cellIs" dxfId="1986" priority="5395" operator="equal">
      <formula>"SC1-7"</formula>
    </cfRule>
    <cfRule type="cellIs" dxfId="1985" priority="5396" operator="equal">
      <formula>"B2-45"</formula>
    </cfRule>
  </conditionalFormatting>
  <conditionalFormatting sqref="I1744:I1748">
    <cfRule type="cellIs" dxfId="1984" priority="5401" operator="equal">
      <formula>"SC1-7"</formula>
    </cfRule>
    <cfRule type="cellIs" dxfId="1983" priority="5402" operator="equal">
      <formula>"B2-45"</formula>
    </cfRule>
  </conditionalFormatting>
  <conditionalFormatting sqref="I1734">
    <cfRule type="cellIs" dxfId="1982" priority="5393" operator="equal">
      <formula>"SC1-7"</formula>
    </cfRule>
    <cfRule type="cellIs" dxfId="1981" priority="5394" operator="equal">
      <formula>"B2-45"</formula>
    </cfRule>
  </conditionalFormatting>
  <conditionalFormatting sqref="I1743">
    <cfRule type="cellIs" dxfId="1980" priority="5399" operator="equal">
      <formula>"SC1-7"</formula>
    </cfRule>
    <cfRule type="cellIs" dxfId="1979" priority="5400" operator="equal">
      <formula>"B2-45"</formula>
    </cfRule>
  </conditionalFormatting>
  <conditionalFormatting sqref="I1742">
    <cfRule type="cellIs" dxfId="1978" priority="5397" operator="equal">
      <formula>"SC1-7"</formula>
    </cfRule>
    <cfRule type="cellIs" dxfId="1977" priority="5398" operator="equal">
      <formula>"B2-45"</formula>
    </cfRule>
  </conditionalFormatting>
  <conditionalFormatting sqref="I1735">
    <cfRule type="cellIs" dxfId="1976" priority="5391" operator="equal">
      <formula>"SC1-7"</formula>
    </cfRule>
    <cfRule type="cellIs" dxfId="1975" priority="5392" operator="equal">
      <formula>"B2-45"</formula>
    </cfRule>
  </conditionalFormatting>
  <conditionalFormatting sqref="I1736">
    <cfRule type="cellIs" dxfId="1974" priority="5389" operator="equal">
      <formula>"SC1-7"</formula>
    </cfRule>
    <cfRule type="cellIs" dxfId="1973" priority="5390" operator="equal">
      <formula>"B2-45"</formula>
    </cfRule>
  </conditionalFormatting>
  <conditionalFormatting sqref="I1737">
    <cfRule type="cellIs" dxfId="1972" priority="5387" operator="equal">
      <formula>"SC1-7"</formula>
    </cfRule>
    <cfRule type="cellIs" dxfId="1971" priority="5388" operator="equal">
      <formula>"B2-45"</formula>
    </cfRule>
  </conditionalFormatting>
  <conditionalFormatting sqref="I1738">
    <cfRule type="cellIs" dxfId="1970" priority="5385" operator="equal">
      <formula>"SC1-7"</formula>
    </cfRule>
    <cfRule type="cellIs" dxfId="1969" priority="5386" operator="equal">
      <formula>"B2-45"</formula>
    </cfRule>
  </conditionalFormatting>
  <conditionalFormatting sqref="I1739">
    <cfRule type="cellIs" dxfId="1968" priority="5383" operator="equal">
      <formula>"SC1-7"</formula>
    </cfRule>
    <cfRule type="cellIs" dxfId="1967" priority="5384" operator="equal">
      <formula>"B2-45"</formula>
    </cfRule>
  </conditionalFormatting>
  <conditionalFormatting sqref="I1740:I1742">
    <cfRule type="cellIs" dxfId="1966" priority="5381" operator="equal">
      <formula>"SC1-7"</formula>
    </cfRule>
    <cfRule type="cellIs" dxfId="1965" priority="5382" operator="equal">
      <formula>"B2-45"</formula>
    </cfRule>
  </conditionalFormatting>
  <conditionalFormatting sqref="I1741">
    <cfRule type="cellIs" dxfId="1964" priority="5379" operator="equal">
      <formula>"SC1-7"</formula>
    </cfRule>
    <cfRule type="cellIs" dxfId="1963" priority="5380" operator="equal">
      <formula>"B2-45"</formula>
    </cfRule>
  </conditionalFormatting>
  <conditionalFormatting sqref="I1714:I1719">
    <cfRule type="cellIs" dxfId="1962" priority="5347" operator="equal">
      <formula>"SC1-7"</formula>
    </cfRule>
    <cfRule type="cellIs" dxfId="1961" priority="5348" operator="equal">
      <formula>"B2-45"</formula>
    </cfRule>
  </conditionalFormatting>
  <conditionalFormatting sqref="I1714">
    <cfRule type="cellIs" dxfId="1960" priority="5345" operator="equal">
      <formula>"SC1-7"</formula>
    </cfRule>
    <cfRule type="cellIs" dxfId="1959" priority="5346" operator="equal">
      <formula>"B2-45"</formula>
    </cfRule>
  </conditionalFormatting>
  <conditionalFormatting sqref="I1715">
    <cfRule type="cellIs" dxfId="1958" priority="5343" operator="equal">
      <formula>"SC1-7"</formula>
    </cfRule>
    <cfRule type="cellIs" dxfId="1957" priority="5344" operator="equal">
      <formula>"B2-45"</formula>
    </cfRule>
  </conditionalFormatting>
  <conditionalFormatting sqref="I1720">
    <cfRule type="cellIs" dxfId="1956" priority="5329" operator="equal">
      <formula>"SC1-7"</formula>
    </cfRule>
    <cfRule type="cellIs" dxfId="1955" priority="5330" operator="equal">
      <formula>"B2-45"</formula>
    </cfRule>
  </conditionalFormatting>
  <conditionalFormatting sqref="I1721">
    <cfRule type="cellIs" dxfId="1954" priority="5327" operator="equal">
      <formula>"SC1-7"</formula>
    </cfRule>
    <cfRule type="cellIs" dxfId="1953" priority="5328" operator="equal">
      <formula>"B2-45"</formula>
    </cfRule>
  </conditionalFormatting>
  <conditionalFormatting sqref="I1722">
    <cfRule type="cellIs" dxfId="1952" priority="5325" operator="equal">
      <formula>"SC1-7"</formula>
    </cfRule>
    <cfRule type="cellIs" dxfId="1951" priority="5326" operator="equal">
      <formula>"B2-45"</formula>
    </cfRule>
  </conditionalFormatting>
  <conditionalFormatting sqref="I1723">
    <cfRule type="cellIs" dxfId="1950" priority="5323" operator="equal">
      <formula>"SC1-7"</formula>
    </cfRule>
    <cfRule type="cellIs" dxfId="1949" priority="5324" operator="equal">
      <formula>"B2-45"</formula>
    </cfRule>
  </conditionalFormatting>
  <conditionalFormatting sqref="I1724">
    <cfRule type="cellIs" dxfId="1948" priority="5321" operator="equal">
      <formula>"SC1-7"</formula>
    </cfRule>
    <cfRule type="cellIs" dxfId="1947" priority="5322" operator="equal">
      <formula>"B2-45"</formula>
    </cfRule>
  </conditionalFormatting>
  <conditionalFormatting sqref="I1725">
    <cfRule type="cellIs" dxfId="1946" priority="5319" operator="equal">
      <formula>"SC1-7"</formula>
    </cfRule>
    <cfRule type="cellIs" dxfId="1945" priority="5320" operator="equal">
      <formula>"B2-45"</formula>
    </cfRule>
  </conditionalFormatting>
  <conditionalFormatting sqref="I1657:I1662">
    <cfRule type="cellIs" dxfId="1944" priority="5055" operator="equal">
      <formula>"SC1-7"</formula>
    </cfRule>
    <cfRule type="cellIs" dxfId="1943" priority="5056" operator="equal">
      <formula>"B2-45"</formula>
    </cfRule>
  </conditionalFormatting>
  <conditionalFormatting sqref="I1657">
    <cfRule type="cellIs" dxfId="1942" priority="5053" operator="equal">
      <formula>"SC1-7"</formula>
    </cfRule>
    <cfRule type="cellIs" dxfId="1941" priority="5054" operator="equal">
      <formula>"B2-45"</formula>
    </cfRule>
  </conditionalFormatting>
  <conditionalFormatting sqref="I1658">
    <cfRule type="cellIs" dxfId="1940" priority="5051" operator="equal">
      <formula>"SC1-7"</formula>
    </cfRule>
    <cfRule type="cellIs" dxfId="1939" priority="5052" operator="equal">
      <formula>"B2-45"</formula>
    </cfRule>
  </conditionalFormatting>
  <conditionalFormatting sqref="I1681:I1701">
    <cfRule type="cellIs" dxfId="1938" priority="5019" operator="equal">
      <formula>"SC1-7"</formula>
    </cfRule>
    <cfRule type="cellIs" dxfId="1937" priority="5020" operator="equal">
      <formula>"B2-45"</formula>
    </cfRule>
  </conditionalFormatting>
  <conditionalFormatting sqref="I1702:I1713">
    <cfRule type="cellIs" dxfId="1936" priority="5017" operator="equal">
      <formula>"SC1-7"</formula>
    </cfRule>
    <cfRule type="cellIs" dxfId="1935" priority="5018" operator="equal">
      <formula>"B2-45"</formula>
    </cfRule>
  </conditionalFormatting>
  <conditionalFormatting sqref="I1663">
    <cfRule type="cellIs" dxfId="1934" priority="5015" operator="equal">
      <formula>"SC1-7"</formula>
    </cfRule>
    <cfRule type="cellIs" dxfId="1933" priority="5016" operator="equal">
      <formula>"B2-45"</formula>
    </cfRule>
  </conditionalFormatting>
  <conditionalFormatting sqref="I1664">
    <cfRule type="cellIs" dxfId="1932" priority="5007" operator="equal">
      <formula>"SC1-7"</formula>
    </cfRule>
    <cfRule type="cellIs" dxfId="1931" priority="5008" operator="equal">
      <formula>"B2-45"</formula>
    </cfRule>
  </conditionalFormatting>
  <conditionalFormatting sqref="I1675:I1680">
    <cfRule type="cellIs" dxfId="1930" priority="5013" operator="equal">
      <formula>"SC1-7"</formula>
    </cfRule>
    <cfRule type="cellIs" dxfId="1929" priority="5014" operator="equal">
      <formula>"B2-45"</formula>
    </cfRule>
  </conditionalFormatting>
  <conditionalFormatting sqref="I1665">
    <cfRule type="cellIs" dxfId="1928" priority="5005" operator="equal">
      <formula>"SC1-7"</formula>
    </cfRule>
    <cfRule type="cellIs" dxfId="1927" priority="5006" operator="equal">
      <formula>"B2-45"</formula>
    </cfRule>
  </conditionalFormatting>
  <conditionalFormatting sqref="I1674">
    <cfRule type="cellIs" dxfId="1926" priority="5011" operator="equal">
      <formula>"SC1-7"</formula>
    </cfRule>
    <cfRule type="cellIs" dxfId="1925" priority="5012" operator="equal">
      <formula>"B2-45"</formula>
    </cfRule>
  </conditionalFormatting>
  <conditionalFormatting sqref="I1673">
    <cfRule type="cellIs" dxfId="1924" priority="5009" operator="equal">
      <formula>"SC1-7"</formula>
    </cfRule>
    <cfRule type="cellIs" dxfId="1923" priority="5010" operator="equal">
      <formula>"B2-45"</formula>
    </cfRule>
  </conditionalFormatting>
  <conditionalFormatting sqref="I1666">
    <cfRule type="cellIs" dxfId="1922" priority="5003" operator="equal">
      <formula>"SC1-7"</formula>
    </cfRule>
    <cfRule type="cellIs" dxfId="1921" priority="5004" operator="equal">
      <formula>"B2-45"</formula>
    </cfRule>
  </conditionalFormatting>
  <conditionalFormatting sqref="I1667">
    <cfRule type="cellIs" dxfId="1920" priority="5001" operator="equal">
      <formula>"SC1-7"</formula>
    </cfRule>
    <cfRule type="cellIs" dxfId="1919" priority="5002" operator="equal">
      <formula>"B2-45"</formula>
    </cfRule>
  </conditionalFormatting>
  <conditionalFormatting sqref="I1668">
    <cfRule type="cellIs" dxfId="1918" priority="4999" operator="equal">
      <formula>"SC1-7"</formula>
    </cfRule>
    <cfRule type="cellIs" dxfId="1917" priority="5000" operator="equal">
      <formula>"B2-45"</formula>
    </cfRule>
  </conditionalFormatting>
  <conditionalFormatting sqref="I1669">
    <cfRule type="cellIs" dxfId="1916" priority="4997" operator="equal">
      <formula>"SC1-7"</formula>
    </cfRule>
    <cfRule type="cellIs" dxfId="1915" priority="4998" operator="equal">
      <formula>"B2-45"</formula>
    </cfRule>
  </conditionalFormatting>
  <conditionalFormatting sqref="I1670">
    <cfRule type="cellIs" dxfId="1914" priority="4995" operator="equal">
      <formula>"SC1-7"</formula>
    </cfRule>
    <cfRule type="cellIs" dxfId="1913" priority="4996" operator="equal">
      <formula>"B2-45"</formula>
    </cfRule>
  </conditionalFormatting>
  <conditionalFormatting sqref="I1671:I1673">
    <cfRule type="cellIs" dxfId="1912" priority="4993" operator="equal">
      <formula>"SC1-7"</formula>
    </cfRule>
    <cfRule type="cellIs" dxfId="1911" priority="4994" operator="equal">
      <formula>"B2-45"</formula>
    </cfRule>
  </conditionalFormatting>
  <conditionalFormatting sqref="I1672">
    <cfRule type="cellIs" dxfId="1910" priority="4991" operator="equal">
      <formula>"SC1-7"</formula>
    </cfRule>
    <cfRule type="cellIs" dxfId="1909" priority="4992" operator="equal">
      <formula>"B2-45"</formula>
    </cfRule>
  </conditionalFormatting>
  <conditionalFormatting sqref="I1632:I1637">
    <cfRule type="cellIs" dxfId="1908" priority="4989" operator="equal">
      <formula>"SC1-7"</formula>
    </cfRule>
    <cfRule type="cellIs" dxfId="1907" priority="4990" operator="equal">
      <formula>"B2-45"</formula>
    </cfRule>
  </conditionalFormatting>
  <conditionalFormatting sqref="I1632">
    <cfRule type="cellIs" dxfId="1906" priority="4987" operator="equal">
      <formula>"SC1-7"</formula>
    </cfRule>
    <cfRule type="cellIs" dxfId="1905" priority="4988" operator="equal">
      <formula>"B2-45"</formula>
    </cfRule>
  </conditionalFormatting>
  <conditionalFormatting sqref="I1633">
    <cfRule type="cellIs" dxfId="1904" priority="4985" operator="equal">
      <formula>"SC1-7"</formula>
    </cfRule>
    <cfRule type="cellIs" dxfId="1903" priority="4986" operator="equal">
      <formula>"B2-45"</formula>
    </cfRule>
  </conditionalFormatting>
  <conditionalFormatting sqref="I1656">
    <cfRule type="cellIs" dxfId="1902" priority="4955" operator="equal">
      <formula>"SC1-7"</formula>
    </cfRule>
    <cfRule type="cellIs" dxfId="1901" priority="4956" operator="equal">
      <formula>"B2-45"</formula>
    </cfRule>
  </conditionalFormatting>
  <conditionalFormatting sqref="I1638">
    <cfRule type="cellIs" dxfId="1900" priority="4953" operator="equal">
      <formula>"SC1-7"</formula>
    </cfRule>
    <cfRule type="cellIs" dxfId="1899" priority="4954" operator="equal">
      <formula>"B2-45"</formula>
    </cfRule>
  </conditionalFormatting>
  <conditionalFormatting sqref="I1639">
    <cfRule type="cellIs" dxfId="1898" priority="4945" operator="equal">
      <formula>"SC1-7"</formula>
    </cfRule>
    <cfRule type="cellIs" dxfId="1897" priority="4946" operator="equal">
      <formula>"B2-45"</formula>
    </cfRule>
  </conditionalFormatting>
  <conditionalFormatting sqref="I1650:I1655">
    <cfRule type="cellIs" dxfId="1896" priority="4951" operator="equal">
      <formula>"SC1-7"</formula>
    </cfRule>
    <cfRule type="cellIs" dxfId="1895" priority="4952" operator="equal">
      <formula>"B2-45"</formula>
    </cfRule>
  </conditionalFormatting>
  <conditionalFormatting sqref="I1640">
    <cfRule type="cellIs" dxfId="1894" priority="4943" operator="equal">
      <formula>"SC1-7"</formula>
    </cfRule>
    <cfRule type="cellIs" dxfId="1893" priority="4944" operator="equal">
      <formula>"B2-45"</formula>
    </cfRule>
  </conditionalFormatting>
  <conditionalFormatting sqref="I1649">
    <cfRule type="cellIs" dxfId="1892" priority="4949" operator="equal">
      <formula>"SC1-7"</formula>
    </cfRule>
    <cfRule type="cellIs" dxfId="1891" priority="4950" operator="equal">
      <formula>"B2-45"</formula>
    </cfRule>
  </conditionalFormatting>
  <conditionalFormatting sqref="I1648">
    <cfRule type="cellIs" dxfId="1890" priority="4947" operator="equal">
      <formula>"SC1-7"</formula>
    </cfRule>
    <cfRule type="cellIs" dxfId="1889" priority="4948" operator="equal">
      <formula>"B2-45"</formula>
    </cfRule>
  </conditionalFormatting>
  <conditionalFormatting sqref="I1641">
    <cfRule type="cellIs" dxfId="1888" priority="4941" operator="equal">
      <formula>"SC1-7"</formula>
    </cfRule>
    <cfRule type="cellIs" dxfId="1887" priority="4942" operator="equal">
      <formula>"B2-45"</formula>
    </cfRule>
  </conditionalFormatting>
  <conditionalFormatting sqref="I1642">
    <cfRule type="cellIs" dxfId="1886" priority="4939" operator="equal">
      <formula>"SC1-7"</formula>
    </cfRule>
    <cfRule type="cellIs" dxfId="1885" priority="4940" operator="equal">
      <formula>"B2-45"</formula>
    </cfRule>
  </conditionalFormatting>
  <conditionalFormatting sqref="I1643">
    <cfRule type="cellIs" dxfId="1884" priority="4937" operator="equal">
      <formula>"SC1-7"</formula>
    </cfRule>
    <cfRule type="cellIs" dxfId="1883" priority="4938" operator="equal">
      <formula>"B2-45"</formula>
    </cfRule>
  </conditionalFormatting>
  <conditionalFormatting sqref="I1644">
    <cfRule type="cellIs" dxfId="1882" priority="4935" operator="equal">
      <formula>"SC1-7"</formula>
    </cfRule>
    <cfRule type="cellIs" dxfId="1881" priority="4936" operator="equal">
      <formula>"B2-45"</formula>
    </cfRule>
  </conditionalFormatting>
  <conditionalFormatting sqref="I1645">
    <cfRule type="cellIs" dxfId="1880" priority="4933" operator="equal">
      <formula>"SC1-7"</formula>
    </cfRule>
    <cfRule type="cellIs" dxfId="1879" priority="4934" operator="equal">
      <formula>"B2-45"</formula>
    </cfRule>
  </conditionalFormatting>
  <conditionalFormatting sqref="I1646:I1648">
    <cfRule type="cellIs" dxfId="1878" priority="4931" operator="equal">
      <formula>"SC1-7"</formula>
    </cfRule>
    <cfRule type="cellIs" dxfId="1877" priority="4932" operator="equal">
      <formula>"B2-45"</formula>
    </cfRule>
  </conditionalFormatting>
  <conditionalFormatting sqref="I1647">
    <cfRule type="cellIs" dxfId="1876" priority="4929" operator="equal">
      <formula>"SC1-7"</formula>
    </cfRule>
    <cfRule type="cellIs" dxfId="1875" priority="4930" operator="equal">
      <formula>"B2-45"</formula>
    </cfRule>
  </conditionalFormatting>
  <conditionalFormatting sqref="I1623:I1628">
    <cfRule type="cellIs" dxfId="1874" priority="4927" operator="equal">
      <formula>"SC1-7"</formula>
    </cfRule>
    <cfRule type="cellIs" dxfId="1873" priority="4928" operator="equal">
      <formula>"B2-45"</formula>
    </cfRule>
  </conditionalFormatting>
  <conditionalFormatting sqref="I1623">
    <cfRule type="cellIs" dxfId="1872" priority="4925" operator="equal">
      <formula>"SC1-7"</formula>
    </cfRule>
    <cfRule type="cellIs" dxfId="1871" priority="4926" operator="equal">
      <formula>"B2-45"</formula>
    </cfRule>
  </conditionalFormatting>
  <conditionalFormatting sqref="I1624">
    <cfRule type="cellIs" dxfId="1870" priority="4923" operator="equal">
      <formula>"SC1-7"</formula>
    </cfRule>
    <cfRule type="cellIs" dxfId="1869" priority="4924" operator="equal">
      <formula>"B2-45"</formula>
    </cfRule>
  </conditionalFormatting>
  <conditionalFormatting sqref="I1629">
    <cfRule type="cellIs" dxfId="1868" priority="4915" operator="equal">
      <formula>"SC1-7"</formula>
    </cfRule>
    <cfRule type="cellIs" dxfId="1867" priority="4916" operator="equal">
      <formula>"B2-45"</formula>
    </cfRule>
  </conditionalFormatting>
  <conditionalFormatting sqref="I1630">
    <cfRule type="cellIs" dxfId="1866" priority="4913" operator="equal">
      <formula>"SC1-7"</formula>
    </cfRule>
    <cfRule type="cellIs" dxfId="1865" priority="4914" operator="equal">
      <formula>"B2-45"</formula>
    </cfRule>
  </conditionalFormatting>
  <conditionalFormatting sqref="I1631">
    <cfRule type="cellIs" dxfId="1864" priority="4911" operator="equal">
      <formula>"SC1-7"</formula>
    </cfRule>
    <cfRule type="cellIs" dxfId="1863" priority="4912" operator="equal">
      <formula>"B2-45"</formula>
    </cfRule>
  </conditionalFormatting>
  <conditionalFormatting sqref="I1614:I1619">
    <cfRule type="cellIs" dxfId="1862" priority="4909" operator="equal">
      <formula>"SC1-7"</formula>
    </cfRule>
    <cfRule type="cellIs" dxfId="1861" priority="4910" operator="equal">
      <formula>"B2-45"</formula>
    </cfRule>
  </conditionalFormatting>
  <conditionalFormatting sqref="I1614">
    <cfRule type="cellIs" dxfId="1860" priority="4907" operator="equal">
      <formula>"SC1-7"</formula>
    </cfRule>
    <cfRule type="cellIs" dxfId="1859" priority="4908" operator="equal">
      <formula>"B2-45"</formula>
    </cfRule>
  </conditionalFormatting>
  <conditionalFormatting sqref="I1615">
    <cfRule type="cellIs" dxfId="1858" priority="4905" operator="equal">
      <formula>"SC1-7"</formula>
    </cfRule>
    <cfRule type="cellIs" dxfId="1857" priority="4906" operator="equal">
      <formula>"B2-45"</formula>
    </cfRule>
  </conditionalFormatting>
  <conditionalFormatting sqref="I1620">
    <cfRule type="cellIs" dxfId="1856" priority="4897" operator="equal">
      <formula>"SC1-7"</formula>
    </cfRule>
    <cfRule type="cellIs" dxfId="1855" priority="4898" operator="equal">
      <formula>"B2-45"</formula>
    </cfRule>
  </conditionalFormatting>
  <conditionalFormatting sqref="I1621">
    <cfRule type="cellIs" dxfId="1854" priority="4895" operator="equal">
      <formula>"SC1-7"</formula>
    </cfRule>
    <cfRule type="cellIs" dxfId="1853" priority="4896" operator="equal">
      <formula>"B2-45"</formula>
    </cfRule>
  </conditionalFormatting>
  <conditionalFormatting sqref="I1622">
    <cfRule type="cellIs" dxfId="1852" priority="4893" operator="equal">
      <formula>"SC1-7"</formula>
    </cfRule>
    <cfRule type="cellIs" dxfId="1851" priority="4894" operator="equal">
      <formula>"B2-45"</formula>
    </cfRule>
  </conditionalFormatting>
  <conditionalFormatting sqref="I1604:I1609">
    <cfRule type="cellIs" dxfId="1850" priority="4891" operator="equal">
      <formula>"SC1-7"</formula>
    </cfRule>
    <cfRule type="cellIs" dxfId="1849" priority="4892" operator="equal">
      <formula>"B2-45"</formula>
    </cfRule>
  </conditionalFormatting>
  <conditionalFormatting sqref="I1604">
    <cfRule type="cellIs" dxfId="1848" priority="4889" operator="equal">
      <formula>"SC1-7"</formula>
    </cfRule>
    <cfRule type="cellIs" dxfId="1847" priority="4890" operator="equal">
      <formula>"B2-45"</formula>
    </cfRule>
  </conditionalFormatting>
  <conditionalFormatting sqref="I1605">
    <cfRule type="cellIs" dxfId="1846" priority="4887" operator="equal">
      <formula>"SC1-7"</formula>
    </cfRule>
    <cfRule type="cellIs" dxfId="1845" priority="4888" operator="equal">
      <formula>"B2-45"</formula>
    </cfRule>
  </conditionalFormatting>
  <conditionalFormatting sqref="I1610">
    <cfRule type="cellIs" dxfId="1844" priority="4877" operator="equal">
      <formula>"SC1-7"</formula>
    </cfRule>
    <cfRule type="cellIs" dxfId="1843" priority="4878" operator="equal">
      <formula>"B2-45"</formula>
    </cfRule>
  </conditionalFormatting>
  <conditionalFormatting sqref="I1611">
    <cfRule type="cellIs" dxfId="1842" priority="4875" operator="equal">
      <formula>"SC1-7"</formula>
    </cfRule>
    <cfRule type="cellIs" dxfId="1841" priority="4876" operator="equal">
      <formula>"B2-45"</formula>
    </cfRule>
  </conditionalFormatting>
  <conditionalFormatting sqref="I1612">
    <cfRule type="cellIs" dxfId="1840" priority="4873" operator="equal">
      <formula>"SC1-7"</formula>
    </cfRule>
    <cfRule type="cellIs" dxfId="1839" priority="4874" operator="equal">
      <formula>"B2-45"</formula>
    </cfRule>
  </conditionalFormatting>
  <conditionalFormatting sqref="I1613">
    <cfRule type="cellIs" dxfId="1838" priority="4871" operator="equal">
      <formula>"SC1-7"</formula>
    </cfRule>
    <cfRule type="cellIs" dxfId="1837" priority="4872" operator="equal">
      <formula>"B2-45"</formula>
    </cfRule>
  </conditionalFormatting>
  <conditionalFormatting sqref="I1574:I1579">
    <cfRule type="cellIs" dxfId="1836" priority="4869" operator="equal">
      <formula>"SC1-7"</formula>
    </cfRule>
    <cfRule type="cellIs" dxfId="1835" priority="4870" operator="equal">
      <formula>"B2-45"</formula>
    </cfRule>
  </conditionalFormatting>
  <conditionalFormatting sqref="I1574">
    <cfRule type="cellIs" dxfId="1834" priority="4867" operator="equal">
      <formula>"SC1-7"</formula>
    </cfRule>
    <cfRule type="cellIs" dxfId="1833" priority="4868" operator="equal">
      <formula>"B2-45"</formula>
    </cfRule>
  </conditionalFormatting>
  <conditionalFormatting sqref="I1575">
    <cfRule type="cellIs" dxfId="1832" priority="4865" operator="equal">
      <formula>"SC1-7"</formula>
    </cfRule>
    <cfRule type="cellIs" dxfId="1831" priority="4866" operator="equal">
      <formula>"B2-45"</formula>
    </cfRule>
  </conditionalFormatting>
  <conditionalFormatting sqref="I1598:I1603">
    <cfRule type="cellIs" dxfId="1830" priority="4835" operator="equal">
      <formula>"SC1-7"</formula>
    </cfRule>
    <cfRule type="cellIs" dxfId="1829" priority="4836" operator="equal">
      <formula>"B2-45"</formula>
    </cfRule>
  </conditionalFormatting>
  <conditionalFormatting sqref="I1580">
    <cfRule type="cellIs" dxfId="1828" priority="4833" operator="equal">
      <formula>"SC1-7"</formula>
    </cfRule>
    <cfRule type="cellIs" dxfId="1827" priority="4834" operator="equal">
      <formula>"B2-45"</formula>
    </cfRule>
  </conditionalFormatting>
  <conditionalFormatting sqref="I1581">
    <cfRule type="cellIs" dxfId="1826" priority="4825" operator="equal">
      <formula>"SC1-7"</formula>
    </cfRule>
    <cfRule type="cellIs" dxfId="1825" priority="4826" operator="equal">
      <formula>"B2-45"</formula>
    </cfRule>
  </conditionalFormatting>
  <conditionalFormatting sqref="I1592:I1597">
    <cfRule type="cellIs" dxfId="1824" priority="4831" operator="equal">
      <formula>"SC1-7"</formula>
    </cfRule>
    <cfRule type="cellIs" dxfId="1823" priority="4832" operator="equal">
      <formula>"B2-45"</formula>
    </cfRule>
  </conditionalFormatting>
  <conditionalFormatting sqref="I1582">
    <cfRule type="cellIs" dxfId="1822" priority="4823" operator="equal">
      <formula>"SC1-7"</formula>
    </cfRule>
    <cfRule type="cellIs" dxfId="1821" priority="4824" operator="equal">
      <formula>"B2-45"</formula>
    </cfRule>
  </conditionalFormatting>
  <conditionalFormatting sqref="I1591">
    <cfRule type="cellIs" dxfId="1820" priority="4829" operator="equal">
      <formula>"SC1-7"</formula>
    </cfRule>
    <cfRule type="cellIs" dxfId="1819" priority="4830" operator="equal">
      <formula>"B2-45"</formula>
    </cfRule>
  </conditionalFormatting>
  <conditionalFormatting sqref="I1590">
    <cfRule type="cellIs" dxfId="1818" priority="4827" operator="equal">
      <formula>"SC1-7"</formula>
    </cfRule>
    <cfRule type="cellIs" dxfId="1817" priority="4828" operator="equal">
      <formula>"B2-45"</formula>
    </cfRule>
  </conditionalFormatting>
  <conditionalFormatting sqref="I1583">
    <cfRule type="cellIs" dxfId="1816" priority="4821" operator="equal">
      <formula>"SC1-7"</formula>
    </cfRule>
    <cfRule type="cellIs" dxfId="1815" priority="4822" operator="equal">
      <formula>"B2-45"</formula>
    </cfRule>
  </conditionalFormatting>
  <conditionalFormatting sqref="I1584">
    <cfRule type="cellIs" dxfId="1814" priority="4819" operator="equal">
      <formula>"SC1-7"</formula>
    </cfRule>
    <cfRule type="cellIs" dxfId="1813" priority="4820" operator="equal">
      <formula>"B2-45"</formula>
    </cfRule>
  </conditionalFormatting>
  <conditionalFormatting sqref="I1585">
    <cfRule type="cellIs" dxfId="1812" priority="4817" operator="equal">
      <formula>"SC1-7"</formula>
    </cfRule>
    <cfRule type="cellIs" dxfId="1811" priority="4818" operator="equal">
      <formula>"B2-45"</formula>
    </cfRule>
  </conditionalFormatting>
  <conditionalFormatting sqref="I1586">
    <cfRule type="cellIs" dxfId="1810" priority="4815" operator="equal">
      <formula>"SC1-7"</formula>
    </cfRule>
    <cfRule type="cellIs" dxfId="1809" priority="4816" operator="equal">
      <formula>"B2-45"</formula>
    </cfRule>
  </conditionalFormatting>
  <conditionalFormatting sqref="I1587">
    <cfRule type="cellIs" dxfId="1808" priority="4813" operator="equal">
      <formula>"SC1-7"</formula>
    </cfRule>
    <cfRule type="cellIs" dxfId="1807" priority="4814" operator="equal">
      <formula>"B2-45"</formula>
    </cfRule>
  </conditionalFormatting>
  <conditionalFormatting sqref="I1588:I1590">
    <cfRule type="cellIs" dxfId="1806" priority="4811" operator="equal">
      <formula>"SC1-7"</formula>
    </cfRule>
    <cfRule type="cellIs" dxfId="1805" priority="4812" operator="equal">
      <formula>"B2-45"</formula>
    </cfRule>
  </conditionalFormatting>
  <conditionalFormatting sqref="I1589">
    <cfRule type="cellIs" dxfId="1804" priority="4809" operator="equal">
      <formula>"SC1-7"</formula>
    </cfRule>
    <cfRule type="cellIs" dxfId="1803" priority="4810" operator="equal">
      <formula>"B2-45"</formula>
    </cfRule>
  </conditionalFormatting>
  <conditionalFormatting sqref="I1550:I1555">
    <cfRule type="cellIs" dxfId="1802" priority="4807" operator="equal">
      <formula>"SC1-7"</formula>
    </cfRule>
    <cfRule type="cellIs" dxfId="1801" priority="4808" operator="equal">
      <formula>"B2-45"</formula>
    </cfRule>
  </conditionalFormatting>
  <conditionalFormatting sqref="I1550">
    <cfRule type="cellIs" dxfId="1800" priority="4805" operator="equal">
      <formula>"SC1-7"</formula>
    </cfRule>
    <cfRule type="cellIs" dxfId="1799" priority="4806" operator="equal">
      <formula>"B2-45"</formula>
    </cfRule>
  </conditionalFormatting>
  <conditionalFormatting sqref="I1551">
    <cfRule type="cellIs" dxfId="1798" priority="4803" operator="equal">
      <formula>"SC1-7"</formula>
    </cfRule>
    <cfRule type="cellIs" dxfId="1797" priority="4804" operator="equal">
      <formula>"B2-45"</formula>
    </cfRule>
  </conditionalFormatting>
  <conditionalFormatting sqref="I1556">
    <cfRule type="cellIs" dxfId="1796" priority="4775" operator="equal">
      <formula>"SC1-7"</formula>
    </cfRule>
    <cfRule type="cellIs" dxfId="1795" priority="4776" operator="equal">
      <formula>"B2-45"</formula>
    </cfRule>
  </conditionalFormatting>
  <conditionalFormatting sqref="I1557">
    <cfRule type="cellIs" dxfId="1794" priority="4767" operator="equal">
      <formula>"SC1-7"</formula>
    </cfRule>
    <cfRule type="cellIs" dxfId="1793" priority="4768" operator="equal">
      <formula>"B2-45"</formula>
    </cfRule>
  </conditionalFormatting>
  <conditionalFormatting sqref="I1568:I1573">
    <cfRule type="cellIs" dxfId="1792" priority="4773" operator="equal">
      <formula>"SC1-7"</formula>
    </cfRule>
    <cfRule type="cellIs" dxfId="1791" priority="4774" operator="equal">
      <formula>"B2-45"</formula>
    </cfRule>
  </conditionalFormatting>
  <conditionalFormatting sqref="I1558">
    <cfRule type="cellIs" dxfId="1790" priority="4765" operator="equal">
      <formula>"SC1-7"</formula>
    </cfRule>
    <cfRule type="cellIs" dxfId="1789" priority="4766" operator="equal">
      <formula>"B2-45"</formula>
    </cfRule>
  </conditionalFormatting>
  <conditionalFormatting sqref="I1567">
    <cfRule type="cellIs" dxfId="1788" priority="4771" operator="equal">
      <formula>"SC1-7"</formula>
    </cfRule>
    <cfRule type="cellIs" dxfId="1787" priority="4772" operator="equal">
      <formula>"B2-45"</formula>
    </cfRule>
  </conditionalFormatting>
  <conditionalFormatting sqref="I1566">
    <cfRule type="cellIs" dxfId="1786" priority="4769" operator="equal">
      <formula>"SC1-7"</formula>
    </cfRule>
    <cfRule type="cellIs" dxfId="1785" priority="4770" operator="equal">
      <formula>"B2-45"</formula>
    </cfRule>
  </conditionalFormatting>
  <conditionalFormatting sqref="I1559">
    <cfRule type="cellIs" dxfId="1784" priority="4763" operator="equal">
      <formula>"SC1-7"</formula>
    </cfRule>
    <cfRule type="cellIs" dxfId="1783" priority="4764" operator="equal">
      <formula>"B2-45"</formula>
    </cfRule>
  </conditionalFormatting>
  <conditionalFormatting sqref="I1560">
    <cfRule type="cellIs" dxfId="1782" priority="4761" operator="equal">
      <formula>"SC1-7"</formula>
    </cfRule>
    <cfRule type="cellIs" dxfId="1781" priority="4762" operator="equal">
      <formula>"B2-45"</formula>
    </cfRule>
  </conditionalFormatting>
  <conditionalFormatting sqref="I1561">
    <cfRule type="cellIs" dxfId="1780" priority="4759" operator="equal">
      <formula>"SC1-7"</formula>
    </cfRule>
    <cfRule type="cellIs" dxfId="1779" priority="4760" operator="equal">
      <formula>"B2-45"</formula>
    </cfRule>
  </conditionalFormatting>
  <conditionalFormatting sqref="I1562">
    <cfRule type="cellIs" dxfId="1778" priority="4757" operator="equal">
      <formula>"SC1-7"</formula>
    </cfRule>
    <cfRule type="cellIs" dxfId="1777" priority="4758" operator="equal">
      <formula>"B2-45"</formula>
    </cfRule>
  </conditionalFormatting>
  <conditionalFormatting sqref="I1563">
    <cfRule type="cellIs" dxfId="1776" priority="4755" operator="equal">
      <formula>"SC1-7"</formula>
    </cfRule>
    <cfRule type="cellIs" dxfId="1775" priority="4756" operator="equal">
      <formula>"B2-45"</formula>
    </cfRule>
  </conditionalFormatting>
  <conditionalFormatting sqref="I1564:I1566">
    <cfRule type="cellIs" dxfId="1774" priority="4753" operator="equal">
      <formula>"SC1-7"</formula>
    </cfRule>
    <cfRule type="cellIs" dxfId="1773" priority="4754" operator="equal">
      <formula>"B2-45"</formula>
    </cfRule>
  </conditionalFormatting>
  <conditionalFormatting sqref="I1565">
    <cfRule type="cellIs" dxfId="1772" priority="4751" operator="equal">
      <formula>"SC1-7"</formula>
    </cfRule>
    <cfRule type="cellIs" dxfId="1771" priority="4752" operator="equal">
      <formula>"B2-45"</formula>
    </cfRule>
  </conditionalFormatting>
  <conditionalFormatting sqref="I1529:I1534">
    <cfRule type="cellIs" dxfId="1770" priority="4749" operator="equal">
      <formula>"SC1-7"</formula>
    </cfRule>
    <cfRule type="cellIs" dxfId="1769" priority="4750" operator="equal">
      <formula>"B2-45"</formula>
    </cfRule>
  </conditionalFormatting>
  <conditionalFormatting sqref="I1529">
    <cfRule type="cellIs" dxfId="1768" priority="4747" operator="equal">
      <formula>"SC1-7"</formula>
    </cfRule>
    <cfRule type="cellIs" dxfId="1767" priority="4748" operator="equal">
      <formula>"B2-45"</formula>
    </cfRule>
  </conditionalFormatting>
  <conditionalFormatting sqref="I1530">
    <cfRule type="cellIs" dxfId="1766" priority="4745" operator="equal">
      <formula>"SC1-7"</formula>
    </cfRule>
    <cfRule type="cellIs" dxfId="1765" priority="4746" operator="equal">
      <formula>"B2-45"</formula>
    </cfRule>
  </conditionalFormatting>
  <conditionalFormatting sqref="I1535">
    <cfRule type="cellIs" dxfId="1764" priority="4717" operator="equal">
      <formula>"SC1-7"</formula>
    </cfRule>
    <cfRule type="cellIs" dxfId="1763" priority="4718" operator="equal">
      <formula>"B2-45"</formula>
    </cfRule>
  </conditionalFormatting>
  <conditionalFormatting sqref="I1536">
    <cfRule type="cellIs" dxfId="1762" priority="4709" operator="equal">
      <formula>"SC1-7"</formula>
    </cfRule>
    <cfRule type="cellIs" dxfId="1761" priority="4710" operator="equal">
      <formula>"B2-45"</formula>
    </cfRule>
  </conditionalFormatting>
  <conditionalFormatting sqref="I1547:I1549">
    <cfRule type="cellIs" dxfId="1760" priority="4715" operator="equal">
      <formula>"SC1-7"</formula>
    </cfRule>
    <cfRule type="cellIs" dxfId="1759" priority="4716" operator="equal">
      <formula>"B2-45"</formula>
    </cfRule>
  </conditionalFormatting>
  <conditionalFormatting sqref="I1537">
    <cfRule type="cellIs" dxfId="1758" priority="4707" operator="equal">
      <formula>"SC1-7"</formula>
    </cfRule>
    <cfRule type="cellIs" dxfId="1757" priority="4708" operator="equal">
      <formula>"B2-45"</formula>
    </cfRule>
  </conditionalFormatting>
  <conditionalFormatting sqref="I1546">
    <cfRule type="cellIs" dxfId="1756" priority="4713" operator="equal">
      <formula>"SC1-7"</formula>
    </cfRule>
    <cfRule type="cellIs" dxfId="1755" priority="4714" operator="equal">
      <formula>"B2-45"</formula>
    </cfRule>
  </conditionalFormatting>
  <conditionalFormatting sqref="I1545">
    <cfRule type="cellIs" dxfId="1754" priority="4711" operator="equal">
      <formula>"SC1-7"</formula>
    </cfRule>
    <cfRule type="cellIs" dxfId="1753" priority="4712" operator="equal">
      <formula>"B2-45"</formula>
    </cfRule>
  </conditionalFormatting>
  <conditionalFormatting sqref="I1538">
    <cfRule type="cellIs" dxfId="1752" priority="4705" operator="equal">
      <formula>"SC1-7"</formula>
    </cfRule>
    <cfRule type="cellIs" dxfId="1751" priority="4706" operator="equal">
      <formula>"B2-45"</formula>
    </cfRule>
  </conditionalFormatting>
  <conditionalFormatting sqref="I1539">
    <cfRule type="cellIs" dxfId="1750" priority="4703" operator="equal">
      <formula>"SC1-7"</formula>
    </cfRule>
    <cfRule type="cellIs" dxfId="1749" priority="4704" operator="equal">
      <formula>"B2-45"</formula>
    </cfRule>
  </conditionalFormatting>
  <conditionalFormatting sqref="I1540">
    <cfRule type="cellIs" dxfId="1748" priority="4701" operator="equal">
      <formula>"SC1-7"</formula>
    </cfRule>
    <cfRule type="cellIs" dxfId="1747" priority="4702" operator="equal">
      <formula>"B2-45"</formula>
    </cfRule>
  </conditionalFormatting>
  <conditionalFormatting sqref="I1541">
    <cfRule type="cellIs" dxfId="1746" priority="4699" operator="equal">
      <formula>"SC1-7"</formula>
    </cfRule>
    <cfRule type="cellIs" dxfId="1745" priority="4700" operator="equal">
      <formula>"B2-45"</formula>
    </cfRule>
  </conditionalFormatting>
  <conditionalFormatting sqref="I1542">
    <cfRule type="cellIs" dxfId="1744" priority="4697" operator="equal">
      <formula>"SC1-7"</formula>
    </cfRule>
    <cfRule type="cellIs" dxfId="1743" priority="4698" operator="equal">
      <formula>"B2-45"</formula>
    </cfRule>
  </conditionalFormatting>
  <conditionalFormatting sqref="I1543:I1545">
    <cfRule type="cellIs" dxfId="1742" priority="4695" operator="equal">
      <formula>"SC1-7"</formula>
    </cfRule>
    <cfRule type="cellIs" dxfId="1741" priority="4696" operator="equal">
      <formula>"B2-45"</formula>
    </cfRule>
  </conditionalFormatting>
  <conditionalFormatting sqref="I1544">
    <cfRule type="cellIs" dxfId="1740" priority="4693" operator="equal">
      <formula>"SC1-7"</formula>
    </cfRule>
    <cfRule type="cellIs" dxfId="1739" priority="4694" operator="equal">
      <formula>"B2-45"</formula>
    </cfRule>
  </conditionalFormatting>
  <conditionalFormatting sqref="I1515:I1520">
    <cfRule type="cellIs" dxfId="1738" priority="4691" operator="equal">
      <formula>"SC1-7"</formula>
    </cfRule>
    <cfRule type="cellIs" dxfId="1737" priority="4692" operator="equal">
      <formula>"B2-45"</formula>
    </cfRule>
  </conditionalFormatting>
  <conditionalFormatting sqref="I1515">
    <cfRule type="cellIs" dxfId="1736" priority="4689" operator="equal">
      <formula>"SC1-7"</formula>
    </cfRule>
    <cfRule type="cellIs" dxfId="1735" priority="4690" operator="equal">
      <formula>"B2-45"</formula>
    </cfRule>
  </conditionalFormatting>
  <conditionalFormatting sqref="I1516">
    <cfRule type="cellIs" dxfId="1734" priority="4687" operator="equal">
      <formula>"SC1-7"</formula>
    </cfRule>
    <cfRule type="cellIs" dxfId="1733" priority="4688" operator="equal">
      <formula>"B2-45"</formula>
    </cfRule>
  </conditionalFormatting>
  <conditionalFormatting sqref="I1521">
    <cfRule type="cellIs" dxfId="1732" priority="4669" operator="equal">
      <formula>"SC1-7"</formula>
    </cfRule>
    <cfRule type="cellIs" dxfId="1731" priority="4670" operator="equal">
      <formula>"B2-45"</formula>
    </cfRule>
  </conditionalFormatting>
  <conditionalFormatting sqref="I1522">
    <cfRule type="cellIs" dxfId="1730" priority="4667" operator="equal">
      <formula>"SC1-7"</formula>
    </cfRule>
    <cfRule type="cellIs" dxfId="1729" priority="4668" operator="equal">
      <formula>"B2-45"</formula>
    </cfRule>
  </conditionalFormatting>
  <conditionalFormatting sqref="I1523">
    <cfRule type="cellIs" dxfId="1728" priority="4665" operator="equal">
      <formula>"SC1-7"</formula>
    </cfRule>
    <cfRule type="cellIs" dxfId="1727" priority="4666" operator="equal">
      <formula>"B2-45"</formula>
    </cfRule>
  </conditionalFormatting>
  <conditionalFormatting sqref="I1524">
    <cfRule type="cellIs" dxfId="1726" priority="4663" operator="equal">
      <formula>"SC1-7"</formula>
    </cfRule>
    <cfRule type="cellIs" dxfId="1725" priority="4664" operator="equal">
      <formula>"B2-45"</formula>
    </cfRule>
  </conditionalFormatting>
  <conditionalFormatting sqref="I1525">
    <cfRule type="cellIs" dxfId="1724" priority="4661" operator="equal">
      <formula>"SC1-7"</formula>
    </cfRule>
    <cfRule type="cellIs" dxfId="1723" priority="4662" operator="equal">
      <formula>"B2-45"</formula>
    </cfRule>
  </conditionalFormatting>
  <conditionalFormatting sqref="I1526">
    <cfRule type="cellIs" dxfId="1722" priority="4659" operator="equal">
      <formula>"SC1-7"</formula>
    </cfRule>
    <cfRule type="cellIs" dxfId="1721" priority="4660" operator="equal">
      <formula>"B2-45"</formula>
    </cfRule>
  </conditionalFormatting>
  <conditionalFormatting sqref="I1527">
    <cfRule type="cellIs" dxfId="1720" priority="4657" operator="equal">
      <formula>"SC1-7"</formula>
    </cfRule>
    <cfRule type="cellIs" dxfId="1719" priority="4658" operator="equal">
      <formula>"B2-45"</formula>
    </cfRule>
  </conditionalFormatting>
  <conditionalFormatting sqref="I1528">
    <cfRule type="cellIs" dxfId="1718" priority="4655" operator="equal">
      <formula>"SC1-7"</formula>
    </cfRule>
    <cfRule type="cellIs" dxfId="1717" priority="4656" operator="equal">
      <formula>"B2-45"</formula>
    </cfRule>
  </conditionalFormatting>
  <conditionalFormatting sqref="I1506:I1511">
    <cfRule type="cellIs" dxfId="1716" priority="4653" operator="equal">
      <formula>"SC1-7"</formula>
    </cfRule>
    <cfRule type="cellIs" dxfId="1715" priority="4654" operator="equal">
      <formula>"B2-45"</formula>
    </cfRule>
  </conditionalFormatting>
  <conditionalFormatting sqref="I1506">
    <cfRule type="cellIs" dxfId="1714" priority="4651" operator="equal">
      <formula>"SC1-7"</formula>
    </cfRule>
    <cfRule type="cellIs" dxfId="1713" priority="4652" operator="equal">
      <formula>"B2-45"</formula>
    </cfRule>
  </conditionalFormatting>
  <conditionalFormatting sqref="I1507">
    <cfRule type="cellIs" dxfId="1712" priority="4649" operator="equal">
      <formula>"SC1-7"</formula>
    </cfRule>
    <cfRule type="cellIs" dxfId="1711" priority="4650" operator="equal">
      <formula>"B2-45"</formula>
    </cfRule>
  </conditionalFormatting>
  <conditionalFormatting sqref="I1512">
    <cfRule type="cellIs" dxfId="1710" priority="4641" operator="equal">
      <formula>"SC1-7"</formula>
    </cfRule>
    <cfRule type="cellIs" dxfId="1709" priority="4642" operator="equal">
      <formula>"B2-45"</formula>
    </cfRule>
  </conditionalFormatting>
  <conditionalFormatting sqref="I1513">
    <cfRule type="cellIs" dxfId="1708" priority="4639" operator="equal">
      <formula>"SC1-7"</formula>
    </cfRule>
    <cfRule type="cellIs" dxfId="1707" priority="4640" operator="equal">
      <formula>"B2-45"</formula>
    </cfRule>
  </conditionalFormatting>
  <conditionalFormatting sqref="I1514">
    <cfRule type="cellIs" dxfId="1706" priority="4637" operator="equal">
      <formula>"SC1-7"</formula>
    </cfRule>
    <cfRule type="cellIs" dxfId="1705" priority="4638" operator="equal">
      <formula>"B2-45"</formula>
    </cfRule>
  </conditionalFormatting>
  <conditionalFormatting sqref="I1496:I1501">
    <cfRule type="cellIs" dxfId="1704" priority="4635" operator="equal">
      <formula>"SC1-7"</formula>
    </cfRule>
    <cfRule type="cellIs" dxfId="1703" priority="4636" operator="equal">
      <formula>"B2-45"</formula>
    </cfRule>
  </conditionalFormatting>
  <conditionalFormatting sqref="I1496">
    <cfRule type="cellIs" dxfId="1702" priority="4633" operator="equal">
      <formula>"SC1-7"</formula>
    </cfRule>
    <cfRule type="cellIs" dxfId="1701" priority="4634" operator="equal">
      <formula>"B2-45"</formula>
    </cfRule>
  </conditionalFormatting>
  <conditionalFormatting sqref="I1497">
    <cfRule type="cellIs" dxfId="1700" priority="4631" operator="equal">
      <formula>"SC1-7"</formula>
    </cfRule>
    <cfRule type="cellIs" dxfId="1699" priority="4632" operator="equal">
      <formula>"B2-45"</formula>
    </cfRule>
  </conditionalFormatting>
  <conditionalFormatting sqref="I1502">
    <cfRule type="cellIs" dxfId="1698" priority="4621" operator="equal">
      <formula>"SC1-7"</formula>
    </cfRule>
    <cfRule type="cellIs" dxfId="1697" priority="4622" operator="equal">
      <formula>"B2-45"</formula>
    </cfRule>
  </conditionalFormatting>
  <conditionalFormatting sqref="I1503">
    <cfRule type="cellIs" dxfId="1696" priority="4619" operator="equal">
      <formula>"SC1-7"</formula>
    </cfRule>
    <cfRule type="cellIs" dxfId="1695" priority="4620" operator="equal">
      <formula>"B2-45"</formula>
    </cfRule>
  </conditionalFormatting>
  <conditionalFormatting sqref="I1504">
    <cfRule type="cellIs" dxfId="1694" priority="4617" operator="equal">
      <formula>"SC1-7"</formula>
    </cfRule>
    <cfRule type="cellIs" dxfId="1693" priority="4618" operator="equal">
      <formula>"B2-45"</formula>
    </cfRule>
  </conditionalFormatting>
  <conditionalFormatting sqref="I1505">
    <cfRule type="cellIs" dxfId="1692" priority="4615" operator="equal">
      <formula>"SC1-7"</formula>
    </cfRule>
    <cfRule type="cellIs" dxfId="1691" priority="4616" operator="equal">
      <formula>"B2-45"</formula>
    </cfRule>
  </conditionalFormatting>
  <conditionalFormatting sqref="I1487:I1492">
    <cfRule type="cellIs" dxfId="1690" priority="4613" operator="equal">
      <formula>"SC1-7"</formula>
    </cfRule>
    <cfRule type="cellIs" dxfId="1689" priority="4614" operator="equal">
      <formula>"B2-45"</formula>
    </cfRule>
  </conditionalFormatting>
  <conditionalFormatting sqref="I1487">
    <cfRule type="cellIs" dxfId="1688" priority="4611" operator="equal">
      <formula>"SC1-7"</formula>
    </cfRule>
    <cfRule type="cellIs" dxfId="1687" priority="4612" operator="equal">
      <formula>"B2-45"</formula>
    </cfRule>
  </conditionalFormatting>
  <conditionalFormatting sqref="I1488">
    <cfRule type="cellIs" dxfId="1686" priority="4609" operator="equal">
      <formula>"SC1-7"</formula>
    </cfRule>
    <cfRule type="cellIs" dxfId="1685" priority="4610" operator="equal">
      <formula>"B2-45"</formula>
    </cfRule>
  </conditionalFormatting>
  <conditionalFormatting sqref="I1493">
    <cfRule type="cellIs" dxfId="1684" priority="4601" operator="equal">
      <formula>"SC1-7"</formula>
    </cfRule>
    <cfRule type="cellIs" dxfId="1683" priority="4602" operator="equal">
      <formula>"B2-45"</formula>
    </cfRule>
  </conditionalFormatting>
  <conditionalFormatting sqref="I1494">
    <cfRule type="cellIs" dxfId="1682" priority="4599" operator="equal">
      <formula>"SC1-7"</formula>
    </cfRule>
    <cfRule type="cellIs" dxfId="1681" priority="4600" operator="equal">
      <formula>"B2-45"</formula>
    </cfRule>
  </conditionalFormatting>
  <conditionalFormatting sqref="I1495">
    <cfRule type="cellIs" dxfId="1680" priority="4597" operator="equal">
      <formula>"SC1-7"</formula>
    </cfRule>
    <cfRule type="cellIs" dxfId="1679" priority="4598" operator="equal">
      <formula>"B2-45"</formula>
    </cfRule>
  </conditionalFormatting>
  <conditionalFormatting sqref="I1478:I1483">
    <cfRule type="cellIs" dxfId="1678" priority="4595" operator="equal">
      <formula>"SC1-7"</formula>
    </cfRule>
    <cfRule type="cellIs" dxfId="1677" priority="4596" operator="equal">
      <formula>"B2-45"</formula>
    </cfRule>
  </conditionalFormatting>
  <conditionalFormatting sqref="I1478">
    <cfRule type="cellIs" dxfId="1676" priority="4593" operator="equal">
      <formula>"SC1-7"</formula>
    </cfRule>
    <cfRule type="cellIs" dxfId="1675" priority="4594" operator="equal">
      <formula>"B2-45"</formula>
    </cfRule>
  </conditionalFormatting>
  <conditionalFormatting sqref="I1479">
    <cfRule type="cellIs" dxfId="1674" priority="4591" operator="equal">
      <formula>"SC1-7"</formula>
    </cfRule>
    <cfRule type="cellIs" dxfId="1673" priority="4592" operator="equal">
      <formula>"B2-45"</formula>
    </cfRule>
  </conditionalFormatting>
  <conditionalFormatting sqref="I1484">
    <cfRule type="cellIs" dxfId="1672" priority="4583" operator="equal">
      <formula>"SC1-7"</formula>
    </cfRule>
    <cfRule type="cellIs" dxfId="1671" priority="4584" operator="equal">
      <formula>"B2-45"</formula>
    </cfRule>
  </conditionalFormatting>
  <conditionalFormatting sqref="I1485">
    <cfRule type="cellIs" dxfId="1670" priority="4581" operator="equal">
      <formula>"SC1-7"</formula>
    </cfRule>
    <cfRule type="cellIs" dxfId="1669" priority="4582" operator="equal">
      <formula>"B2-45"</formula>
    </cfRule>
  </conditionalFormatting>
  <conditionalFormatting sqref="I1486">
    <cfRule type="cellIs" dxfId="1668" priority="4579" operator="equal">
      <formula>"SC1-7"</formula>
    </cfRule>
    <cfRule type="cellIs" dxfId="1667" priority="4580" operator="equal">
      <formula>"B2-45"</formula>
    </cfRule>
  </conditionalFormatting>
  <conditionalFormatting sqref="I1461:I1466">
    <cfRule type="cellIs" dxfId="1666" priority="4577" operator="equal">
      <formula>"SC1-7"</formula>
    </cfRule>
    <cfRule type="cellIs" dxfId="1665" priority="4578" operator="equal">
      <formula>"B2-45"</formula>
    </cfRule>
  </conditionalFormatting>
  <conditionalFormatting sqref="I1461">
    <cfRule type="cellIs" dxfId="1664" priority="4575" operator="equal">
      <formula>"SC1-7"</formula>
    </cfRule>
    <cfRule type="cellIs" dxfId="1663" priority="4576" operator="equal">
      <formula>"B2-45"</formula>
    </cfRule>
  </conditionalFormatting>
  <conditionalFormatting sqref="I1462">
    <cfRule type="cellIs" dxfId="1662" priority="4573" operator="equal">
      <formula>"SC1-7"</formula>
    </cfRule>
    <cfRule type="cellIs" dxfId="1661" priority="4574" operator="equal">
      <formula>"B2-45"</formula>
    </cfRule>
  </conditionalFormatting>
  <conditionalFormatting sqref="I1467">
    <cfRule type="cellIs" dxfId="1660" priority="4549" operator="equal">
      <formula>"SC1-7"</formula>
    </cfRule>
    <cfRule type="cellIs" dxfId="1659" priority="4550" operator="equal">
      <formula>"B2-45"</formula>
    </cfRule>
  </conditionalFormatting>
  <conditionalFormatting sqref="I1468">
    <cfRule type="cellIs" dxfId="1658" priority="4545" operator="equal">
      <formula>"SC1-7"</formula>
    </cfRule>
    <cfRule type="cellIs" dxfId="1657" priority="4546" operator="equal">
      <formula>"B2-45"</formula>
    </cfRule>
  </conditionalFormatting>
  <conditionalFormatting sqref="I1469">
    <cfRule type="cellIs" dxfId="1656" priority="4543" operator="equal">
      <formula>"SC1-7"</formula>
    </cfRule>
    <cfRule type="cellIs" dxfId="1655" priority="4544" operator="equal">
      <formula>"B2-45"</formula>
    </cfRule>
  </conditionalFormatting>
  <conditionalFormatting sqref="I1477">
    <cfRule type="cellIs" dxfId="1654" priority="4547" operator="equal">
      <formula>"SC1-7"</formula>
    </cfRule>
    <cfRule type="cellIs" dxfId="1653" priority="4548" operator="equal">
      <formula>"B2-45"</formula>
    </cfRule>
  </conditionalFormatting>
  <conditionalFormatting sqref="I1470">
    <cfRule type="cellIs" dxfId="1652" priority="4541" operator="equal">
      <formula>"SC1-7"</formula>
    </cfRule>
    <cfRule type="cellIs" dxfId="1651" priority="4542" operator="equal">
      <formula>"B2-45"</formula>
    </cfRule>
  </conditionalFormatting>
  <conditionalFormatting sqref="I1471">
    <cfRule type="cellIs" dxfId="1650" priority="4539" operator="equal">
      <formula>"SC1-7"</formula>
    </cfRule>
    <cfRule type="cellIs" dxfId="1649" priority="4540" operator="equal">
      <formula>"B2-45"</formula>
    </cfRule>
  </conditionalFormatting>
  <conditionalFormatting sqref="I1472">
    <cfRule type="cellIs" dxfId="1648" priority="4537" operator="equal">
      <formula>"SC1-7"</formula>
    </cfRule>
    <cfRule type="cellIs" dxfId="1647" priority="4538" operator="equal">
      <formula>"B2-45"</formula>
    </cfRule>
  </conditionalFormatting>
  <conditionalFormatting sqref="I1473">
    <cfRule type="cellIs" dxfId="1646" priority="4535" operator="equal">
      <formula>"SC1-7"</formula>
    </cfRule>
    <cfRule type="cellIs" dxfId="1645" priority="4536" operator="equal">
      <formula>"B2-45"</formula>
    </cfRule>
  </conditionalFormatting>
  <conditionalFormatting sqref="I1474">
    <cfRule type="cellIs" dxfId="1644" priority="4533" operator="equal">
      <formula>"SC1-7"</formula>
    </cfRule>
    <cfRule type="cellIs" dxfId="1643" priority="4534" operator="equal">
      <formula>"B2-45"</formula>
    </cfRule>
  </conditionalFormatting>
  <conditionalFormatting sqref="I1475:I1477">
    <cfRule type="cellIs" dxfId="1642" priority="4531" operator="equal">
      <formula>"SC1-7"</formula>
    </cfRule>
    <cfRule type="cellIs" dxfId="1641" priority="4532" operator="equal">
      <formula>"B2-45"</formula>
    </cfRule>
  </conditionalFormatting>
  <conditionalFormatting sqref="I1476">
    <cfRule type="cellIs" dxfId="1640" priority="4529" operator="equal">
      <formula>"SC1-7"</formula>
    </cfRule>
    <cfRule type="cellIs" dxfId="1639" priority="4530" operator="equal">
      <formula>"B2-45"</formula>
    </cfRule>
  </conditionalFormatting>
  <conditionalFormatting sqref="I1445:I1450">
    <cfRule type="cellIs" dxfId="1638" priority="4527" operator="equal">
      <formula>"SC1-7"</formula>
    </cfRule>
    <cfRule type="cellIs" dxfId="1637" priority="4528" operator="equal">
      <formula>"B2-45"</formula>
    </cfRule>
  </conditionalFormatting>
  <conditionalFormatting sqref="I1445">
    <cfRule type="cellIs" dxfId="1636" priority="4525" operator="equal">
      <formula>"SC1-7"</formula>
    </cfRule>
    <cfRule type="cellIs" dxfId="1635" priority="4526" operator="equal">
      <formula>"B2-45"</formula>
    </cfRule>
  </conditionalFormatting>
  <conditionalFormatting sqref="I1446">
    <cfRule type="cellIs" dxfId="1634" priority="4523" operator="equal">
      <formula>"SC1-7"</formula>
    </cfRule>
    <cfRule type="cellIs" dxfId="1633" priority="4524" operator="equal">
      <formula>"B2-45"</formula>
    </cfRule>
  </conditionalFormatting>
  <conditionalFormatting sqref="I1451">
    <cfRule type="cellIs" dxfId="1632" priority="4501" operator="equal">
      <formula>"SC1-7"</formula>
    </cfRule>
    <cfRule type="cellIs" dxfId="1631" priority="4502" operator="equal">
      <formula>"B2-45"</formula>
    </cfRule>
  </conditionalFormatting>
  <conditionalFormatting sqref="I1452">
    <cfRule type="cellIs" dxfId="1630" priority="4499" operator="equal">
      <formula>"SC1-7"</formula>
    </cfRule>
    <cfRule type="cellIs" dxfId="1629" priority="4500" operator="equal">
      <formula>"B2-45"</formula>
    </cfRule>
  </conditionalFormatting>
  <conditionalFormatting sqref="I1453">
    <cfRule type="cellIs" dxfId="1628" priority="4497" operator="equal">
      <formula>"SC1-7"</formula>
    </cfRule>
    <cfRule type="cellIs" dxfId="1627" priority="4498" operator="equal">
      <formula>"B2-45"</formula>
    </cfRule>
  </conditionalFormatting>
  <conditionalFormatting sqref="I1454">
    <cfRule type="cellIs" dxfId="1626" priority="4495" operator="equal">
      <formula>"SC1-7"</formula>
    </cfRule>
    <cfRule type="cellIs" dxfId="1625" priority="4496" operator="equal">
      <formula>"B2-45"</formula>
    </cfRule>
  </conditionalFormatting>
  <conditionalFormatting sqref="I1455">
    <cfRule type="cellIs" dxfId="1624" priority="4493" operator="equal">
      <formula>"SC1-7"</formula>
    </cfRule>
    <cfRule type="cellIs" dxfId="1623" priority="4494" operator="equal">
      <formula>"B2-45"</formula>
    </cfRule>
  </conditionalFormatting>
  <conditionalFormatting sqref="I1456">
    <cfRule type="cellIs" dxfId="1622" priority="4491" operator="equal">
      <formula>"SC1-7"</formula>
    </cfRule>
    <cfRule type="cellIs" dxfId="1621" priority="4492" operator="equal">
      <formula>"B2-45"</formula>
    </cfRule>
  </conditionalFormatting>
  <conditionalFormatting sqref="I1457">
    <cfRule type="cellIs" dxfId="1620" priority="4489" operator="equal">
      <formula>"SC1-7"</formula>
    </cfRule>
    <cfRule type="cellIs" dxfId="1619" priority="4490" operator="equal">
      <formula>"B2-45"</formula>
    </cfRule>
  </conditionalFormatting>
  <conditionalFormatting sqref="I1458">
    <cfRule type="cellIs" dxfId="1618" priority="4487" operator="equal">
      <formula>"SC1-7"</formula>
    </cfRule>
    <cfRule type="cellIs" dxfId="1617" priority="4488" operator="equal">
      <formula>"B2-45"</formula>
    </cfRule>
  </conditionalFormatting>
  <conditionalFormatting sqref="I1459:I1460">
    <cfRule type="cellIs" dxfId="1616" priority="4485" operator="equal">
      <formula>"SC1-7"</formula>
    </cfRule>
    <cfRule type="cellIs" dxfId="1615" priority="4486" operator="equal">
      <formula>"B2-45"</formula>
    </cfRule>
  </conditionalFormatting>
  <conditionalFormatting sqref="I1460">
    <cfRule type="cellIs" dxfId="1614" priority="4483" operator="equal">
      <formula>"SC1-7"</formula>
    </cfRule>
    <cfRule type="cellIs" dxfId="1613" priority="4484" operator="equal">
      <formula>"B2-45"</formula>
    </cfRule>
  </conditionalFormatting>
  <conditionalFormatting sqref="I1435:I1440">
    <cfRule type="cellIs" dxfId="1612" priority="4481" operator="equal">
      <formula>"SC1-7"</formula>
    </cfRule>
    <cfRule type="cellIs" dxfId="1611" priority="4482" operator="equal">
      <formula>"B2-45"</formula>
    </cfRule>
  </conditionalFormatting>
  <conditionalFormatting sqref="I1435">
    <cfRule type="cellIs" dxfId="1610" priority="4479" operator="equal">
      <formula>"SC1-7"</formula>
    </cfRule>
    <cfRule type="cellIs" dxfId="1609" priority="4480" operator="equal">
      <formula>"B2-45"</formula>
    </cfRule>
  </conditionalFormatting>
  <conditionalFormatting sqref="I1436">
    <cfRule type="cellIs" dxfId="1608" priority="4477" operator="equal">
      <formula>"SC1-7"</formula>
    </cfRule>
    <cfRule type="cellIs" dxfId="1607" priority="4478" operator="equal">
      <formula>"B2-45"</formula>
    </cfRule>
  </conditionalFormatting>
  <conditionalFormatting sqref="I1441">
    <cfRule type="cellIs" dxfId="1606" priority="4469" operator="equal">
      <formula>"SC1-7"</formula>
    </cfRule>
    <cfRule type="cellIs" dxfId="1605" priority="4470" operator="equal">
      <formula>"B2-45"</formula>
    </cfRule>
  </conditionalFormatting>
  <conditionalFormatting sqref="I1442">
    <cfRule type="cellIs" dxfId="1604" priority="4467" operator="equal">
      <formula>"SC1-7"</formula>
    </cfRule>
    <cfRule type="cellIs" dxfId="1603" priority="4468" operator="equal">
      <formula>"B2-45"</formula>
    </cfRule>
  </conditionalFormatting>
  <conditionalFormatting sqref="I1443:I1444">
    <cfRule type="cellIs" dxfId="1602" priority="4465" operator="equal">
      <formula>"SC1-7"</formula>
    </cfRule>
    <cfRule type="cellIs" dxfId="1601" priority="4466" operator="equal">
      <formula>"B2-45"</formula>
    </cfRule>
  </conditionalFormatting>
  <conditionalFormatting sqref="I1425:I1430">
    <cfRule type="cellIs" dxfId="1600" priority="4463" operator="equal">
      <formula>"SC1-7"</formula>
    </cfRule>
    <cfRule type="cellIs" dxfId="1599" priority="4464" operator="equal">
      <formula>"B2-45"</formula>
    </cfRule>
  </conditionalFormatting>
  <conditionalFormatting sqref="I1425">
    <cfRule type="cellIs" dxfId="1598" priority="4461" operator="equal">
      <formula>"SC1-7"</formula>
    </cfRule>
    <cfRule type="cellIs" dxfId="1597" priority="4462" operator="equal">
      <formula>"B2-45"</formula>
    </cfRule>
  </conditionalFormatting>
  <conditionalFormatting sqref="I1426">
    <cfRule type="cellIs" dxfId="1596" priority="4459" operator="equal">
      <formula>"SC1-7"</formula>
    </cfRule>
    <cfRule type="cellIs" dxfId="1595" priority="4460" operator="equal">
      <formula>"B2-45"</formula>
    </cfRule>
  </conditionalFormatting>
  <conditionalFormatting sqref="I1431">
    <cfRule type="cellIs" dxfId="1594" priority="4449" operator="equal">
      <formula>"SC1-7"</formula>
    </cfRule>
    <cfRule type="cellIs" dxfId="1593" priority="4450" operator="equal">
      <formula>"B2-45"</formula>
    </cfRule>
  </conditionalFormatting>
  <conditionalFormatting sqref="I1432">
    <cfRule type="cellIs" dxfId="1592" priority="4447" operator="equal">
      <formula>"SC1-7"</formula>
    </cfRule>
    <cfRule type="cellIs" dxfId="1591" priority="4448" operator="equal">
      <formula>"B2-45"</formula>
    </cfRule>
  </conditionalFormatting>
  <conditionalFormatting sqref="I1433">
    <cfRule type="cellIs" dxfId="1590" priority="4445" operator="equal">
      <formula>"SC1-7"</formula>
    </cfRule>
    <cfRule type="cellIs" dxfId="1589" priority="4446" operator="equal">
      <formula>"B2-45"</formula>
    </cfRule>
  </conditionalFormatting>
  <conditionalFormatting sqref="I1434">
    <cfRule type="cellIs" dxfId="1588" priority="4443" operator="equal">
      <formula>"SC1-7"</formula>
    </cfRule>
    <cfRule type="cellIs" dxfId="1587" priority="4444" operator="equal">
      <formula>"B2-45"</formula>
    </cfRule>
  </conditionalFormatting>
  <conditionalFormatting sqref="I1416:I1421">
    <cfRule type="cellIs" dxfId="1586" priority="4441" operator="equal">
      <formula>"SC1-7"</formula>
    </cfRule>
    <cfRule type="cellIs" dxfId="1585" priority="4442" operator="equal">
      <formula>"B2-45"</formula>
    </cfRule>
  </conditionalFormatting>
  <conditionalFormatting sqref="I1416">
    <cfRule type="cellIs" dxfId="1584" priority="4439" operator="equal">
      <formula>"SC1-7"</formula>
    </cfRule>
    <cfRule type="cellIs" dxfId="1583" priority="4440" operator="equal">
      <formula>"B2-45"</formula>
    </cfRule>
  </conditionalFormatting>
  <conditionalFormatting sqref="I1417">
    <cfRule type="cellIs" dxfId="1582" priority="4437" operator="equal">
      <formula>"SC1-7"</formula>
    </cfRule>
    <cfRule type="cellIs" dxfId="1581" priority="4438" operator="equal">
      <formula>"B2-45"</formula>
    </cfRule>
  </conditionalFormatting>
  <conditionalFormatting sqref="I1422">
    <cfRule type="cellIs" dxfId="1580" priority="4429" operator="equal">
      <formula>"SC1-7"</formula>
    </cfRule>
    <cfRule type="cellIs" dxfId="1579" priority="4430" operator="equal">
      <formula>"B2-45"</formula>
    </cfRule>
  </conditionalFormatting>
  <conditionalFormatting sqref="I1423">
    <cfRule type="cellIs" dxfId="1578" priority="4427" operator="equal">
      <formula>"SC1-7"</formula>
    </cfRule>
    <cfRule type="cellIs" dxfId="1577" priority="4428" operator="equal">
      <formula>"B2-45"</formula>
    </cfRule>
  </conditionalFormatting>
  <conditionalFormatting sqref="I1424">
    <cfRule type="cellIs" dxfId="1576" priority="4425" operator="equal">
      <formula>"SC1-7"</formula>
    </cfRule>
    <cfRule type="cellIs" dxfId="1575" priority="4426" operator="equal">
      <formula>"B2-45"</formula>
    </cfRule>
  </conditionalFormatting>
  <conditionalFormatting sqref="I1316:I1321">
    <cfRule type="cellIs" dxfId="1574" priority="4411" operator="equal">
      <formula>"SC1-7"</formula>
    </cfRule>
    <cfRule type="cellIs" dxfId="1573" priority="4412" operator="equal">
      <formula>"B2-45"</formula>
    </cfRule>
  </conditionalFormatting>
  <conditionalFormatting sqref="I1316">
    <cfRule type="cellIs" dxfId="1572" priority="4409" operator="equal">
      <formula>"SC1-7"</formula>
    </cfRule>
    <cfRule type="cellIs" dxfId="1571" priority="4410" operator="equal">
      <formula>"B2-45"</formula>
    </cfRule>
  </conditionalFormatting>
  <conditionalFormatting sqref="I1317">
    <cfRule type="cellIs" dxfId="1570" priority="4407" operator="equal">
      <formula>"SC1-7"</formula>
    </cfRule>
    <cfRule type="cellIs" dxfId="1569" priority="4408" operator="equal">
      <formula>"B2-45"</formula>
    </cfRule>
  </conditionalFormatting>
  <conditionalFormatting sqref="I1346:I1366">
    <cfRule type="cellIs" dxfId="1568" priority="4373" operator="equal">
      <formula>"SC1-7"</formula>
    </cfRule>
    <cfRule type="cellIs" dxfId="1567" priority="4374" operator="equal">
      <formula>"B2-45"</formula>
    </cfRule>
  </conditionalFormatting>
  <conditionalFormatting sqref="I1367:I1401">
    <cfRule type="cellIs" dxfId="1566" priority="4371" operator="equal">
      <formula>"SC1-7"</formula>
    </cfRule>
    <cfRule type="cellIs" dxfId="1565" priority="4372" operator="equal">
      <formula>"B2-45"</formula>
    </cfRule>
  </conditionalFormatting>
  <conditionalFormatting sqref="I1322">
    <cfRule type="cellIs" dxfId="1564" priority="4369" operator="equal">
      <formula>"SC1-7"</formula>
    </cfRule>
    <cfRule type="cellIs" dxfId="1563" priority="4370" operator="equal">
      <formula>"B2-45"</formula>
    </cfRule>
  </conditionalFormatting>
  <conditionalFormatting sqref="I1329">
    <cfRule type="cellIs" dxfId="1562" priority="4361" operator="equal">
      <formula>"SC1-7"</formula>
    </cfRule>
    <cfRule type="cellIs" dxfId="1561" priority="4362" operator="equal">
      <formula>"B2-45"</formula>
    </cfRule>
  </conditionalFormatting>
  <conditionalFormatting sqref="I1340:I1345">
    <cfRule type="cellIs" dxfId="1560" priority="4367" operator="equal">
      <formula>"SC1-7"</formula>
    </cfRule>
    <cfRule type="cellIs" dxfId="1559" priority="4368" operator="equal">
      <formula>"B2-45"</formula>
    </cfRule>
  </conditionalFormatting>
  <conditionalFormatting sqref="I1330">
    <cfRule type="cellIs" dxfId="1558" priority="4359" operator="equal">
      <formula>"SC1-7"</formula>
    </cfRule>
    <cfRule type="cellIs" dxfId="1557" priority="4360" operator="equal">
      <formula>"B2-45"</formula>
    </cfRule>
  </conditionalFormatting>
  <conditionalFormatting sqref="I1339">
    <cfRule type="cellIs" dxfId="1556" priority="4365" operator="equal">
      <formula>"SC1-7"</formula>
    </cfRule>
    <cfRule type="cellIs" dxfId="1555" priority="4366" operator="equal">
      <formula>"B2-45"</formula>
    </cfRule>
  </conditionalFormatting>
  <conditionalFormatting sqref="I1338">
    <cfRule type="cellIs" dxfId="1554" priority="4363" operator="equal">
      <formula>"SC1-7"</formula>
    </cfRule>
    <cfRule type="cellIs" dxfId="1553" priority="4364" operator="equal">
      <formula>"B2-45"</formula>
    </cfRule>
  </conditionalFormatting>
  <conditionalFormatting sqref="I1331">
    <cfRule type="cellIs" dxfId="1552" priority="4357" operator="equal">
      <formula>"SC1-7"</formula>
    </cfRule>
    <cfRule type="cellIs" dxfId="1551" priority="4358" operator="equal">
      <formula>"B2-45"</formula>
    </cfRule>
  </conditionalFormatting>
  <conditionalFormatting sqref="I1332">
    <cfRule type="cellIs" dxfId="1550" priority="4355" operator="equal">
      <formula>"SC1-7"</formula>
    </cfRule>
    <cfRule type="cellIs" dxfId="1549" priority="4356" operator="equal">
      <formula>"B2-45"</formula>
    </cfRule>
  </conditionalFormatting>
  <conditionalFormatting sqref="I1333">
    <cfRule type="cellIs" dxfId="1548" priority="4353" operator="equal">
      <formula>"SC1-7"</formula>
    </cfRule>
    <cfRule type="cellIs" dxfId="1547" priority="4354" operator="equal">
      <formula>"B2-45"</formula>
    </cfRule>
  </conditionalFormatting>
  <conditionalFormatting sqref="I1334">
    <cfRule type="cellIs" dxfId="1546" priority="4351" operator="equal">
      <formula>"SC1-7"</formula>
    </cfRule>
    <cfRule type="cellIs" dxfId="1545" priority="4352" operator="equal">
      <formula>"B2-45"</formula>
    </cfRule>
  </conditionalFormatting>
  <conditionalFormatting sqref="I1335">
    <cfRule type="cellIs" dxfId="1544" priority="4349" operator="equal">
      <formula>"SC1-7"</formula>
    </cfRule>
    <cfRule type="cellIs" dxfId="1543" priority="4350" operator="equal">
      <formula>"B2-45"</formula>
    </cfRule>
  </conditionalFormatting>
  <conditionalFormatting sqref="I1336:I1338">
    <cfRule type="cellIs" dxfId="1542" priority="4347" operator="equal">
      <formula>"SC1-7"</formula>
    </cfRule>
    <cfRule type="cellIs" dxfId="1541" priority="4348" operator="equal">
      <formula>"B2-45"</formula>
    </cfRule>
  </conditionalFormatting>
  <conditionalFormatting sqref="I1337">
    <cfRule type="cellIs" dxfId="1540" priority="4345" operator="equal">
      <formula>"SC1-7"</formula>
    </cfRule>
    <cfRule type="cellIs" dxfId="1539" priority="4346" operator="equal">
      <formula>"B2-45"</formula>
    </cfRule>
  </conditionalFormatting>
  <conditionalFormatting sqref="I1402:I1415">
    <cfRule type="cellIs" dxfId="1538" priority="4343" operator="equal">
      <formula>"SC1-7"</formula>
    </cfRule>
    <cfRule type="cellIs" dxfId="1537" priority="4344" operator="equal">
      <formula>"B2-45"</formula>
    </cfRule>
  </conditionalFormatting>
  <conditionalFormatting sqref="I1323:I1328">
    <cfRule type="cellIs" dxfId="1536" priority="4341" operator="equal">
      <formula>"SC1-7"</formula>
    </cfRule>
    <cfRule type="cellIs" dxfId="1535" priority="4342" operator="equal">
      <formula>"B2-45"</formula>
    </cfRule>
  </conditionalFormatting>
  <conditionalFormatting sqref="I1307:I1312">
    <cfRule type="cellIs" dxfId="1534" priority="4339" operator="equal">
      <formula>"SC1-7"</formula>
    </cfRule>
    <cfRule type="cellIs" dxfId="1533" priority="4340" operator="equal">
      <formula>"B2-45"</formula>
    </cfRule>
  </conditionalFormatting>
  <conditionalFormatting sqref="I1307">
    <cfRule type="cellIs" dxfId="1532" priority="4337" operator="equal">
      <formula>"SC1-7"</formula>
    </cfRule>
    <cfRule type="cellIs" dxfId="1531" priority="4338" operator="equal">
      <formula>"B2-45"</formula>
    </cfRule>
  </conditionalFormatting>
  <conditionalFormatting sqref="I1308">
    <cfRule type="cellIs" dxfId="1530" priority="4335" operator="equal">
      <formula>"SC1-7"</formula>
    </cfRule>
    <cfRule type="cellIs" dxfId="1529" priority="4336" operator="equal">
      <formula>"B2-45"</formula>
    </cfRule>
  </conditionalFormatting>
  <conditionalFormatting sqref="I1313">
    <cfRule type="cellIs" dxfId="1528" priority="4327" operator="equal">
      <formula>"SC1-7"</formula>
    </cfRule>
    <cfRule type="cellIs" dxfId="1527" priority="4328" operator="equal">
      <formula>"B2-45"</formula>
    </cfRule>
  </conditionalFormatting>
  <conditionalFormatting sqref="I1314">
    <cfRule type="cellIs" dxfId="1526" priority="4325" operator="equal">
      <formula>"SC1-7"</formula>
    </cfRule>
    <cfRule type="cellIs" dxfId="1525" priority="4326" operator="equal">
      <formula>"B2-45"</formula>
    </cfRule>
  </conditionalFormatting>
  <conditionalFormatting sqref="I1315">
    <cfRule type="cellIs" dxfId="1524" priority="4323" operator="equal">
      <formula>"SC1-7"</formula>
    </cfRule>
    <cfRule type="cellIs" dxfId="1523" priority="4324" operator="equal">
      <formula>"B2-45"</formula>
    </cfRule>
  </conditionalFormatting>
  <conditionalFormatting sqref="I1296:I1301">
    <cfRule type="cellIs" dxfId="1522" priority="4303" operator="equal">
      <formula>"SC1-7"</formula>
    </cfRule>
    <cfRule type="cellIs" dxfId="1521" priority="4304" operator="equal">
      <formula>"B2-45"</formula>
    </cfRule>
  </conditionalFormatting>
  <conditionalFormatting sqref="I1296">
    <cfRule type="cellIs" dxfId="1520" priority="4301" operator="equal">
      <formula>"SC1-7"</formula>
    </cfRule>
    <cfRule type="cellIs" dxfId="1519" priority="4302" operator="equal">
      <formula>"B2-45"</formula>
    </cfRule>
  </conditionalFormatting>
  <conditionalFormatting sqref="I1297">
    <cfRule type="cellIs" dxfId="1518" priority="4299" operator="equal">
      <formula>"SC1-7"</formula>
    </cfRule>
    <cfRule type="cellIs" dxfId="1517" priority="4300" operator="equal">
      <formula>"B2-45"</formula>
    </cfRule>
  </conditionalFormatting>
  <conditionalFormatting sqref="I1302">
    <cfRule type="cellIs" dxfId="1516" priority="4287" operator="equal">
      <formula>"SC1-7"</formula>
    </cfRule>
    <cfRule type="cellIs" dxfId="1515" priority="4288" operator="equal">
      <formula>"B2-45"</formula>
    </cfRule>
  </conditionalFormatting>
  <conditionalFormatting sqref="I1303">
    <cfRule type="cellIs" dxfId="1514" priority="4285" operator="equal">
      <formula>"SC1-7"</formula>
    </cfRule>
    <cfRule type="cellIs" dxfId="1513" priority="4286" operator="equal">
      <formula>"B2-45"</formula>
    </cfRule>
  </conditionalFormatting>
  <conditionalFormatting sqref="I1304">
    <cfRule type="cellIs" dxfId="1512" priority="4283" operator="equal">
      <formula>"SC1-7"</formula>
    </cfRule>
    <cfRule type="cellIs" dxfId="1511" priority="4284" operator="equal">
      <formula>"B2-45"</formula>
    </cfRule>
  </conditionalFormatting>
  <conditionalFormatting sqref="I1305">
    <cfRule type="cellIs" dxfId="1510" priority="4281" operator="equal">
      <formula>"SC1-7"</formula>
    </cfRule>
    <cfRule type="cellIs" dxfId="1509" priority="4282" operator="equal">
      <formula>"B2-45"</formula>
    </cfRule>
  </conditionalFormatting>
  <conditionalFormatting sqref="I1306">
    <cfRule type="cellIs" dxfId="1508" priority="4279" operator="equal">
      <formula>"SC1-7"</formula>
    </cfRule>
    <cfRule type="cellIs" dxfId="1507" priority="4280" operator="equal">
      <formula>"B2-45"</formula>
    </cfRule>
  </conditionalFormatting>
  <conditionalFormatting sqref="I1282:I1287">
    <cfRule type="cellIs" dxfId="1506" priority="4277" operator="equal">
      <formula>"SC1-7"</formula>
    </cfRule>
    <cfRule type="cellIs" dxfId="1505" priority="4278" operator="equal">
      <formula>"B2-45"</formula>
    </cfRule>
  </conditionalFormatting>
  <conditionalFormatting sqref="I1282">
    <cfRule type="cellIs" dxfId="1504" priority="4275" operator="equal">
      <formula>"SC1-7"</formula>
    </cfRule>
    <cfRule type="cellIs" dxfId="1503" priority="4276" operator="equal">
      <formula>"B2-45"</formula>
    </cfRule>
  </conditionalFormatting>
  <conditionalFormatting sqref="I1283">
    <cfRule type="cellIs" dxfId="1502" priority="4273" operator="equal">
      <formula>"SC1-7"</formula>
    </cfRule>
    <cfRule type="cellIs" dxfId="1501" priority="4274" operator="equal">
      <formula>"B2-45"</formula>
    </cfRule>
  </conditionalFormatting>
  <conditionalFormatting sqref="I1288">
    <cfRule type="cellIs" dxfId="1500" priority="4255" operator="equal">
      <formula>"SC1-7"</formula>
    </cfRule>
    <cfRule type="cellIs" dxfId="1499" priority="4256" operator="equal">
      <formula>"B2-45"</formula>
    </cfRule>
  </conditionalFormatting>
  <conditionalFormatting sqref="I1289">
    <cfRule type="cellIs" dxfId="1498" priority="4253" operator="equal">
      <formula>"SC1-7"</formula>
    </cfRule>
    <cfRule type="cellIs" dxfId="1497" priority="4254" operator="equal">
      <formula>"B2-45"</formula>
    </cfRule>
  </conditionalFormatting>
  <conditionalFormatting sqref="I1290">
    <cfRule type="cellIs" dxfId="1496" priority="4251" operator="equal">
      <formula>"SC1-7"</formula>
    </cfRule>
    <cfRule type="cellIs" dxfId="1495" priority="4252" operator="equal">
      <formula>"B2-45"</formula>
    </cfRule>
  </conditionalFormatting>
  <conditionalFormatting sqref="I1291">
    <cfRule type="cellIs" dxfId="1494" priority="4249" operator="equal">
      <formula>"SC1-7"</formula>
    </cfRule>
    <cfRule type="cellIs" dxfId="1493" priority="4250" operator="equal">
      <formula>"B2-45"</formula>
    </cfRule>
  </conditionalFormatting>
  <conditionalFormatting sqref="I1292">
    <cfRule type="cellIs" dxfId="1492" priority="4247" operator="equal">
      <formula>"SC1-7"</formula>
    </cfRule>
    <cfRule type="cellIs" dxfId="1491" priority="4248" operator="equal">
      <formula>"B2-45"</formula>
    </cfRule>
  </conditionalFormatting>
  <conditionalFormatting sqref="I1293">
    <cfRule type="cellIs" dxfId="1490" priority="4245" operator="equal">
      <formula>"SC1-7"</formula>
    </cfRule>
    <cfRule type="cellIs" dxfId="1489" priority="4246" operator="equal">
      <formula>"B2-45"</formula>
    </cfRule>
  </conditionalFormatting>
  <conditionalFormatting sqref="I1294">
    <cfRule type="cellIs" dxfId="1488" priority="4243" operator="equal">
      <formula>"SC1-7"</formula>
    </cfRule>
    <cfRule type="cellIs" dxfId="1487" priority="4244" operator="equal">
      <formula>"B2-45"</formula>
    </cfRule>
  </conditionalFormatting>
  <conditionalFormatting sqref="I1295">
    <cfRule type="cellIs" dxfId="1486" priority="4241" operator="equal">
      <formula>"SC1-7"</formula>
    </cfRule>
    <cfRule type="cellIs" dxfId="1485" priority="4242" operator="equal">
      <formula>"B2-45"</formula>
    </cfRule>
  </conditionalFormatting>
  <conditionalFormatting sqref="I1145:I1150">
    <cfRule type="cellIs" dxfId="1484" priority="4239" operator="equal">
      <formula>"SC1-7"</formula>
    </cfRule>
    <cfRule type="cellIs" dxfId="1483" priority="4240" operator="equal">
      <formula>"B2-45"</formula>
    </cfRule>
  </conditionalFormatting>
  <conditionalFormatting sqref="I1145">
    <cfRule type="cellIs" dxfId="1482" priority="4237" operator="equal">
      <formula>"SC1-7"</formula>
    </cfRule>
    <cfRule type="cellIs" dxfId="1481" priority="4238" operator="equal">
      <formula>"B2-45"</formula>
    </cfRule>
  </conditionalFormatting>
  <conditionalFormatting sqref="I1146">
    <cfRule type="cellIs" dxfId="1480" priority="4235" operator="equal">
      <formula>"SC1-7"</formula>
    </cfRule>
    <cfRule type="cellIs" dxfId="1479" priority="4236" operator="equal">
      <formula>"B2-45"</formula>
    </cfRule>
  </conditionalFormatting>
  <conditionalFormatting sqref="I1169:I1189">
    <cfRule type="cellIs" dxfId="1478" priority="4201" operator="equal">
      <formula>"SC1-7"</formula>
    </cfRule>
    <cfRule type="cellIs" dxfId="1477" priority="4202" operator="equal">
      <formula>"B2-45"</formula>
    </cfRule>
  </conditionalFormatting>
  <conditionalFormatting sqref="I1190:I1224">
    <cfRule type="cellIs" dxfId="1476" priority="4199" operator="equal">
      <formula>"SC1-7"</formula>
    </cfRule>
    <cfRule type="cellIs" dxfId="1475" priority="4200" operator="equal">
      <formula>"B2-45"</formula>
    </cfRule>
  </conditionalFormatting>
  <conditionalFormatting sqref="I1151">
    <cfRule type="cellIs" dxfId="1474" priority="4197" operator="equal">
      <formula>"SC1-7"</formula>
    </cfRule>
    <cfRule type="cellIs" dxfId="1473" priority="4198" operator="equal">
      <formula>"B2-45"</formula>
    </cfRule>
  </conditionalFormatting>
  <conditionalFormatting sqref="I1152">
    <cfRule type="cellIs" dxfId="1472" priority="4189" operator="equal">
      <formula>"SC1-7"</formula>
    </cfRule>
    <cfRule type="cellIs" dxfId="1471" priority="4190" operator="equal">
      <formula>"B2-45"</formula>
    </cfRule>
  </conditionalFormatting>
  <conditionalFormatting sqref="I1163:I1168">
    <cfRule type="cellIs" dxfId="1470" priority="4195" operator="equal">
      <formula>"SC1-7"</formula>
    </cfRule>
    <cfRule type="cellIs" dxfId="1469" priority="4196" operator="equal">
      <formula>"B2-45"</formula>
    </cfRule>
  </conditionalFormatting>
  <conditionalFormatting sqref="I1153">
    <cfRule type="cellIs" dxfId="1468" priority="4187" operator="equal">
      <formula>"SC1-7"</formula>
    </cfRule>
    <cfRule type="cellIs" dxfId="1467" priority="4188" operator="equal">
      <formula>"B2-45"</formula>
    </cfRule>
  </conditionalFormatting>
  <conditionalFormatting sqref="I1162">
    <cfRule type="cellIs" dxfId="1466" priority="4193" operator="equal">
      <formula>"SC1-7"</formula>
    </cfRule>
    <cfRule type="cellIs" dxfId="1465" priority="4194" operator="equal">
      <formula>"B2-45"</formula>
    </cfRule>
  </conditionalFormatting>
  <conditionalFormatting sqref="I1161">
    <cfRule type="cellIs" dxfId="1464" priority="4191" operator="equal">
      <formula>"SC1-7"</formula>
    </cfRule>
    <cfRule type="cellIs" dxfId="1463" priority="4192" operator="equal">
      <formula>"B2-45"</formula>
    </cfRule>
  </conditionalFormatting>
  <conditionalFormatting sqref="I1154">
    <cfRule type="cellIs" dxfId="1462" priority="4185" operator="equal">
      <formula>"SC1-7"</formula>
    </cfRule>
    <cfRule type="cellIs" dxfId="1461" priority="4186" operator="equal">
      <formula>"B2-45"</formula>
    </cfRule>
  </conditionalFormatting>
  <conditionalFormatting sqref="I1155">
    <cfRule type="cellIs" dxfId="1460" priority="4183" operator="equal">
      <formula>"SC1-7"</formula>
    </cfRule>
    <cfRule type="cellIs" dxfId="1459" priority="4184" operator="equal">
      <formula>"B2-45"</formula>
    </cfRule>
  </conditionalFormatting>
  <conditionalFormatting sqref="I1156">
    <cfRule type="cellIs" dxfId="1458" priority="4181" operator="equal">
      <formula>"SC1-7"</formula>
    </cfRule>
    <cfRule type="cellIs" dxfId="1457" priority="4182" operator="equal">
      <formula>"B2-45"</formula>
    </cfRule>
  </conditionalFormatting>
  <conditionalFormatting sqref="I1157">
    <cfRule type="cellIs" dxfId="1456" priority="4179" operator="equal">
      <formula>"SC1-7"</formula>
    </cfRule>
    <cfRule type="cellIs" dxfId="1455" priority="4180" operator="equal">
      <formula>"B2-45"</formula>
    </cfRule>
  </conditionalFormatting>
  <conditionalFormatting sqref="I1158">
    <cfRule type="cellIs" dxfId="1454" priority="4177" operator="equal">
      <formula>"SC1-7"</formula>
    </cfRule>
    <cfRule type="cellIs" dxfId="1453" priority="4178" operator="equal">
      <formula>"B2-45"</formula>
    </cfRule>
  </conditionalFormatting>
  <conditionalFormatting sqref="I1159:I1161">
    <cfRule type="cellIs" dxfId="1452" priority="4175" operator="equal">
      <formula>"SC1-7"</formula>
    </cfRule>
    <cfRule type="cellIs" dxfId="1451" priority="4176" operator="equal">
      <formula>"B2-45"</formula>
    </cfRule>
  </conditionalFormatting>
  <conditionalFormatting sqref="I1160">
    <cfRule type="cellIs" dxfId="1450" priority="4173" operator="equal">
      <formula>"SC1-7"</formula>
    </cfRule>
    <cfRule type="cellIs" dxfId="1449" priority="4174" operator="equal">
      <formula>"B2-45"</formula>
    </cfRule>
  </conditionalFormatting>
  <conditionalFormatting sqref="I1225:I1281">
    <cfRule type="cellIs" dxfId="1448" priority="4171" operator="equal">
      <formula>"SC1-7"</formula>
    </cfRule>
    <cfRule type="cellIs" dxfId="1447" priority="4172" operator="equal">
      <formula>"B2-45"</formula>
    </cfRule>
  </conditionalFormatting>
  <conditionalFormatting sqref="I1129:I1134">
    <cfRule type="cellIs" dxfId="1446" priority="4169" operator="equal">
      <formula>"SC1-7"</formula>
    </cfRule>
    <cfRule type="cellIs" dxfId="1445" priority="4170" operator="equal">
      <formula>"B2-45"</formula>
    </cfRule>
  </conditionalFormatting>
  <conditionalFormatting sqref="I1129">
    <cfRule type="cellIs" dxfId="1444" priority="4167" operator="equal">
      <formula>"SC1-7"</formula>
    </cfRule>
    <cfRule type="cellIs" dxfId="1443" priority="4168" operator="equal">
      <formula>"B2-45"</formula>
    </cfRule>
  </conditionalFormatting>
  <conditionalFormatting sqref="I1130">
    <cfRule type="cellIs" dxfId="1442" priority="4165" operator="equal">
      <formula>"SC1-7"</formula>
    </cfRule>
    <cfRule type="cellIs" dxfId="1441" priority="4166" operator="equal">
      <formula>"B2-45"</formula>
    </cfRule>
  </conditionalFormatting>
  <conditionalFormatting sqref="I1135">
    <cfRule type="cellIs" dxfId="1440" priority="4143" operator="equal">
      <formula>"SC1-7"</formula>
    </cfRule>
    <cfRule type="cellIs" dxfId="1439" priority="4144" operator="equal">
      <formula>"B2-45"</formula>
    </cfRule>
  </conditionalFormatting>
  <conditionalFormatting sqref="I1136">
    <cfRule type="cellIs" dxfId="1438" priority="4141" operator="equal">
      <formula>"SC1-7"</formula>
    </cfRule>
    <cfRule type="cellIs" dxfId="1437" priority="4142" operator="equal">
      <formula>"B2-45"</formula>
    </cfRule>
  </conditionalFormatting>
  <conditionalFormatting sqref="I1137">
    <cfRule type="cellIs" dxfId="1436" priority="4139" operator="equal">
      <formula>"SC1-7"</formula>
    </cfRule>
    <cfRule type="cellIs" dxfId="1435" priority="4140" operator="equal">
      <formula>"B2-45"</formula>
    </cfRule>
  </conditionalFormatting>
  <conditionalFormatting sqref="I1138">
    <cfRule type="cellIs" dxfId="1434" priority="4137" operator="equal">
      <formula>"SC1-7"</formula>
    </cfRule>
    <cfRule type="cellIs" dxfId="1433" priority="4138" operator="equal">
      <formula>"B2-45"</formula>
    </cfRule>
  </conditionalFormatting>
  <conditionalFormatting sqref="I1139">
    <cfRule type="cellIs" dxfId="1432" priority="4135" operator="equal">
      <formula>"SC1-7"</formula>
    </cfRule>
    <cfRule type="cellIs" dxfId="1431" priority="4136" operator="equal">
      <formula>"B2-45"</formula>
    </cfRule>
  </conditionalFormatting>
  <conditionalFormatting sqref="I1140">
    <cfRule type="cellIs" dxfId="1430" priority="4133" operator="equal">
      <formula>"SC1-7"</formula>
    </cfRule>
    <cfRule type="cellIs" dxfId="1429" priority="4134" operator="equal">
      <formula>"B2-45"</formula>
    </cfRule>
  </conditionalFormatting>
  <conditionalFormatting sqref="I1141">
    <cfRule type="cellIs" dxfId="1428" priority="4131" operator="equal">
      <formula>"SC1-7"</formula>
    </cfRule>
    <cfRule type="cellIs" dxfId="1427" priority="4132" operator="equal">
      <formula>"B2-45"</formula>
    </cfRule>
  </conditionalFormatting>
  <conditionalFormatting sqref="I1142">
    <cfRule type="cellIs" dxfId="1426" priority="4129" operator="equal">
      <formula>"SC1-7"</formula>
    </cfRule>
    <cfRule type="cellIs" dxfId="1425" priority="4130" operator="equal">
      <formula>"B2-45"</formula>
    </cfRule>
  </conditionalFormatting>
  <conditionalFormatting sqref="I1143:I1144">
    <cfRule type="cellIs" dxfId="1424" priority="4127" operator="equal">
      <formula>"SC1-7"</formula>
    </cfRule>
    <cfRule type="cellIs" dxfId="1423" priority="4128" operator="equal">
      <formula>"B2-45"</formula>
    </cfRule>
  </conditionalFormatting>
  <conditionalFormatting sqref="I1144">
    <cfRule type="cellIs" dxfId="1422" priority="4125" operator="equal">
      <formula>"SC1-7"</formula>
    </cfRule>
    <cfRule type="cellIs" dxfId="1421" priority="4126" operator="equal">
      <formula>"B2-45"</formula>
    </cfRule>
  </conditionalFormatting>
  <conditionalFormatting sqref="I1107:I1112">
    <cfRule type="cellIs" dxfId="1420" priority="4123" operator="equal">
      <formula>"SC1-7"</formula>
    </cfRule>
    <cfRule type="cellIs" dxfId="1419" priority="4124" operator="equal">
      <formula>"B2-45"</formula>
    </cfRule>
  </conditionalFormatting>
  <conditionalFormatting sqref="I1107">
    <cfRule type="cellIs" dxfId="1418" priority="4121" operator="equal">
      <formula>"SC1-7"</formula>
    </cfRule>
    <cfRule type="cellIs" dxfId="1417" priority="4122" operator="equal">
      <formula>"B2-45"</formula>
    </cfRule>
  </conditionalFormatting>
  <conditionalFormatting sqref="I1108">
    <cfRule type="cellIs" dxfId="1416" priority="4119" operator="equal">
      <formula>"SC1-7"</formula>
    </cfRule>
    <cfRule type="cellIs" dxfId="1415" priority="4120" operator="equal">
      <formula>"B2-45"</formula>
    </cfRule>
  </conditionalFormatting>
  <conditionalFormatting sqref="I1113">
    <cfRule type="cellIs" dxfId="1414" priority="4091" operator="equal">
      <formula>"SC1-7"</formula>
    </cfRule>
    <cfRule type="cellIs" dxfId="1413" priority="4092" operator="equal">
      <formula>"B2-45"</formula>
    </cfRule>
  </conditionalFormatting>
  <conditionalFormatting sqref="I1114">
    <cfRule type="cellIs" dxfId="1412" priority="4083" operator="equal">
      <formula>"SC1-7"</formula>
    </cfRule>
    <cfRule type="cellIs" dxfId="1411" priority="4084" operator="equal">
      <formula>"B2-45"</formula>
    </cfRule>
  </conditionalFormatting>
  <conditionalFormatting sqref="I1125:I1128">
    <cfRule type="cellIs" dxfId="1410" priority="4089" operator="equal">
      <formula>"SC1-7"</formula>
    </cfRule>
    <cfRule type="cellIs" dxfId="1409" priority="4090" operator="equal">
      <formula>"B2-45"</formula>
    </cfRule>
  </conditionalFormatting>
  <conditionalFormatting sqref="I1115">
    <cfRule type="cellIs" dxfId="1408" priority="4081" operator="equal">
      <formula>"SC1-7"</formula>
    </cfRule>
    <cfRule type="cellIs" dxfId="1407" priority="4082" operator="equal">
      <formula>"B2-45"</formula>
    </cfRule>
  </conditionalFormatting>
  <conditionalFormatting sqref="I1124">
    <cfRule type="cellIs" dxfId="1406" priority="4087" operator="equal">
      <formula>"SC1-7"</formula>
    </cfRule>
    <cfRule type="cellIs" dxfId="1405" priority="4088" operator="equal">
      <formula>"B2-45"</formula>
    </cfRule>
  </conditionalFormatting>
  <conditionalFormatting sqref="I1123">
    <cfRule type="cellIs" dxfId="1404" priority="4085" operator="equal">
      <formula>"SC1-7"</formula>
    </cfRule>
    <cfRule type="cellIs" dxfId="1403" priority="4086" operator="equal">
      <formula>"B2-45"</formula>
    </cfRule>
  </conditionalFormatting>
  <conditionalFormatting sqref="I1116">
    <cfRule type="cellIs" dxfId="1402" priority="4079" operator="equal">
      <formula>"SC1-7"</formula>
    </cfRule>
    <cfRule type="cellIs" dxfId="1401" priority="4080" operator="equal">
      <formula>"B2-45"</formula>
    </cfRule>
  </conditionalFormatting>
  <conditionalFormatting sqref="I1117">
    <cfRule type="cellIs" dxfId="1400" priority="4077" operator="equal">
      <formula>"SC1-7"</formula>
    </cfRule>
    <cfRule type="cellIs" dxfId="1399" priority="4078" operator="equal">
      <formula>"B2-45"</formula>
    </cfRule>
  </conditionalFormatting>
  <conditionalFormatting sqref="I1118">
    <cfRule type="cellIs" dxfId="1398" priority="4075" operator="equal">
      <formula>"SC1-7"</formula>
    </cfRule>
    <cfRule type="cellIs" dxfId="1397" priority="4076" operator="equal">
      <formula>"B2-45"</formula>
    </cfRule>
  </conditionalFormatting>
  <conditionalFormatting sqref="I1119">
    <cfRule type="cellIs" dxfId="1396" priority="4073" operator="equal">
      <formula>"SC1-7"</formula>
    </cfRule>
    <cfRule type="cellIs" dxfId="1395" priority="4074" operator="equal">
      <formula>"B2-45"</formula>
    </cfRule>
  </conditionalFormatting>
  <conditionalFormatting sqref="I1120">
    <cfRule type="cellIs" dxfId="1394" priority="4071" operator="equal">
      <formula>"SC1-7"</formula>
    </cfRule>
    <cfRule type="cellIs" dxfId="1393" priority="4072" operator="equal">
      <formula>"B2-45"</formula>
    </cfRule>
  </conditionalFormatting>
  <conditionalFormatting sqref="I1121:I1123">
    <cfRule type="cellIs" dxfId="1392" priority="4069" operator="equal">
      <formula>"SC1-7"</formula>
    </cfRule>
    <cfRule type="cellIs" dxfId="1391" priority="4070" operator="equal">
      <formula>"B2-45"</formula>
    </cfRule>
  </conditionalFormatting>
  <conditionalFormatting sqref="I1122">
    <cfRule type="cellIs" dxfId="1390" priority="4067" operator="equal">
      <formula>"SC1-7"</formula>
    </cfRule>
    <cfRule type="cellIs" dxfId="1389" priority="4068" operator="equal">
      <formula>"B2-45"</formula>
    </cfRule>
  </conditionalFormatting>
  <conditionalFormatting sqref="I1104:I1105">
    <cfRule type="cellIs" dxfId="1388" priority="4049" operator="equal">
      <formula>"SC1-7"</formula>
    </cfRule>
    <cfRule type="cellIs" dxfId="1387" priority="4050" operator="equal">
      <formula>"B2-45"</formula>
    </cfRule>
  </conditionalFormatting>
  <conditionalFormatting sqref="I1106">
    <cfRule type="cellIs" dxfId="1386" priority="4045" operator="equal">
      <formula>"SC1-7"</formula>
    </cfRule>
    <cfRule type="cellIs" dxfId="1385" priority="4046" operator="equal">
      <formula>"B2-45"</formula>
    </cfRule>
  </conditionalFormatting>
  <conditionalFormatting sqref="I1059:I1064">
    <cfRule type="cellIs" dxfId="1384" priority="3997" operator="equal">
      <formula>"SC1-7"</formula>
    </cfRule>
    <cfRule type="cellIs" dxfId="1383" priority="3998" operator="equal">
      <formula>"B2-45"</formula>
    </cfRule>
  </conditionalFormatting>
  <conditionalFormatting sqref="I1059">
    <cfRule type="cellIs" dxfId="1382" priority="3995" operator="equal">
      <formula>"SC1-7"</formula>
    </cfRule>
    <cfRule type="cellIs" dxfId="1381" priority="3996" operator="equal">
      <formula>"B2-45"</formula>
    </cfRule>
  </conditionalFormatting>
  <conditionalFormatting sqref="I1060">
    <cfRule type="cellIs" dxfId="1380" priority="3993" operator="equal">
      <formula>"SC1-7"</formula>
    </cfRule>
    <cfRule type="cellIs" dxfId="1379" priority="3994" operator="equal">
      <formula>"B2-45"</formula>
    </cfRule>
  </conditionalFormatting>
  <conditionalFormatting sqref="I1065">
    <cfRule type="cellIs" dxfId="1378" priority="3979" operator="equal">
      <formula>"SC1-7"</formula>
    </cfRule>
    <cfRule type="cellIs" dxfId="1377" priority="3980" operator="equal">
      <formula>"B2-45"</formula>
    </cfRule>
  </conditionalFormatting>
  <conditionalFormatting sqref="I1066">
    <cfRule type="cellIs" dxfId="1376" priority="3977" operator="equal">
      <formula>"SC1-7"</formula>
    </cfRule>
    <cfRule type="cellIs" dxfId="1375" priority="3978" operator="equal">
      <formula>"B2-45"</formula>
    </cfRule>
  </conditionalFormatting>
  <conditionalFormatting sqref="I1067">
    <cfRule type="cellIs" dxfId="1374" priority="3975" operator="equal">
      <formula>"SC1-7"</formula>
    </cfRule>
    <cfRule type="cellIs" dxfId="1373" priority="3976" operator="equal">
      <formula>"B2-45"</formula>
    </cfRule>
  </conditionalFormatting>
  <conditionalFormatting sqref="I1068">
    <cfRule type="cellIs" dxfId="1372" priority="3973" operator="equal">
      <formula>"SC1-7"</formula>
    </cfRule>
    <cfRule type="cellIs" dxfId="1371" priority="3974" operator="equal">
      <formula>"B2-45"</formula>
    </cfRule>
  </conditionalFormatting>
  <conditionalFormatting sqref="I1069">
    <cfRule type="cellIs" dxfId="1370" priority="3971" operator="equal">
      <formula>"SC1-7"</formula>
    </cfRule>
    <cfRule type="cellIs" dxfId="1369" priority="3972" operator="equal">
      <formula>"B2-45"</formula>
    </cfRule>
  </conditionalFormatting>
  <conditionalFormatting sqref="I1070">
    <cfRule type="cellIs" dxfId="1368" priority="3969" operator="equal">
      <formula>"SC1-7"</formula>
    </cfRule>
    <cfRule type="cellIs" dxfId="1367" priority="3970" operator="equal">
      <formula>"B2-45"</formula>
    </cfRule>
  </conditionalFormatting>
  <conditionalFormatting sqref="I1094">
    <cfRule type="cellIs" dxfId="1366" priority="3933" operator="equal">
      <formula>"SC1-7"</formula>
    </cfRule>
    <cfRule type="cellIs" dxfId="1365" priority="3934" operator="equal">
      <formula>"B2-45"</formula>
    </cfRule>
  </conditionalFormatting>
  <conditionalFormatting sqref="I1099">
    <cfRule type="cellIs" dxfId="1364" priority="3931" operator="equal">
      <formula>"SC1-7"</formula>
    </cfRule>
    <cfRule type="cellIs" dxfId="1363" priority="3932" operator="equal">
      <formula>"B2-45"</formula>
    </cfRule>
  </conditionalFormatting>
  <conditionalFormatting sqref="I1100">
    <cfRule type="cellIs" dxfId="1362" priority="3929" operator="equal">
      <formula>"SC1-7"</formula>
    </cfRule>
    <cfRule type="cellIs" dxfId="1361" priority="3930" operator="equal">
      <formula>"B2-45"</formula>
    </cfRule>
  </conditionalFormatting>
  <conditionalFormatting sqref="I1101">
    <cfRule type="cellIs" dxfId="1360" priority="3927" operator="equal">
      <formula>"SC1-7"</formula>
    </cfRule>
    <cfRule type="cellIs" dxfId="1359" priority="3928" operator="equal">
      <formula>"B2-45"</formula>
    </cfRule>
  </conditionalFormatting>
  <conditionalFormatting sqref="I1102">
    <cfRule type="cellIs" dxfId="1358" priority="3925" operator="equal">
      <formula>"SC1-7"</formula>
    </cfRule>
    <cfRule type="cellIs" dxfId="1357" priority="3926" operator="equal">
      <formula>"B2-45"</formula>
    </cfRule>
  </conditionalFormatting>
  <conditionalFormatting sqref="I1103">
    <cfRule type="cellIs" dxfId="1356" priority="3923" operator="equal">
      <formula>"SC1-7"</formula>
    </cfRule>
    <cfRule type="cellIs" dxfId="1355" priority="3924" operator="equal">
      <formula>"B2-45"</formula>
    </cfRule>
  </conditionalFormatting>
  <conditionalFormatting sqref="I1093:I1098">
    <cfRule type="cellIs" dxfId="1354" priority="3937" operator="equal">
      <formula>"SC1-7"</formula>
    </cfRule>
    <cfRule type="cellIs" dxfId="1353" priority="3938" operator="equal">
      <formula>"B2-45"</formula>
    </cfRule>
  </conditionalFormatting>
  <conditionalFormatting sqref="I1093">
    <cfRule type="cellIs" dxfId="1352" priority="3935" operator="equal">
      <formula>"SC1-7"</formula>
    </cfRule>
    <cfRule type="cellIs" dxfId="1351" priority="3936" operator="equal">
      <formula>"B2-45"</formula>
    </cfRule>
  </conditionalFormatting>
  <conditionalFormatting sqref="I1104">
    <cfRule type="cellIs" dxfId="1350" priority="3905" operator="equal">
      <formula>"SC1-7"</formula>
    </cfRule>
    <cfRule type="cellIs" dxfId="1349" priority="3906" operator="equal">
      <formula>"B2-45"</formula>
    </cfRule>
  </conditionalFormatting>
  <conditionalFormatting sqref="I1105">
    <cfRule type="cellIs" dxfId="1348" priority="3903" operator="equal">
      <formula>"SC1-7"</formula>
    </cfRule>
    <cfRule type="cellIs" dxfId="1347" priority="3904" operator="equal">
      <formula>"B2-45"</formula>
    </cfRule>
  </conditionalFormatting>
  <conditionalFormatting sqref="I1071:I1076">
    <cfRule type="cellIs" dxfId="1346" priority="3841" operator="equal">
      <formula>"SC1-7"</formula>
    </cfRule>
    <cfRule type="cellIs" dxfId="1345" priority="3842" operator="equal">
      <formula>"B2-45"</formula>
    </cfRule>
  </conditionalFormatting>
  <conditionalFormatting sqref="I1071">
    <cfRule type="cellIs" dxfId="1344" priority="3839" operator="equal">
      <formula>"SC1-7"</formula>
    </cfRule>
    <cfRule type="cellIs" dxfId="1343" priority="3840" operator="equal">
      <formula>"B2-45"</formula>
    </cfRule>
  </conditionalFormatting>
  <conditionalFormatting sqref="I1072">
    <cfRule type="cellIs" dxfId="1342" priority="3837" operator="equal">
      <formula>"SC1-7"</formula>
    </cfRule>
    <cfRule type="cellIs" dxfId="1341" priority="3838" operator="equal">
      <formula>"B2-45"</formula>
    </cfRule>
  </conditionalFormatting>
  <conditionalFormatting sqref="I1077">
    <cfRule type="cellIs" dxfId="1340" priority="3809" operator="equal">
      <formula>"SC1-7"</formula>
    </cfRule>
    <cfRule type="cellIs" dxfId="1339" priority="3810" operator="equal">
      <formula>"B2-45"</formula>
    </cfRule>
  </conditionalFormatting>
  <conditionalFormatting sqref="I1078">
    <cfRule type="cellIs" dxfId="1338" priority="3801" operator="equal">
      <formula>"SC1-7"</formula>
    </cfRule>
    <cfRule type="cellIs" dxfId="1337" priority="3802" operator="equal">
      <formula>"B2-45"</formula>
    </cfRule>
  </conditionalFormatting>
  <conditionalFormatting sqref="I1089:I1092">
    <cfRule type="cellIs" dxfId="1336" priority="3807" operator="equal">
      <formula>"SC1-7"</formula>
    </cfRule>
    <cfRule type="cellIs" dxfId="1335" priority="3808" operator="equal">
      <formula>"B2-45"</formula>
    </cfRule>
  </conditionalFormatting>
  <conditionalFormatting sqref="I1079">
    <cfRule type="cellIs" dxfId="1334" priority="3799" operator="equal">
      <formula>"SC1-7"</formula>
    </cfRule>
    <cfRule type="cellIs" dxfId="1333" priority="3800" operator="equal">
      <formula>"B2-45"</formula>
    </cfRule>
  </conditionalFormatting>
  <conditionalFormatting sqref="I1088">
    <cfRule type="cellIs" dxfId="1332" priority="3805" operator="equal">
      <formula>"SC1-7"</formula>
    </cfRule>
    <cfRule type="cellIs" dxfId="1331" priority="3806" operator="equal">
      <formula>"B2-45"</formula>
    </cfRule>
  </conditionalFormatting>
  <conditionalFormatting sqref="I1087">
    <cfRule type="cellIs" dxfId="1330" priority="3803" operator="equal">
      <formula>"SC1-7"</formula>
    </cfRule>
    <cfRule type="cellIs" dxfId="1329" priority="3804" operator="equal">
      <formula>"B2-45"</formula>
    </cfRule>
  </conditionalFormatting>
  <conditionalFormatting sqref="I1080">
    <cfRule type="cellIs" dxfId="1328" priority="3797" operator="equal">
      <formula>"SC1-7"</formula>
    </cfRule>
    <cfRule type="cellIs" dxfId="1327" priority="3798" operator="equal">
      <formula>"B2-45"</formula>
    </cfRule>
  </conditionalFormatting>
  <conditionalFormatting sqref="I1081">
    <cfRule type="cellIs" dxfId="1326" priority="3795" operator="equal">
      <formula>"SC1-7"</formula>
    </cfRule>
    <cfRule type="cellIs" dxfId="1325" priority="3796" operator="equal">
      <formula>"B2-45"</formula>
    </cfRule>
  </conditionalFormatting>
  <conditionalFormatting sqref="I1082">
    <cfRule type="cellIs" dxfId="1324" priority="3793" operator="equal">
      <formula>"SC1-7"</formula>
    </cfRule>
    <cfRule type="cellIs" dxfId="1323" priority="3794" operator="equal">
      <formula>"B2-45"</formula>
    </cfRule>
  </conditionalFormatting>
  <conditionalFormatting sqref="I1083">
    <cfRule type="cellIs" dxfId="1322" priority="3791" operator="equal">
      <formula>"SC1-7"</formula>
    </cfRule>
    <cfRule type="cellIs" dxfId="1321" priority="3792" operator="equal">
      <formula>"B2-45"</formula>
    </cfRule>
  </conditionalFormatting>
  <conditionalFormatting sqref="I1084">
    <cfRule type="cellIs" dxfId="1320" priority="3789" operator="equal">
      <formula>"SC1-7"</formula>
    </cfRule>
    <cfRule type="cellIs" dxfId="1319" priority="3790" operator="equal">
      <formula>"B2-45"</formula>
    </cfRule>
  </conditionalFormatting>
  <conditionalFormatting sqref="I1085:I1087">
    <cfRule type="cellIs" dxfId="1318" priority="3787" operator="equal">
      <formula>"SC1-7"</formula>
    </cfRule>
    <cfRule type="cellIs" dxfId="1317" priority="3788" operator="equal">
      <formula>"B2-45"</formula>
    </cfRule>
  </conditionalFormatting>
  <conditionalFormatting sqref="I1086">
    <cfRule type="cellIs" dxfId="1316" priority="3785" operator="equal">
      <formula>"SC1-7"</formula>
    </cfRule>
    <cfRule type="cellIs" dxfId="1315" priority="3786" operator="equal">
      <formula>"B2-45"</formula>
    </cfRule>
  </conditionalFormatting>
  <conditionalFormatting sqref="I1048:I1053">
    <cfRule type="cellIs" dxfId="1314" priority="3783" operator="equal">
      <formula>"SC1-7"</formula>
    </cfRule>
    <cfRule type="cellIs" dxfId="1313" priority="3784" operator="equal">
      <formula>"B2-45"</formula>
    </cfRule>
  </conditionalFormatting>
  <conditionalFormatting sqref="I1048">
    <cfRule type="cellIs" dxfId="1312" priority="3781" operator="equal">
      <formula>"SC1-7"</formula>
    </cfRule>
    <cfRule type="cellIs" dxfId="1311" priority="3782" operator="equal">
      <formula>"B2-45"</formula>
    </cfRule>
  </conditionalFormatting>
  <conditionalFormatting sqref="I1049">
    <cfRule type="cellIs" dxfId="1310" priority="3779" operator="equal">
      <formula>"SC1-7"</formula>
    </cfRule>
    <cfRule type="cellIs" dxfId="1309" priority="3780" operator="equal">
      <formula>"B2-45"</formula>
    </cfRule>
  </conditionalFormatting>
  <conditionalFormatting sqref="I1054">
    <cfRule type="cellIs" dxfId="1308" priority="3767" operator="equal">
      <formula>"SC1-7"</formula>
    </cfRule>
    <cfRule type="cellIs" dxfId="1307" priority="3768" operator="equal">
      <formula>"B2-45"</formula>
    </cfRule>
  </conditionalFormatting>
  <conditionalFormatting sqref="I1055">
    <cfRule type="cellIs" dxfId="1306" priority="3765" operator="equal">
      <formula>"SC1-7"</formula>
    </cfRule>
    <cfRule type="cellIs" dxfId="1305" priority="3766" operator="equal">
      <formula>"B2-45"</formula>
    </cfRule>
  </conditionalFormatting>
  <conditionalFormatting sqref="I1056">
    <cfRule type="cellIs" dxfId="1304" priority="3763" operator="equal">
      <formula>"SC1-7"</formula>
    </cfRule>
    <cfRule type="cellIs" dxfId="1303" priority="3764" operator="equal">
      <formula>"B2-45"</formula>
    </cfRule>
  </conditionalFormatting>
  <conditionalFormatting sqref="I1057">
    <cfRule type="cellIs" dxfId="1302" priority="3761" operator="equal">
      <formula>"SC1-7"</formula>
    </cfRule>
    <cfRule type="cellIs" dxfId="1301" priority="3762" operator="equal">
      <formula>"B2-45"</formula>
    </cfRule>
  </conditionalFormatting>
  <conditionalFormatting sqref="I1058">
    <cfRule type="cellIs" dxfId="1300" priority="3759" operator="equal">
      <formula>"SC1-7"</formula>
    </cfRule>
    <cfRule type="cellIs" dxfId="1299" priority="3760" operator="equal">
      <formula>"B2-45"</formula>
    </cfRule>
  </conditionalFormatting>
  <conditionalFormatting sqref="I1038:I1043">
    <cfRule type="cellIs" dxfId="1298" priority="3735" operator="equal">
      <formula>"SC1-7"</formula>
    </cfRule>
    <cfRule type="cellIs" dxfId="1297" priority="3736" operator="equal">
      <formula>"B2-45"</formula>
    </cfRule>
  </conditionalFormatting>
  <conditionalFormatting sqref="I1038">
    <cfRule type="cellIs" dxfId="1296" priority="3733" operator="equal">
      <formula>"SC1-7"</formula>
    </cfRule>
    <cfRule type="cellIs" dxfId="1295" priority="3734" operator="equal">
      <formula>"B2-45"</formula>
    </cfRule>
  </conditionalFormatting>
  <conditionalFormatting sqref="I1039">
    <cfRule type="cellIs" dxfId="1294" priority="3731" operator="equal">
      <formula>"SC1-7"</formula>
    </cfRule>
    <cfRule type="cellIs" dxfId="1293" priority="3732" operator="equal">
      <formula>"B2-45"</formula>
    </cfRule>
  </conditionalFormatting>
  <conditionalFormatting sqref="I1044">
    <cfRule type="cellIs" dxfId="1292" priority="3721" operator="equal">
      <formula>"SC1-7"</formula>
    </cfRule>
    <cfRule type="cellIs" dxfId="1291" priority="3722" operator="equal">
      <formula>"B2-45"</formula>
    </cfRule>
  </conditionalFormatting>
  <conditionalFormatting sqref="I1045">
    <cfRule type="cellIs" dxfId="1290" priority="3719" operator="equal">
      <formula>"SC1-7"</formula>
    </cfRule>
    <cfRule type="cellIs" dxfId="1289" priority="3720" operator="equal">
      <formula>"B2-45"</formula>
    </cfRule>
  </conditionalFormatting>
  <conditionalFormatting sqref="I1046">
    <cfRule type="cellIs" dxfId="1288" priority="3717" operator="equal">
      <formula>"SC1-7"</formula>
    </cfRule>
    <cfRule type="cellIs" dxfId="1287" priority="3718" operator="equal">
      <formula>"B2-45"</formula>
    </cfRule>
  </conditionalFormatting>
  <conditionalFormatting sqref="I1047">
    <cfRule type="cellIs" dxfId="1286" priority="3715" operator="equal">
      <formula>"SC1-7"</formula>
    </cfRule>
    <cfRule type="cellIs" dxfId="1285" priority="3716" operator="equal">
      <formula>"B2-45"</formula>
    </cfRule>
  </conditionalFormatting>
  <conditionalFormatting sqref="I1029:I1034">
    <cfRule type="cellIs" dxfId="1284" priority="3713" operator="equal">
      <formula>"SC1-7"</formula>
    </cfRule>
    <cfRule type="cellIs" dxfId="1283" priority="3714" operator="equal">
      <formula>"B2-45"</formula>
    </cfRule>
  </conditionalFormatting>
  <conditionalFormatting sqref="I1029">
    <cfRule type="cellIs" dxfId="1282" priority="3711" operator="equal">
      <formula>"SC1-7"</formula>
    </cfRule>
    <cfRule type="cellIs" dxfId="1281" priority="3712" operator="equal">
      <formula>"B2-45"</formula>
    </cfRule>
  </conditionalFormatting>
  <conditionalFormatting sqref="I1030">
    <cfRule type="cellIs" dxfId="1280" priority="3709" operator="equal">
      <formula>"SC1-7"</formula>
    </cfRule>
    <cfRule type="cellIs" dxfId="1279" priority="3710" operator="equal">
      <formula>"B2-45"</formula>
    </cfRule>
  </conditionalFormatting>
  <conditionalFormatting sqref="I1035">
    <cfRule type="cellIs" dxfId="1278" priority="3701" operator="equal">
      <formula>"SC1-7"</formula>
    </cfRule>
    <cfRule type="cellIs" dxfId="1277" priority="3702" operator="equal">
      <formula>"B2-45"</formula>
    </cfRule>
  </conditionalFormatting>
  <conditionalFormatting sqref="I1036">
    <cfRule type="cellIs" dxfId="1276" priority="3699" operator="equal">
      <formula>"SC1-7"</formula>
    </cfRule>
    <cfRule type="cellIs" dxfId="1275" priority="3700" operator="equal">
      <formula>"B2-45"</formula>
    </cfRule>
  </conditionalFormatting>
  <conditionalFormatting sqref="I1037">
    <cfRule type="cellIs" dxfId="1274" priority="3697" operator="equal">
      <formula>"SC1-7"</formula>
    </cfRule>
    <cfRule type="cellIs" dxfId="1273" priority="3698" operator="equal">
      <formula>"B2-45"</formula>
    </cfRule>
  </conditionalFormatting>
  <conditionalFormatting sqref="I998">
    <cfRule type="cellIs" dxfId="1272" priority="2669" operator="equal">
      <formula>"SC1-7"</formula>
    </cfRule>
    <cfRule type="cellIs" dxfId="1271" priority="2670" operator="equal">
      <formula>"B2-45"</formula>
    </cfRule>
  </conditionalFormatting>
  <conditionalFormatting sqref="I1009:I1013">
    <cfRule type="cellIs" dxfId="1270" priority="2675" operator="equal">
      <formula>"SC1-7"</formula>
    </cfRule>
    <cfRule type="cellIs" dxfId="1269" priority="2676" operator="equal">
      <formula>"B2-45"</formula>
    </cfRule>
  </conditionalFormatting>
  <conditionalFormatting sqref="I999">
    <cfRule type="cellIs" dxfId="1268" priority="2667" operator="equal">
      <formula>"SC1-7"</formula>
    </cfRule>
    <cfRule type="cellIs" dxfId="1267" priority="2668" operator="equal">
      <formula>"B2-45"</formula>
    </cfRule>
  </conditionalFormatting>
  <conditionalFormatting sqref="I1008">
    <cfRule type="cellIs" dxfId="1266" priority="2673" operator="equal">
      <formula>"SC1-7"</formula>
    </cfRule>
    <cfRule type="cellIs" dxfId="1265" priority="2674" operator="equal">
      <formula>"B2-45"</formula>
    </cfRule>
  </conditionalFormatting>
  <conditionalFormatting sqref="I1007">
    <cfRule type="cellIs" dxfId="1264" priority="2671" operator="equal">
      <formula>"SC1-7"</formula>
    </cfRule>
    <cfRule type="cellIs" dxfId="1263" priority="2672" operator="equal">
      <formula>"B2-45"</formula>
    </cfRule>
  </conditionalFormatting>
  <conditionalFormatting sqref="I1000">
    <cfRule type="cellIs" dxfId="1262" priority="2665" operator="equal">
      <formula>"SC1-7"</formula>
    </cfRule>
    <cfRule type="cellIs" dxfId="1261" priority="2666" operator="equal">
      <formula>"B2-45"</formula>
    </cfRule>
  </conditionalFormatting>
  <conditionalFormatting sqref="I1001">
    <cfRule type="cellIs" dxfId="1260" priority="2663" operator="equal">
      <formula>"SC1-7"</formula>
    </cfRule>
    <cfRule type="cellIs" dxfId="1259" priority="2664" operator="equal">
      <formula>"B2-45"</formula>
    </cfRule>
  </conditionalFormatting>
  <conditionalFormatting sqref="I1002">
    <cfRule type="cellIs" dxfId="1258" priority="2661" operator="equal">
      <formula>"SC1-7"</formula>
    </cfRule>
    <cfRule type="cellIs" dxfId="1257" priority="2662" operator="equal">
      <formula>"B2-45"</formula>
    </cfRule>
  </conditionalFormatting>
  <conditionalFormatting sqref="I1003">
    <cfRule type="cellIs" dxfId="1256" priority="2659" operator="equal">
      <formula>"SC1-7"</formula>
    </cfRule>
    <cfRule type="cellIs" dxfId="1255" priority="2660" operator="equal">
      <formula>"B2-45"</formula>
    </cfRule>
  </conditionalFormatting>
  <conditionalFormatting sqref="I1004">
    <cfRule type="cellIs" dxfId="1254" priority="2657" operator="equal">
      <formula>"SC1-7"</formula>
    </cfRule>
    <cfRule type="cellIs" dxfId="1253" priority="2658" operator="equal">
      <formula>"B2-45"</formula>
    </cfRule>
  </conditionalFormatting>
  <conditionalFormatting sqref="I1005:I1007">
    <cfRule type="cellIs" dxfId="1252" priority="2655" operator="equal">
      <formula>"SC1-7"</formula>
    </cfRule>
    <cfRule type="cellIs" dxfId="1251" priority="2656" operator="equal">
      <formula>"B2-45"</formula>
    </cfRule>
  </conditionalFormatting>
  <conditionalFormatting sqref="I1006">
    <cfRule type="cellIs" dxfId="1250" priority="2653" operator="equal">
      <formula>"SC1-7"</formula>
    </cfRule>
    <cfRule type="cellIs" dxfId="1249" priority="2654" operator="equal">
      <formula>"B2-45"</formula>
    </cfRule>
  </conditionalFormatting>
  <conditionalFormatting sqref="I1014">
    <cfRule type="cellIs" dxfId="1248" priority="2651" operator="equal">
      <formula>"SC1-7"</formula>
    </cfRule>
    <cfRule type="cellIs" dxfId="1247" priority="2652" operator="equal">
      <formula>"B2-45"</formula>
    </cfRule>
  </conditionalFormatting>
  <conditionalFormatting sqref="I1015">
    <cfRule type="cellIs" dxfId="1246" priority="2647" operator="equal">
      <formula>"SC1-7"</formula>
    </cfRule>
    <cfRule type="cellIs" dxfId="1245" priority="2648" operator="equal">
      <formula>"B2-45"</formula>
    </cfRule>
  </conditionalFormatting>
  <conditionalFormatting sqref="I1027">
    <cfRule type="cellIs" dxfId="1244" priority="2645" operator="equal">
      <formula>"SC1-7"</formula>
    </cfRule>
    <cfRule type="cellIs" dxfId="1243" priority="2646" operator="equal">
      <formula>"B2-45"</formula>
    </cfRule>
  </conditionalFormatting>
  <conditionalFormatting sqref="I991:I996">
    <cfRule type="cellIs" dxfId="1242" priority="2643" operator="equal">
      <formula>"SC1-7"</formula>
    </cfRule>
    <cfRule type="cellIs" dxfId="1241" priority="2644" operator="equal">
      <formula>"B2-45"</formula>
    </cfRule>
  </conditionalFormatting>
  <conditionalFormatting sqref="I991">
    <cfRule type="cellIs" dxfId="1240" priority="2641" operator="equal">
      <formula>"SC1-7"</formula>
    </cfRule>
    <cfRule type="cellIs" dxfId="1239" priority="2642" operator="equal">
      <formula>"B2-45"</formula>
    </cfRule>
  </conditionalFormatting>
  <conditionalFormatting sqref="I992">
    <cfRule type="cellIs" dxfId="1238" priority="2639" operator="equal">
      <formula>"SC1-7"</formula>
    </cfRule>
    <cfRule type="cellIs" dxfId="1237" priority="2640" operator="equal">
      <formula>"B2-45"</formula>
    </cfRule>
  </conditionalFormatting>
  <conditionalFormatting sqref="I997:I1015">
    <cfRule type="cellIs" dxfId="1236" priority="2611" operator="equal">
      <formula>"SC1-7"</formula>
    </cfRule>
    <cfRule type="cellIs" dxfId="1235" priority="2612" operator="equal">
      <formula>"B2-45"</formula>
    </cfRule>
  </conditionalFormatting>
  <conditionalFormatting sqref="I1016">
    <cfRule type="cellIs" dxfId="1234" priority="2603" operator="equal">
      <formula>"SC1-7"</formula>
    </cfRule>
    <cfRule type="cellIs" dxfId="1233" priority="2604" operator="equal">
      <formula>"B2-45"</formula>
    </cfRule>
  </conditionalFormatting>
  <conditionalFormatting sqref="I1017">
    <cfRule type="cellIs" dxfId="1232" priority="2601" operator="equal">
      <formula>"SC1-7"</formula>
    </cfRule>
    <cfRule type="cellIs" dxfId="1231" priority="2602" operator="equal">
      <formula>"B2-45"</formula>
    </cfRule>
  </conditionalFormatting>
  <conditionalFormatting sqref="I1026">
    <cfRule type="cellIs" dxfId="1230" priority="2607" operator="equal">
      <formula>"SC1-7"</formula>
    </cfRule>
    <cfRule type="cellIs" dxfId="1229" priority="2608" operator="equal">
      <formula>"B2-45"</formula>
    </cfRule>
  </conditionalFormatting>
  <conditionalFormatting sqref="I1025">
    <cfRule type="cellIs" dxfId="1228" priority="2605" operator="equal">
      <formula>"SC1-7"</formula>
    </cfRule>
    <cfRule type="cellIs" dxfId="1227" priority="2606" operator="equal">
      <formula>"B2-45"</formula>
    </cfRule>
  </conditionalFormatting>
  <conditionalFormatting sqref="I1018">
    <cfRule type="cellIs" dxfId="1226" priority="2599" operator="equal">
      <formula>"SC1-7"</formula>
    </cfRule>
    <cfRule type="cellIs" dxfId="1225" priority="2600" operator="equal">
      <formula>"B2-45"</formula>
    </cfRule>
  </conditionalFormatting>
  <conditionalFormatting sqref="I1019">
    <cfRule type="cellIs" dxfId="1224" priority="2597" operator="equal">
      <formula>"SC1-7"</formula>
    </cfRule>
    <cfRule type="cellIs" dxfId="1223" priority="2598" operator="equal">
      <formula>"B2-45"</formula>
    </cfRule>
  </conditionalFormatting>
  <conditionalFormatting sqref="I1020">
    <cfRule type="cellIs" dxfId="1222" priority="2595" operator="equal">
      <formula>"SC1-7"</formula>
    </cfRule>
    <cfRule type="cellIs" dxfId="1221" priority="2596" operator="equal">
      <formula>"B2-45"</formula>
    </cfRule>
  </conditionalFormatting>
  <conditionalFormatting sqref="I1021">
    <cfRule type="cellIs" dxfId="1220" priority="2593" operator="equal">
      <formula>"SC1-7"</formula>
    </cfRule>
    <cfRule type="cellIs" dxfId="1219" priority="2594" operator="equal">
      <formula>"B2-45"</formula>
    </cfRule>
  </conditionalFormatting>
  <conditionalFormatting sqref="I1022">
    <cfRule type="cellIs" dxfId="1218" priority="2591" operator="equal">
      <formula>"SC1-7"</formula>
    </cfRule>
    <cfRule type="cellIs" dxfId="1217" priority="2592" operator="equal">
      <formula>"B2-45"</formula>
    </cfRule>
  </conditionalFormatting>
  <conditionalFormatting sqref="I1023:I1025">
    <cfRule type="cellIs" dxfId="1216" priority="2589" operator="equal">
      <formula>"SC1-7"</formula>
    </cfRule>
    <cfRule type="cellIs" dxfId="1215" priority="2590" operator="equal">
      <formula>"B2-45"</formula>
    </cfRule>
  </conditionalFormatting>
  <conditionalFormatting sqref="I1024">
    <cfRule type="cellIs" dxfId="1214" priority="2587" operator="equal">
      <formula>"SC1-7"</formula>
    </cfRule>
    <cfRule type="cellIs" dxfId="1213" priority="2588" operator="equal">
      <formula>"B2-45"</formula>
    </cfRule>
  </conditionalFormatting>
  <conditionalFormatting sqref="I981:I986">
    <cfRule type="cellIs" dxfId="1212" priority="2585" operator="equal">
      <formula>"SC1-7"</formula>
    </cfRule>
    <cfRule type="cellIs" dxfId="1211" priority="2586" operator="equal">
      <formula>"B2-45"</formula>
    </cfRule>
  </conditionalFormatting>
  <conditionalFormatting sqref="I981">
    <cfRule type="cellIs" dxfId="1210" priority="2583" operator="equal">
      <formula>"SC1-7"</formula>
    </cfRule>
    <cfRule type="cellIs" dxfId="1209" priority="2584" operator="equal">
      <formula>"B2-45"</formula>
    </cfRule>
  </conditionalFormatting>
  <conditionalFormatting sqref="I982">
    <cfRule type="cellIs" dxfId="1208" priority="2581" operator="equal">
      <formula>"SC1-7"</formula>
    </cfRule>
    <cfRule type="cellIs" dxfId="1207" priority="2582" operator="equal">
      <formula>"B2-45"</formula>
    </cfRule>
  </conditionalFormatting>
  <conditionalFormatting sqref="I987">
    <cfRule type="cellIs" dxfId="1206" priority="2571" operator="equal">
      <formula>"SC1-7"</formula>
    </cfRule>
    <cfRule type="cellIs" dxfId="1205" priority="2572" operator="equal">
      <formula>"B2-45"</formula>
    </cfRule>
  </conditionalFormatting>
  <conditionalFormatting sqref="I988">
    <cfRule type="cellIs" dxfId="1204" priority="2569" operator="equal">
      <formula>"SC1-7"</formula>
    </cfRule>
    <cfRule type="cellIs" dxfId="1203" priority="2570" operator="equal">
      <formula>"B2-45"</formula>
    </cfRule>
  </conditionalFormatting>
  <conditionalFormatting sqref="I989">
    <cfRule type="cellIs" dxfId="1202" priority="2567" operator="equal">
      <formula>"SC1-7"</formula>
    </cfRule>
    <cfRule type="cellIs" dxfId="1201" priority="2568" operator="equal">
      <formula>"B2-45"</formula>
    </cfRule>
  </conditionalFormatting>
  <conditionalFormatting sqref="I990">
    <cfRule type="cellIs" dxfId="1200" priority="2565" operator="equal">
      <formula>"SC1-7"</formula>
    </cfRule>
    <cfRule type="cellIs" dxfId="1199" priority="2566" operator="equal">
      <formula>"B2-45"</formula>
    </cfRule>
  </conditionalFormatting>
  <conditionalFormatting sqref="I969:I974">
    <cfRule type="cellIs" dxfId="1198" priority="2563" operator="equal">
      <formula>"SC1-7"</formula>
    </cfRule>
    <cfRule type="cellIs" dxfId="1197" priority="2564" operator="equal">
      <formula>"B2-45"</formula>
    </cfRule>
  </conditionalFormatting>
  <conditionalFormatting sqref="I969">
    <cfRule type="cellIs" dxfId="1196" priority="2561" operator="equal">
      <formula>"SC1-7"</formula>
    </cfRule>
    <cfRule type="cellIs" dxfId="1195" priority="2562" operator="equal">
      <formula>"B2-45"</formula>
    </cfRule>
  </conditionalFormatting>
  <conditionalFormatting sqref="I970">
    <cfRule type="cellIs" dxfId="1194" priority="2559" operator="equal">
      <formula>"SC1-7"</formula>
    </cfRule>
    <cfRule type="cellIs" dxfId="1193" priority="2560" operator="equal">
      <formula>"B2-45"</formula>
    </cfRule>
  </conditionalFormatting>
  <conditionalFormatting sqref="I975">
    <cfRule type="cellIs" dxfId="1192" priority="2545" operator="equal">
      <formula>"SC1-7"</formula>
    </cfRule>
    <cfRule type="cellIs" dxfId="1191" priority="2546" operator="equal">
      <formula>"B2-45"</formula>
    </cfRule>
  </conditionalFormatting>
  <conditionalFormatting sqref="I976">
    <cfRule type="cellIs" dxfId="1190" priority="2543" operator="equal">
      <formula>"SC1-7"</formula>
    </cfRule>
    <cfRule type="cellIs" dxfId="1189" priority="2544" operator="equal">
      <formula>"B2-45"</formula>
    </cfRule>
  </conditionalFormatting>
  <conditionalFormatting sqref="I977">
    <cfRule type="cellIs" dxfId="1188" priority="2541" operator="equal">
      <formula>"SC1-7"</formula>
    </cfRule>
    <cfRule type="cellIs" dxfId="1187" priority="2542" operator="equal">
      <formula>"B2-45"</formula>
    </cfRule>
  </conditionalFormatting>
  <conditionalFormatting sqref="I978">
    <cfRule type="cellIs" dxfId="1186" priority="2539" operator="equal">
      <formula>"SC1-7"</formula>
    </cfRule>
    <cfRule type="cellIs" dxfId="1185" priority="2540" operator="equal">
      <formula>"B2-45"</formula>
    </cfRule>
  </conditionalFormatting>
  <conditionalFormatting sqref="I979">
    <cfRule type="cellIs" dxfId="1184" priority="2537" operator="equal">
      <formula>"SC1-7"</formula>
    </cfRule>
    <cfRule type="cellIs" dxfId="1183" priority="2538" operator="equal">
      <formula>"B2-45"</formula>
    </cfRule>
  </conditionalFormatting>
  <conditionalFormatting sqref="I980">
    <cfRule type="cellIs" dxfId="1182" priority="2535" operator="equal">
      <formula>"SC1-7"</formula>
    </cfRule>
    <cfRule type="cellIs" dxfId="1181" priority="2536" operator="equal">
      <formula>"B2-45"</formula>
    </cfRule>
  </conditionalFormatting>
  <conditionalFormatting sqref="I914:I919">
    <cfRule type="cellIs" dxfId="1180" priority="2533" operator="equal">
      <formula>"SC1-7"</formula>
    </cfRule>
    <cfRule type="cellIs" dxfId="1179" priority="2534" operator="equal">
      <formula>"B2-45"</formula>
    </cfRule>
  </conditionalFormatting>
  <conditionalFormatting sqref="I914">
    <cfRule type="cellIs" dxfId="1178" priority="2531" operator="equal">
      <formula>"SC1-7"</formula>
    </cfRule>
    <cfRule type="cellIs" dxfId="1177" priority="2532" operator="equal">
      <formula>"B2-45"</formula>
    </cfRule>
  </conditionalFormatting>
  <conditionalFormatting sqref="I915">
    <cfRule type="cellIs" dxfId="1176" priority="2529" operator="equal">
      <formula>"SC1-7"</formula>
    </cfRule>
    <cfRule type="cellIs" dxfId="1175" priority="2530" operator="equal">
      <formula>"B2-45"</formula>
    </cfRule>
  </conditionalFormatting>
  <conditionalFormatting sqref="I938:I958">
    <cfRule type="cellIs" dxfId="1174" priority="2497" operator="equal">
      <formula>"SC1-7"</formula>
    </cfRule>
    <cfRule type="cellIs" dxfId="1173" priority="2498" operator="equal">
      <formula>"B2-45"</formula>
    </cfRule>
  </conditionalFormatting>
  <conditionalFormatting sqref="I959:I968">
    <cfRule type="cellIs" dxfId="1172" priority="2495" operator="equal">
      <formula>"SC1-7"</formula>
    </cfRule>
    <cfRule type="cellIs" dxfId="1171" priority="2496" operator="equal">
      <formula>"B2-45"</formula>
    </cfRule>
  </conditionalFormatting>
  <conditionalFormatting sqref="I920">
    <cfRule type="cellIs" dxfId="1170" priority="2493" operator="equal">
      <formula>"SC1-7"</formula>
    </cfRule>
    <cfRule type="cellIs" dxfId="1169" priority="2494" operator="equal">
      <formula>"B2-45"</formula>
    </cfRule>
  </conditionalFormatting>
  <conditionalFormatting sqref="I921">
    <cfRule type="cellIs" dxfId="1168" priority="2485" operator="equal">
      <formula>"SC1-7"</formula>
    </cfRule>
    <cfRule type="cellIs" dxfId="1167" priority="2486" operator="equal">
      <formula>"B2-45"</formula>
    </cfRule>
  </conditionalFormatting>
  <conditionalFormatting sqref="I932:I937">
    <cfRule type="cellIs" dxfId="1166" priority="2491" operator="equal">
      <formula>"SC1-7"</formula>
    </cfRule>
    <cfRule type="cellIs" dxfId="1165" priority="2492" operator="equal">
      <formula>"B2-45"</formula>
    </cfRule>
  </conditionalFormatting>
  <conditionalFormatting sqref="I922">
    <cfRule type="cellIs" dxfId="1164" priority="2483" operator="equal">
      <formula>"SC1-7"</formula>
    </cfRule>
    <cfRule type="cellIs" dxfId="1163" priority="2484" operator="equal">
      <formula>"B2-45"</formula>
    </cfRule>
  </conditionalFormatting>
  <conditionalFormatting sqref="I931">
    <cfRule type="cellIs" dxfId="1162" priority="2489" operator="equal">
      <formula>"SC1-7"</formula>
    </cfRule>
    <cfRule type="cellIs" dxfId="1161" priority="2490" operator="equal">
      <formula>"B2-45"</formula>
    </cfRule>
  </conditionalFormatting>
  <conditionalFormatting sqref="I930">
    <cfRule type="cellIs" dxfId="1160" priority="2487" operator="equal">
      <formula>"SC1-7"</formula>
    </cfRule>
    <cfRule type="cellIs" dxfId="1159" priority="2488" operator="equal">
      <formula>"B2-45"</formula>
    </cfRule>
  </conditionalFormatting>
  <conditionalFormatting sqref="I923">
    <cfRule type="cellIs" dxfId="1158" priority="2481" operator="equal">
      <formula>"SC1-7"</formula>
    </cfRule>
    <cfRule type="cellIs" dxfId="1157" priority="2482" operator="equal">
      <formula>"B2-45"</formula>
    </cfRule>
  </conditionalFormatting>
  <conditionalFormatting sqref="I924">
    <cfRule type="cellIs" dxfId="1156" priority="2479" operator="equal">
      <formula>"SC1-7"</formula>
    </cfRule>
    <cfRule type="cellIs" dxfId="1155" priority="2480" operator="equal">
      <formula>"B2-45"</formula>
    </cfRule>
  </conditionalFormatting>
  <conditionalFormatting sqref="I925">
    <cfRule type="cellIs" dxfId="1154" priority="2477" operator="equal">
      <formula>"SC1-7"</formula>
    </cfRule>
    <cfRule type="cellIs" dxfId="1153" priority="2478" operator="equal">
      <formula>"B2-45"</formula>
    </cfRule>
  </conditionalFormatting>
  <conditionalFormatting sqref="I926">
    <cfRule type="cellIs" dxfId="1152" priority="2475" operator="equal">
      <formula>"SC1-7"</formula>
    </cfRule>
    <cfRule type="cellIs" dxfId="1151" priority="2476" operator="equal">
      <formula>"B2-45"</formula>
    </cfRule>
  </conditionalFormatting>
  <conditionalFormatting sqref="I927">
    <cfRule type="cellIs" dxfId="1150" priority="2473" operator="equal">
      <formula>"SC1-7"</formula>
    </cfRule>
    <cfRule type="cellIs" dxfId="1149" priority="2474" operator="equal">
      <formula>"B2-45"</formula>
    </cfRule>
  </conditionalFormatting>
  <conditionalFormatting sqref="I928:I930">
    <cfRule type="cellIs" dxfId="1148" priority="2471" operator="equal">
      <formula>"SC1-7"</formula>
    </cfRule>
    <cfRule type="cellIs" dxfId="1147" priority="2472" operator="equal">
      <formula>"B2-45"</formula>
    </cfRule>
  </conditionalFormatting>
  <conditionalFormatting sqref="I929">
    <cfRule type="cellIs" dxfId="1146" priority="2469" operator="equal">
      <formula>"SC1-7"</formula>
    </cfRule>
    <cfRule type="cellIs" dxfId="1145" priority="2470" operator="equal">
      <formula>"B2-45"</formula>
    </cfRule>
  </conditionalFormatting>
  <conditionalFormatting sqref="I912">
    <cfRule type="cellIs" dxfId="1144" priority="2453" operator="equal">
      <formula>"SC1-7"</formula>
    </cfRule>
    <cfRule type="cellIs" dxfId="1143" priority="2454" operator="equal">
      <formula>"B2-45"</formula>
    </cfRule>
  </conditionalFormatting>
  <conditionalFormatting sqref="I913">
    <cfRule type="cellIs" dxfId="1142" priority="2451" operator="equal">
      <formula>"SC1-7"</formula>
    </cfRule>
    <cfRule type="cellIs" dxfId="1141" priority="2452" operator="equal">
      <formula>"B2-45"</formula>
    </cfRule>
  </conditionalFormatting>
  <conditionalFormatting sqref="I911">
    <cfRule type="cellIs" dxfId="1140" priority="2435" operator="equal">
      <formula>"SC1-7"</formula>
    </cfRule>
    <cfRule type="cellIs" dxfId="1139" priority="2436" operator="equal">
      <formula>"B2-45"</formula>
    </cfRule>
  </conditionalFormatting>
  <conditionalFormatting sqref="I909">
    <cfRule type="cellIs" dxfId="1138" priority="2415" operator="equal">
      <formula>"SC1-7"</formula>
    </cfRule>
    <cfRule type="cellIs" dxfId="1137" priority="2416" operator="equal">
      <formula>"B2-45"</formula>
    </cfRule>
  </conditionalFormatting>
  <conditionalFormatting sqref="I910:I911">
    <cfRule type="cellIs" dxfId="1136" priority="2413" operator="equal">
      <formula>"SC1-7"</formula>
    </cfRule>
    <cfRule type="cellIs" dxfId="1135" priority="2414" operator="equal">
      <formula>"B2-45"</formula>
    </cfRule>
  </conditionalFormatting>
  <conditionalFormatting sqref="I905">
    <cfRule type="cellIs" dxfId="1134" priority="2359" operator="equal">
      <formula>"SC1-7"</formula>
    </cfRule>
    <cfRule type="cellIs" dxfId="1133" priority="2360" operator="equal">
      <formula>"B2-45"</formula>
    </cfRule>
  </conditionalFormatting>
  <conditionalFormatting sqref="I906">
    <cfRule type="cellIs" dxfId="1132" priority="2357" operator="equal">
      <formula>"SC1-7"</formula>
    </cfRule>
    <cfRule type="cellIs" dxfId="1131" priority="2358" operator="equal">
      <formula>"B2-45"</formula>
    </cfRule>
  </conditionalFormatting>
  <conditionalFormatting sqref="I907">
    <cfRule type="cellIs" dxfId="1130" priority="2355" operator="equal">
      <formula>"SC1-7"</formula>
    </cfRule>
    <cfRule type="cellIs" dxfId="1129" priority="2356" operator="equal">
      <formula>"B2-45"</formula>
    </cfRule>
  </conditionalFormatting>
  <conditionalFormatting sqref="I908">
    <cfRule type="cellIs" dxfId="1128" priority="2353" operator="equal">
      <formula>"SC1-7"</formula>
    </cfRule>
    <cfRule type="cellIs" dxfId="1127" priority="2354" operator="equal">
      <formula>"B2-45"</formula>
    </cfRule>
  </conditionalFormatting>
  <conditionalFormatting sqref="I869:I874">
    <cfRule type="cellIs" dxfId="1126" priority="2349" operator="equal">
      <formula>"SC1-7"</formula>
    </cfRule>
    <cfRule type="cellIs" dxfId="1125" priority="2350" operator="equal">
      <formula>"B2-45"</formula>
    </cfRule>
  </conditionalFormatting>
  <conditionalFormatting sqref="I869">
    <cfRule type="cellIs" dxfId="1124" priority="2347" operator="equal">
      <formula>"SC1-7"</formula>
    </cfRule>
    <cfRule type="cellIs" dxfId="1123" priority="2348" operator="equal">
      <formula>"B2-45"</formula>
    </cfRule>
  </conditionalFormatting>
  <conditionalFormatting sqref="I870">
    <cfRule type="cellIs" dxfId="1122" priority="2345" operator="equal">
      <formula>"SC1-7"</formula>
    </cfRule>
    <cfRule type="cellIs" dxfId="1121" priority="2346" operator="equal">
      <formula>"B2-45"</formula>
    </cfRule>
  </conditionalFormatting>
  <conditionalFormatting sqref="I893:I904">
    <cfRule type="cellIs" dxfId="1120" priority="2315" operator="equal">
      <formula>"SC1-7"</formula>
    </cfRule>
    <cfRule type="cellIs" dxfId="1119" priority="2316" operator="equal">
      <formula>"B2-45"</formula>
    </cfRule>
  </conditionalFormatting>
  <conditionalFormatting sqref="I875">
    <cfRule type="cellIs" dxfId="1118" priority="2313" operator="equal">
      <formula>"SC1-7"</formula>
    </cfRule>
    <cfRule type="cellIs" dxfId="1117" priority="2314" operator="equal">
      <formula>"B2-45"</formula>
    </cfRule>
  </conditionalFormatting>
  <conditionalFormatting sqref="I876">
    <cfRule type="cellIs" dxfId="1116" priority="2305" operator="equal">
      <formula>"SC1-7"</formula>
    </cfRule>
    <cfRule type="cellIs" dxfId="1115" priority="2306" operator="equal">
      <formula>"B2-45"</formula>
    </cfRule>
  </conditionalFormatting>
  <conditionalFormatting sqref="I887:I892">
    <cfRule type="cellIs" dxfId="1114" priority="2311" operator="equal">
      <formula>"SC1-7"</formula>
    </cfRule>
    <cfRule type="cellIs" dxfId="1113" priority="2312" operator="equal">
      <formula>"B2-45"</formula>
    </cfRule>
  </conditionalFormatting>
  <conditionalFormatting sqref="I877">
    <cfRule type="cellIs" dxfId="1112" priority="2303" operator="equal">
      <formula>"SC1-7"</formula>
    </cfRule>
    <cfRule type="cellIs" dxfId="1111" priority="2304" operator="equal">
      <formula>"B2-45"</formula>
    </cfRule>
  </conditionalFormatting>
  <conditionalFormatting sqref="I886">
    <cfRule type="cellIs" dxfId="1110" priority="2309" operator="equal">
      <formula>"SC1-7"</formula>
    </cfRule>
    <cfRule type="cellIs" dxfId="1109" priority="2310" operator="equal">
      <formula>"B2-45"</formula>
    </cfRule>
  </conditionalFormatting>
  <conditionalFormatting sqref="I885">
    <cfRule type="cellIs" dxfId="1108" priority="2307" operator="equal">
      <formula>"SC1-7"</formula>
    </cfRule>
    <cfRule type="cellIs" dxfId="1107" priority="2308" operator="equal">
      <formula>"B2-45"</formula>
    </cfRule>
  </conditionalFormatting>
  <conditionalFormatting sqref="I878">
    <cfRule type="cellIs" dxfId="1106" priority="2301" operator="equal">
      <formula>"SC1-7"</formula>
    </cfRule>
    <cfRule type="cellIs" dxfId="1105" priority="2302" operator="equal">
      <formula>"B2-45"</formula>
    </cfRule>
  </conditionalFormatting>
  <conditionalFormatting sqref="I879">
    <cfRule type="cellIs" dxfId="1104" priority="2299" operator="equal">
      <formula>"SC1-7"</formula>
    </cfRule>
    <cfRule type="cellIs" dxfId="1103" priority="2300" operator="equal">
      <formula>"B2-45"</formula>
    </cfRule>
  </conditionalFormatting>
  <conditionalFormatting sqref="I880">
    <cfRule type="cellIs" dxfId="1102" priority="2297" operator="equal">
      <formula>"SC1-7"</formula>
    </cfRule>
    <cfRule type="cellIs" dxfId="1101" priority="2298" operator="equal">
      <formula>"B2-45"</formula>
    </cfRule>
  </conditionalFormatting>
  <conditionalFormatting sqref="I881">
    <cfRule type="cellIs" dxfId="1100" priority="2295" operator="equal">
      <formula>"SC1-7"</formula>
    </cfRule>
    <cfRule type="cellIs" dxfId="1099" priority="2296" operator="equal">
      <formula>"B2-45"</formula>
    </cfRule>
  </conditionalFormatting>
  <conditionalFormatting sqref="I882">
    <cfRule type="cellIs" dxfId="1098" priority="2293" operator="equal">
      <formula>"SC1-7"</formula>
    </cfRule>
    <cfRule type="cellIs" dxfId="1097" priority="2294" operator="equal">
      <formula>"B2-45"</formula>
    </cfRule>
  </conditionalFormatting>
  <conditionalFormatting sqref="I883:I885">
    <cfRule type="cellIs" dxfId="1096" priority="2291" operator="equal">
      <formula>"SC1-7"</formula>
    </cfRule>
    <cfRule type="cellIs" dxfId="1095" priority="2292" operator="equal">
      <formula>"B2-45"</formula>
    </cfRule>
  </conditionalFormatting>
  <conditionalFormatting sqref="I884">
    <cfRule type="cellIs" dxfId="1094" priority="2289" operator="equal">
      <formula>"SC1-7"</formula>
    </cfRule>
    <cfRule type="cellIs" dxfId="1093" priority="2290" operator="equal">
      <formula>"B2-45"</formula>
    </cfRule>
  </conditionalFormatting>
  <conditionalFormatting sqref="I858:I863">
    <cfRule type="cellIs" dxfId="1092" priority="2287" operator="equal">
      <formula>"SC1-7"</formula>
    </cfRule>
    <cfRule type="cellIs" dxfId="1091" priority="2288" operator="equal">
      <formula>"B2-45"</formula>
    </cfRule>
  </conditionalFormatting>
  <conditionalFormatting sqref="I858">
    <cfRule type="cellIs" dxfId="1090" priority="2285" operator="equal">
      <formula>"SC1-7"</formula>
    </cfRule>
    <cfRule type="cellIs" dxfId="1089" priority="2286" operator="equal">
      <formula>"B2-45"</formula>
    </cfRule>
  </conditionalFormatting>
  <conditionalFormatting sqref="I859">
    <cfRule type="cellIs" dxfId="1088" priority="2283" operator="equal">
      <formula>"SC1-7"</formula>
    </cfRule>
    <cfRule type="cellIs" dxfId="1087" priority="2284" operator="equal">
      <formula>"B2-45"</formula>
    </cfRule>
  </conditionalFormatting>
  <conditionalFormatting sqref="I864">
    <cfRule type="cellIs" dxfId="1086" priority="2271" operator="equal">
      <formula>"SC1-7"</formula>
    </cfRule>
    <cfRule type="cellIs" dxfId="1085" priority="2272" operator="equal">
      <formula>"B2-45"</formula>
    </cfRule>
  </conditionalFormatting>
  <conditionalFormatting sqref="I865">
    <cfRule type="cellIs" dxfId="1084" priority="2269" operator="equal">
      <formula>"SC1-7"</formula>
    </cfRule>
    <cfRule type="cellIs" dxfId="1083" priority="2270" operator="equal">
      <formula>"B2-45"</formula>
    </cfRule>
  </conditionalFormatting>
  <conditionalFormatting sqref="I866">
    <cfRule type="cellIs" dxfId="1082" priority="2267" operator="equal">
      <formula>"SC1-7"</formula>
    </cfRule>
    <cfRule type="cellIs" dxfId="1081" priority="2268" operator="equal">
      <formula>"B2-45"</formula>
    </cfRule>
  </conditionalFormatting>
  <conditionalFormatting sqref="I867">
    <cfRule type="cellIs" dxfId="1080" priority="2265" operator="equal">
      <formula>"SC1-7"</formula>
    </cfRule>
    <cfRule type="cellIs" dxfId="1079" priority="2266" operator="equal">
      <formula>"B2-45"</formula>
    </cfRule>
  </conditionalFormatting>
  <conditionalFormatting sqref="I868">
    <cfRule type="cellIs" dxfId="1078" priority="2263" operator="equal">
      <formula>"SC1-7"</formula>
    </cfRule>
    <cfRule type="cellIs" dxfId="1077" priority="2264" operator="equal">
      <formula>"B2-45"</formula>
    </cfRule>
  </conditionalFormatting>
  <conditionalFormatting sqref="I816:I821">
    <cfRule type="cellIs" dxfId="1076" priority="2261" operator="equal">
      <formula>"SC1-7"</formula>
    </cfRule>
    <cfRule type="cellIs" dxfId="1075" priority="2262" operator="equal">
      <formula>"B2-45"</formula>
    </cfRule>
  </conditionalFormatting>
  <conditionalFormatting sqref="I816">
    <cfRule type="cellIs" dxfId="1074" priority="2259" operator="equal">
      <formula>"SC1-7"</formula>
    </cfRule>
    <cfRule type="cellIs" dxfId="1073" priority="2260" operator="equal">
      <formula>"B2-45"</formula>
    </cfRule>
  </conditionalFormatting>
  <conditionalFormatting sqref="I817">
    <cfRule type="cellIs" dxfId="1072" priority="2257" operator="equal">
      <formula>"SC1-7"</formula>
    </cfRule>
    <cfRule type="cellIs" dxfId="1071" priority="2258" operator="equal">
      <formula>"B2-45"</formula>
    </cfRule>
  </conditionalFormatting>
  <conditionalFormatting sqref="I840:I857">
    <cfRule type="cellIs" dxfId="1070" priority="2227" operator="equal">
      <formula>"SC1-7"</formula>
    </cfRule>
    <cfRule type="cellIs" dxfId="1069" priority="2228" operator="equal">
      <formula>"B2-45"</formula>
    </cfRule>
  </conditionalFormatting>
  <conditionalFormatting sqref="I822">
    <cfRule type="cellIs" dxfId="1068" priority="2225" operator="equal">
      <formula>"SC1-7"</formula>
    </cfRule>
    <cfRule type="cellIs" dxfId="1067" priority="2226" operator="equal">
      <formula>"B2-45"</formula>
    </cfRule>
  </conditionalFormatting>
  <conditionalFormatting sqref="I823">
    <cfRule type="cellIs" dxfId="1066" priority="2217" operator="equal">
      <formula>"SC1-7"</formula>
    </cfRule>
    <cfRule type="cellIs" dxfId="1065" priority="2218" operator="equal">
      <formula>"B2-45"</formula>
    </cfRule>
  </conditionalFormatting>
  <conditionalFormatting sqref="I834:I839">
    <cfRule type="cellIs" dxfId="1064" priority="2223" operator="equal">
      <formula>"SC1-7"</formula>
    </cfRule>
    <cfRule type="cellIs" dxfId="1063" priority="2224" operator="equal">
      <formula>"B2-45"</formula>
    </cfRule>
  </conditionalFormatting>
  <conditionalFormatting sqref="I824">
    <cfRule type="cellIs" dxfId="1062" priority="2215" operator="equal">
      <formula>"SC1-7"</formula>
    </cfRule>
    <cfRule type="cellIs" dxfId="1061" priority="2216" operator="equal">
      <formula>"B2-45"</formula>
    </cfRule>
  </conditionalFormatting>
  <conditionalFormatting sqref="I833">
    <cfRule type="cellIs" dxfId="1060" priority="2221" operator="equal">
      <formula>"SC1-7"</formula>
    </cfRule>
    <cfRule type="cellIs" dxfId="1059" priority="2222" operator="equal">
      <formula>"B2-45"</formula>
    </cfRule>
  </conditionalFormatting>
  <conditionalFormatting sqref="I832">
    <cfRule type="cellIs" dxfId="1058" priority="2219" operator="equal">
      <formula>"SC1-7"</formula>
    </cfRule>
    <cfRule type="cellIs" dxfId="1057" priority="2220" operator="equal">
      <formula>"B2-45"</formula>
    </cfRule>
  </conditionalFormatting>
  <conditionalFormatting sqref="I825">
    <cfRule type="cellIs" dxfId="1056" priority="2213" operator="equal">
      <formula>"SC1-7"</formula>
    </cfRule>
    <cfRule type="cellIs" dxfId="1055" priority="2214" operator="equal">
      <formula>"B2-45"</formula>
    </cfRule>
  </conditionalFormatting>
  <conditionalFormatting sqref="I826">
    <cfRule type="cellIs" dxfId="1054" priority="2211" operator="equal">
      <formula>"SC1-7"</formula>
    </cfRule>
    <cfRule type="cellIs" dxfId="1053" priority="2212" operator="equal">
      <formula>"B2-45"</formula>
    </cfRule>
  </conditionalFormatting>
  <conditionalFormatting sqref="I827">
    <cfRule type="cellIs" dxfId="1052" priority="2209" operator="equal">
      <formula>"SC1-7"</formula>
    </cfRule>
    <cfRule type="cellIs" dxfId="1051" priority="2210" operator="equal">
      <formula>"B2-45"</formula>
    </cfRule>
  </conditionalFormatting>
  <conditionalFormatting sqref="I828">
    <cfRule type="cellIs" dxfId="1050" priority="2207" operator="equal">
      <formula>"SC1-7"</formula>
    </cfRule>
    <cfRule type="cellIs" dxfId="1049" priority="2208" operator="equal">
      <formula>"B2-45"</formula>
    </cfRule>
  </conditionalFormatting>
  <conditionalFormatting sqref="I829">
    <cfRule type="cellIs" dxfId="1048" priority="2205" operator="equal">
      <formula>"SC1-7"</formula>
    </cfRule>
    <cfRule type="cellIs" dxfId="1047" priority="2206" operator="equal">
      <formula>"B2-45"</formula>
    </cfRule>
  </conditionalFormatting>
  <conditionalFormatting sqref="I830:I832">
    <cfRule type="cellIs" dxfId="1046" priority="2203" operator="equal">
      <formula>"SC1-7"</formula>
    </cfRule>
    <cfRule type="cellIs" dxfId="1045" priority="2204" operator="equal">
      <formula>"B2-45"</formula>
    </cfRule>
  </conditionalFormatting>
  <conditionalFormatting sqref="I831">
    <cfRule type="cellIs" dxfId="1044" priority="2201" operator="equal">
      <formula>"SC1-7"</formula>
    </cfRule>
    <cfRule type="cellIs" dxfId="1043" priority="2202" operator="equal">
      <formula>"B2-45"</formula>
    </cfRule>
  </conditionalFormatting>
  <conditionalFormatting sqref="B816:B1048576">
    <cfRule type="containsText" dxfId="1042" priority="2200" operator="containsText" text=" GALV">
      <formula>NOT(ISERROR(SEARCH(" GALV",B816)))</formula>
    </cfRule>
  </conditionalFormatting>
  <conditionalFormatting sqref="I802:I807">
    <cfRule type="cellIs" dxfId="1041" priority="2198" operator="equal">
      <formula>"SC1-7"</formula>
    </cfRule>
    <cfRule type="cellIs" dxfId="1040" priority="2199" operator="equal">
      <formula>"B2-45"</formula>
    </cfRule>
  </conditionalFormatting>
  <conditionalFormatting sqref="I802">
    <cfRule type="cellIs" dxfId="1039" priority="2196" operator="equal">
      <formula>"SC1-7"</formula>
    </cfRule>
    <cfRule type="cellIs" dxfId="1038" priority="2197" operator="equal">
      <formula>"B2-45"</formula>
    </cfRule>
  </conditionalFormatting>
  <conditionalFormatting sqref="I803">
    <cfRule type="cellIs" dxfId="1037" priority="2194" operator="equal">
      <formula>"SC1-7"</formula>
    </cfRule>
    <cfRule type="cellIs" dxfId="1036" priority="2195" operator="equal">
      <formula>"B2-45"</formula>
    </cfRule>
  </conditionalFormatting>
  <conditionalFormatting sqref="B802:B807">
    <cfRule type="containsText" dxfId="1035" priority="2193" operator="containsText" text=" GALV">
      <formula>NOT(ISERROR(SEARCH(" GALV",B802)))</formula>
    </cfRule>
  </conditionalFormatting>
  <conditionalFormatting sqref="I808">
    <cfRule type="cellIs" dxfId="1034" priority="2175" operator="equal">
      <formula>"SC1-7"</formula>
    </cfRule>
    <cfRule type="cellIs" dxfId="1033" priority="2176" operator="equal">
      <formula>"B2-45"</formula>
    </cfRule>
  </conditionalFormatting>
  <conditionalFormatting sqref="I809">
    <cfRule type="cellIs" dxfId="1032" priority="2173" operator="equal">
      <formula>"SC1-7"</formula>
    </cfRule>
    <cfRule type="cellIs" dxfId="1031" priority="2174" operator="equal">
      <formula>"B2-45"</formula>
    </cfRule>
  </conditionalFormatting>
  <conditionalFormatting sqref="I810">
    <cfRule type="cellIs" dxfId="1030" priority="2171" operator="equal">
      <formula>"SC1-7"</formula>
    </cfRule>
    <cfRule type="cellIs" dxfId="1029" priority="2172" operator="equal">
      <formula>"B2-45"</formula>
    </cfRule>
  </conditionalFormatting>
  <conditionalFormatting sqref="I811">
    <cfRule type="cellIs" dxfId="1028" priority="2169" operator="equal">
      <formula>"SC1-7"</formula>
    </cfRule>
    <cfRule type="cellIs" dxfId="1027" priority="2170" operator="equal">
      <formula>"B2-45"</formula>
    </cfRule>
  </conditionalFormatting>
  <conditionalFormatting sqref="I812">
    <cfRule type="cellIs" dxfId="1026" priority="2167" operator="equal">
      <formula>"SC1-7"</formula>
    </cfRule>
    <cfRule type="cellIs" dxfId="1025" priority="2168" operator="equal">
      <formula>"B2-45"</formula>
    </cfRule>
  </conditionalFormatting>
  <conditionalFormatting sqref="I813">
    <cfRule type="cellIs" dxfId="1024" priority="2165" operator="equal">
      <formula>"SC1-7"</formula>
    </cfRule>
    <cfRule type="cellIs" dxfId="1023" priority="2166" operator="equal">
      <formula>"B2-45"</formula>
    </cfRule>
  </conditionalFormatting>
  <conditionalFormatting sqref="I814">
    <cfRule type="cellIs" dxfId="1022" priority="2163" operator="equal">
      <formula>"SC1-7"</formula>
    </cfRule>
    <cfRule type="cellIs" dxfId="1021" priority="2164" operator="equal">
      <formula>"B2-45"</formula>
    </cfRule>
  </conditionalFormatting>
  <conditionalFormatting sqref="I815">
    <cfRule type="cellIs" dxfId="1020" priority="2161" operator="equal">
      <formula>"SC1-7"</formula>
    </cfRule>
    <cfRule type="cellIs" dxfId="1019" priority="2162" operator="equal">
      <formula>"B2-45"</formula>
    </cfRule>
  </conditionalFormatting>
  <conditionalFormatting sqref="I787:I792">
    <cfRule type="cellIs" dxfId="1018" priority="2159" operator="equal">
      <formula>"SC1-7"</formula>
    </cfRule>
    <cfRule type="cellIs" dxfId="1017" priority="2160" operator="equal">
      <formula>"B2-45"</formula>
    </cfRule>
  </conditionalFormatting>
  <conditionalFormatting sqref="I787">
    <cfRule type="cellIs" dxfId="1016" priority="2157" operator="equal">
      <formula>"SC1-7"</formula>
    </cfRule>
    <cfRule type="cellIs" dxfId="1015" priority="2158" operator="equal">
      <formula>"B2-45"</formula>
    </cfRule>
  </conditionalFormatting>
  <conditionalFormatting sqref="I788">
    <cfRule type="cellIs" dxfId="1014" priority="2155" operator="equal">
      <formula>"SC1-7"</formula>
    </cfRule>
    <cfRule type="cellIs" dxfId="1013" priority="2156" operator="equal">
      <formula>"B2-45"</formula>
    </cfRule>
  </conditionalFormatting>
  <conditionalFormatting sqref="B787:B792">
    <cfRule type="containsText" dxfId="1012" priority="2154" operator="containsText" text=" GALV">
      <formula>NOT(ISERROR(SEARCH(" GALV",B787)))</formula>
    </cfRule>
  </conditionalFormatting>
  <conditionalFormatting sqref="I793">
    <cfRule type="cellIs" dxfId="1011" priority="2134" operator="equal">
      <formula>"SC1-7"</formula>
    </cfRule>
    <cfRule type="cellIs" dxfId="1010" priority="2135" operator="equal">
      <formula>"B2-45"</formula>
    </cfRule>
  </conditionalFormatting>
  <conditionalFormatting sqref="I794">
    <cfRule type="cellIs" dxfId="1009" priority="2132" operator="equal">
      <formula>"SC1-7"</formula>
    </cfRule>
    <cfRule type="cellIs" dxfId="1008" priority="2133" operator="equal">
      <formula>"B2-45"</formula>
    </cfRule>
  </conditionalFormatting>
  <conditionalFormatting sqref="I795">
    <cfRule type="cellIs" dxfId="1007" priority="2130" operator="equal">
      <formula>"SC1-7"</formula>
    </cfRule>
    <cfRule type="cellIs" dxfId="1006" priority="2131" operator="equal">
      <formula>"B2-45"</formula>
    </cfRule>
  </conditionalFormatting>
  <conditionalFormatting sqref="I796">
    <cfRule type="cellIs" dxfId="1005" priority="2128" operator="equal">
      <formula>"SC1-7"</formula>
    </cfRule>
    <cfRule type="cellIs" dxfId="1004" priority="2129" operator="equal">
      <formula>"B2-45"</formula>
    </cfRule>
  </conditionalFormatting>
  <conditionalFormatting sqref="I797">
    <cfRule type="cellIs" dxfId="1003" priority="2126" operator="equal">
      <formula>"SC1-7"</formula>
    </cfRule>
    <cfRule type="cellIs" dxfId="1002" priority="2127" operator="equal">
      <formula>"B2-45"</formula>
    </cfRule>
  </conditionalFormatting>
  <conditionalFormatting sqref="I798">
    <cfRule type="cellIs" dxfId="1001" priority="2124" operator="equal">
      <formula>"SC1-7"</formula>
    </cfRule>
    <cfRule type="cellIs" dxfId="1000" priority="2125" operator="equal">
      <formula>"B2-45"</formula>
    </cfRule>
  </conditionalFormatting>
  <conditionalFormatting sqref="I799">
    <cfRule type="cellIs" dxfId="999" priority="2122" operator="equal">
      <formula>"SC1-7"</formula>
    </cfRule>
    <cfRule type="cellIs" dxfId="998" priority="2123" operator="equal">
      <formula>"B2-45"</formula>
    </cfRule>
  </conditionalFormatting>
  <conditionalFormatting sqref="I800">
    <cfRule type="cellIs" dxfId="997" priority="2120" operator="equal">
      <formula>"SC1-7"</formula>
    </cfRule>
    <cfRule type="cellIs" dxfId="996" priority="2121" operator="equal">
      <formula>"B2-45"</formula>
    </cfRule>
  </conditionalFormatting>
  <conditionalFormatting sqref="I801">
    <cfRule type="cellIs" dxfId="995" priority="2118" operator="equal">
      <formula>"SC1-7"</formula>
    </cfRule>
    <cfRule type="cellIs" dxfId="994" priority="2119" operator="equal">
      <formula>"B2-45"</formula>
    </cfRule>
  </conditionalFormatting>
  <conditionalFormatting sqref="I785">
    <cfRule type="cellIs" dxfId="993" priority="2101" operator="equal">
      <formula>"SC1-7"</formula>
    </cfRule>
    <cfRule type="cellIs" dxfId="992" priority="2102" operator="equal">
      <formula>"B2-45"</formula>
    </cfRule>
  </conditionalFormatting>
  <conditionalFormatting sqref="I786">
    <cfRule type="cellIs" dxfId="991" priority="2099" operator="equal">
      <formula>"SC1-7"</formula>
    </cfRule>
    <cfRule type="cellIs" dxfId="990" priority="2100" operator="equal">
      <formula>"B2-45"</formula>
    </cfRule>
  </conditionalFormatting>
  <conditionalFormatting sqref="I783">
    <cfRule type="cellIs" dxfId="989" priority="2080" operator="equal">
      <formula>"SC1-7"</formula>
    </cfRule>
    <cfRule type="cellIs" dxfId="988" priority="2081" operator="equal">
      <formula>"B2-45"</formula>
    </cfRule>
  </conditionalFormatting>
  <conditionalFormatting sqref="I784">
    <cfRule type="cellIs" dxfId="987" priority="2078" operator="equal">
      <formula>"SC1-7"</formula>
    </cfRule>
    <cfRule type="cellIs" dxfId="986" priority="2079" operator="equal">
      <formula>"B2-45"</formula>
    </cfRule>
  </conditionalFormatting>
  <conditionalFormatting sqref="I771:I776">
    <cfRule type="cellIs" dxfId="985" priority="2074" operator="equal">
      <formula>"SC1-7"</formula>
    </cfRule>
    <cfRule type="cellIs" dxfId="984" priority="2075" operator="equal">
      <formula>"B2-45"</formula>
    </cfRule>
  </conditionalFormatting>
  <conditionalFormatting sqref="I771">
    <cfRule type="cellIs" dxfId="983" priority="2072" operator="equal">
      <formula>"SC1-7"</formula>
    </cfRule>
    <cfRule type="cellIs" dxfId="982" priority="2073" operator="equal">
      <formula>"B2-45"</formula>
    </cfRule>
  </conditionalFormatting>
  <conditionalFormatting sqref="I772">
    <cfRule type="cellIs" dxfId="981" priority="2070" operator="equal">
      <formula>"SC1-7"</formula>
    </cfRule>
    <cfRule type="cellIs" dxfId="980" priority="2071" operator="equal">
      <formula>"B2-45"</formula>
    </cfRule>
  </conditionalFormatting>
  <conditionalFormatting sqref="B771:B776">
    <cfRule type="containsText" dxfId="979" priority="2069" operator="containsText" text=" GALV">
      <formula>NOT(ISERROR(SEARCH(" GALV",B771)))</formula>
    </cfRule>
  </conditionalFormatting>
  <conditionalFormatting sqref="I777">
    <cfRule type="cellIs" dxfId="978" priority="2053" operator="equal">
      <formula>"SC1-7"</formula>
    </cfRule>
    <cfRule type="cellIs" dxfId="977" priority="2054" operator="equal">
      <formula>"B2-45"</formula>
    </cfRule>
  </conditionalFormatting>
  <conditionalFormatting sqref="I778">
    <cfRule type="cellIs" dxfId="976" priority="2051" operator="equal">
      <formula>"SC1-7"</formula>
    </cfRule>
    <cfRule type="cellIs" dxfId="975" priority="2052" operator="equal">
      <formula>"B2-45"</formula>
    </cfRule>
  </conditionalFormatting>
  <conditionalFormatting sqref="I779">
    <cfRule type="cellIs" dxfId="974" priority="2049" operator="equal">
      <formula>"SC1-7"</formula>
    </cfRule>
    <cfRule type="cellIs" dxfId="973" priority="2050" operator="equal">
      <formula>"B2-45"</formula>
    </cfRule>
  </conditionalFormatting>
  <conditionalFormatting sqref="I780">
    <cfRule type="cellIs" dxfId="972" priority="2047" operator="equal">
      <formula>"SC1-7"</formula>
    </cfRule>
    <cfRule type="cellIs" dxfId="971" priority="2048" operator="equal">
      <formula>"B2-45"</formula>
    </cfRule>
  </conditionalFormatting>
  <conditionalFormatting sqref="I781">
    <cfRule type="cellIs" dxfId="970" priority="2045" operator="equal">
      <formula>"SC1-7"</formula>
    </cfRule>
    <cfRule type="cellIs" dxfId="969" priority="2046" operator="equal">
      <formula>"B2-45"</formula>
    </cfRule>
  </conditionalFormatting>
  <conditionalFormatting sqref="I782">
    <cfRule type="cellIs" dxfId="968" priority="2043" operator="equal">
      <formula>"SC1-7"</formula>
    </cfRule>
    <cfRule type="cellIs" dxfId="967" priority="2044" operator="equal">
      <formula>"B2-45"</formula>
    </cfRule>
  </conditionalFormatting>
  <conditionalFormatting sqref="I759:I764">
    <cfRule type="cellIs" dxfId="966" priority="2039" operator="equal">
      <formula>"SC1-7"</formula>
    </cfRule>
    <cfRule type="cellIs" dxfId="965" priority="2040" operator="equal">
      <formula>"B2-45"</formula>
    </cfRule>
  </conditionalFormatting>
  <conditionalFormatting sqref="I759">
    <cfRule type="cellIs" dxfId="964" priority="2037" operator="equal">
      <formula>"SC1-7"</formula>
    </cfRule>
    <cfRule type="cellIs" dxfId="963" priority="2038" operator="equal">
      <formula>"B2-45"</formula>
    </cfRule>
  </conditionalFormatting>
  <conditionalFormatting sqref="I760">
    <cfRule type="cellIs" dxfId="962" priority="2035" operator="equal">
      <formula>"SC1-7"</formula>
    </cfRule>
    <cfRule type="cellIs" dxfId="961" priority="2036" operator="equal">
      <formula>"B2-45"</formula>
    </cfRule>
  </conditionalFormatting>
  <conditionalFormatting sqref="B759:B764">
    <cfRule type="containsText" dxfId="960" priority="2034" operator="containsText" text=" GALV">
      <formula>NOT(ISERROR(SEARCH(" GALV",B759)))</formula>
    </cfRule>
  </conditionalFormatting>
  <conditionalFormatting sqref="I765">
    <cfRule type="cellIs" dxfId="959" priority="2020" operator="equal">
      <formula>"SC1-7"</formula>
    </cfRule>
    <cfRule type="cellIs" dxfId="958" priority="2021" operator="equal">
      <formula>"B2-45"</formula>
    </cfRule>
  </conditionalFormatting>
  <conditionalFormatting sqref="I766">
    <cfRule type="cellIs" dxfId="957" priority="2018" operator="equal">
      <formula>"SC1-7"</formula>
    </cfRule>
    <cfRule type="cellIs" dxfId="956" priority="2019" operator="equal">
      <formula>"B2-45"</formula>
    </cfRule>
  </conditionalFormatting>
  <conditionalFormatting sqref="I767">
    <cfRule type="cellIs" dxfId="955" priority="2016" operator="equal">
      <formula>"SC1-7"</formula>
    </cfRule>
    <cfRule type="cellIs" dxfId="954" priority="2017" operator="equal">
      <formula>"B2-45"</formula>
    </cfRule>
  </conditionalFormatting>
  <conditionalFormatting sqref="I768">
    <cfRule type="cellIs" dxfId="953" priority="2014" operator="equal">
      <formula>"SC1-7"</formula>
    </cfRule>
    <cfRule type="cellIs" dxfId="952" priority="2015" operator="equal">
      <formula>"B2-45"</formula>
    </cfRule>
  </conditionalFormatting>
  <conditionalFormatting sqref="I769">
    <cfRule type="cellIs" dxfId="951" priority="2012" operator="equal">
      <formula>"SC1-7"</formula>
    </cfRule>
    <cfRule type="cellIs" dxfId="950" priority="2013" operator="equal">
      <formula>"B2-45"</formula>
    </cfRule>
  </conditionalFormatting>
  <conditionalFormatting sqref="I770">
    <cfRule type="cellIs" dxfId="949" priority="2010" operator="equal">
      <formula>"SC1-7"</formula>
    </cfRule>
    <cfRule type="cellIs" dxfId="948" priority="2011" operator="equal">
      <formula>"B2-45"</formula>
    </cfRule>
  </conditionalFormatting>
  <conditionalFormatting sqref="I749:I754">
    <cfRule type="cellIs" dxfId="947" priority="2008" operator="equal">
      <formula>"SC1-7"</formula>
    </cfRule>
    <cfRule type="cellIs" dxfId="946" priority="2009" operator="equal">
      <formula>"B2-45"</formula>
    </cfRule>
  </conditionalFormatting>
  <conditionalFormatting sqref="I749">
    <cfRule type="cellIs" dxfId="945" priority="2006" operator="equal">
      <formula>"SC1-7"</formula>
    </cfRule>
    <cfRule type="cellIs" dxfId="944" priority="2007" operator="equal">
      <formula>"B2-45"</formula>
    </cfRule>
  </conditionalFormatting>
  <conditionalFormatting sqref="I750">
    <cfRule type="cellIs" dxfId="943" priority="2004" operator="equal">
      <formula>"SC1-7"</formula>
    </cfRule>
    <cfRule type="cellIs" dxfId="942" priority="2005" operator="equal">
      <formula>"B2-45"</formula>
    </cfRule>
  </conditionalFormatting>
  <conditionalFormatting sqref="B749:B754">
    <cfRule type="containsText" dxfId="941" priority="2003" operator="containsText" text=" GALV">
      <formula>NOT(ISERROR(SEARCH(" GALV",B749)))</formula>
    </cfRule>
  </conditionalFormatting>
  <conditionalFormatting sqref="I755">
    <cfRule type="cellIs" dxfId="940" priority="1993" operator="equal">
      <formula>"SC1-7"</formula>
    </cfRule>
    <cfRule type="cellIs" dxfId="939" priority="1994" operator="equal">
      <formula>"B2-45"</formula>
    </cfRule>
  </conditionalFormatting>
  <conditionalFormatting sqref="I756">
    <cfRule type="cellIs" dxfId="938" priority="1991" operator="equal">
      <formula>"SC1-7"</formula>
    </cfRule>
    <cfRule type="cellIs" dxfId="937" priority="1992" operator="equal">
      <formula>"B2-45"</formula>
    </cfRule>
  </conditionalFormatting>
  <conditionalFormatting sqref="I757">
    <cfRule type="cellIs" dxfId="936" priority="1989" operator="equal">
      <formula>"SC1-7"</formula>
    </cfRule>
    <cfRule type="cellIs" dxfId="935" priority="1990" operator="equal">
      <formula>"B2-45"</formula>
    </cfRule>
  </conditionalFormatting>
  <conditionalFormatting sqref="I758">
    <cfRule type="cellIs" dxfId="934" priority="1987" operator="equal">
      <formula>"SC1-7"</formula>
    </cfRule>
    <cfRule type="cellIs" dxfId="933" priority="1988" operator="equal">
      <formula>"B2-45"</formula>
    </cfRule>
  </conditionalFormatting>
  <conditionalFormatting sqref="I675:I680">
    <cfRule type="cellIs" dxfId="932" priority="1985" operator="equal">
      <formula>"SC1-7"</formula>
    </cfRule>
    <cfRule type="cellIs" dxfId="931" priority="1986" operator="equal">
      <formula>"B2-45"</formula>
    </cfRule>
  </conditionalFormatting>
  <conditionalFormatting sqref="I675">
    <cfRule type="cellIs" dxfId="930" priority="1983" operator="equal">
      <formula>"SC1-7"</formula>
    </cfRule>
    <cfRule type="cellIs" dxfId="929" priority="1984" operator="equal">
      <formula>"B2-45"</formula>
    </cfRule>
  </conditionalFormatting>
  <conditionalFormatting sqref="I676">
    <cfRule type="cellIs" dxfId="928" priority="1981" operator="equal">
      <formula>"SC1-7"</formula>
    </cfRule>
    <cfRule type="cellIs" dxfId="927" priority="1982" operator="equal">
      <formula>"B2-45"</formula>
    </cfRule>
  </conditionalFormatting>
  <conditionalFormatting sqref="B675:B680">
    <cfRule type="containsText" dxfId="926" priority="1980" operator="containsText" text=" GALV">
      <formula>NOT(ISERROR(SEARCH(" GALV",B675)))</formula>
    </cfRule>
  </conditionalFormatting>
  <conditionalFormatting sqref="I681">
    <cfRule type="cellIs" dxfId="925" priority="1972" operator="equal">
      <formula>"SC1-7"</formula>
    </cfRule>
    <cfRule type="cellIs" dxfId="924" priority="1973" operator="equal">
      <formula>"B2-45"</formula>
    </cfRule>
  </conditionalFormatting>
  <conditionalFormatting sqref="I682">
    <cfRule type="cellIs" dxfId="923" priority="1970" operator="equal">
      <formula>"SC1-7"</formula>
    </cfRule>
    <cfRule type="cellIs" dxfId="922" priority="1971" operator="equal">
      <formula>"B2-45"</formula>
    </cfRule>
  </conditionalFormatting>
  <conditionalFormatting sqref="I683">
    <cfRule type="cellIs" dxfId="921" priority="1968" operator="equal">
      <formula>"SC1-7"</formula>
    </cfRule>
    <cfRule type="cellIs" dxfId="920" priority="1969" operator="equal">
      <formula>"B2-45"</formula>
    </cfRule>
  </conditionalFormatting>
  <conditionalFormatting sqref="I719:I724">
    <cfRule type="cellIs" dxfId="919" priority="1966" operator="equal">
      <formula>"SC1-7"</formula>
    </cfRule>
    <cfRule type="cellIs" dxfId="918" priority="1967" operator="equal">
      <formula>"B2-45"</formula>
    </cfRule>
  </conditionalFormatting>
  <conditionalFormatting sqref="I719">
    <cfRule type="cellIs" dxfId="917" priority="1964" operator="equal">
      <formula>"SC1-7"</formula>
    </cfRule>
    <cfRule type="cellIs" dxfId="916" priority="1965" operator="equal">
      <formula>"B2-45"</formula>
    </cfRule>
  </conditionalFormatting>
  <conditionalFormatting sqref="I720">
    <cfRule type="cellIs" dxfId="915" priority="1962" operator="equal">
      <formula>"SC1-7"</formula>
    </cfRule>
    <cfRule type="cellIs" dxfId="914" priority="1963" operator="equal">
      <formula>"B2-45"</formula>
    </cfRule>
  </conditionalFormatting>
  <conditionalFormatting sqref="B719:B724">
    <cfRule type="containsText" dxfId="913" priority="1961" operator="containsText" text=" GALV">
      <formula>NOT(ISERROR(SEARCH(" GALV",B719)))</formula>
    </cfRule>
  </conditionalFormatting>
  <conditionalFormatting sqref="I743:I748">
    <cfRule type="cellIs" dxfId="912" priority="1931" operator="equal">
      <formula>"SC1-7"</formula>
    </cfRule>
    <cfRule type="cellIs" dxfId="911" priority="1932" operator="equal">
      <formula>"B2-45"</formula>
    </cfRule>
  </conditionalFormatting>
  <conditionalFormatting sqref="I725">
    <cfRule type="cellIs" dxfId="910" priority="1929" operator="equal">
      <formula>"SC1-7"</formula>
    </cfRule>
    <cfRule type="cellIs" dxfId="909" priority="1930" operator="equal">
      <formula>"B2-45"</formula>
    </cfRule>
  </conditionalFormatting>
  <conditionalFormatting sqref="I726">
    <cfRule type="cellIs" dxfId="908" priority="1921" operator="equal">
      <formula>"SC1-7"</formula>
    </cfRule>
    <cfRule type="cellIs" dxfId="907" priority="1922" operator="equal">
      <formula>"B2-45"</formula>
    </cfRule>
  </conditionalFormatting>
  <conditionalFormatting sqref="I737:I742">
    <cfRule type="cellIs" dxfId="906" priority="1927" operator="equal">
      <formula>"SC1-7"</formula>
    </cfRule>
    <cfRule type="cellIs" dxfId="905" priority="1928" operator="equal">
      <formula>"B2-45"</formula>
    </cfRule>
  </conditionalFormatting>
  <conditionalFormatting sqref="I727">
    <cfRule type="cellIs" dxfId="904" priority="1919" operator="equal">
      <formula>"SC1-7"</formula>
    </cfRule>
    <cfRule type="cellIs" dxfId="903" priority="1920" operator="equal">
      <formula>"B2-45"</formula>
    </cfRule>
  </conditionalFormatting>
  <conditionalFormatting sqref="I736">
    <cfRule type="cellIs" dxfId="902" priority="1925" operator="equal">
      <formula>"SC1-7"</formula>
    </cfRule>
    <cfRule type="cellIs" dxfId="901" priority="1926" operator="equal">
      <formula>"B2-45"</formula>
    </cfRule>
  </conditionalFormatting>
  <conditionalFormatting sqref="I735">
    <cfRule type="cellIs" dxfId="900" priority="1923" operator="equal">
      <formula>"SC1-7"</formula>
    </cfRule>
    <cfRule type="cellIs" dxfId="899" priority="1924" operator="equal">
      <formula>"B2-45"</formula>
    </cfRule>
  </conditionalFormatting>
  <conditionalFormatting sqref="I728">
    <cfRule type="cellIs" dxfId="898" priority="1917" operator="equal">
      <formula>"SC1-7"</formula>
    </cfRule>
    <cfRule type="cellIs" dxfId="897" priority="1918" operator="equal">
      <formula>"B2-45"</formula>
    </cfRule>
  </conditionalFormatting>
  <conditionalFormatting sqref="I729">
    <cfRule type="cellIs" dxfId="896" priority="1915" operator="equal">
      <formula>"SC1-7"</formula>
    </cfRule>
    <cfRule type="cellIs" dxfId="895" priority="1916" operator="equal">
      <formula>"B2-45"</formula>
    </cfRule>
  </conditionalFormatting>
  <conditionalFormatting sqref="I730">
    <cfRule type="cellIs" dxfId="894" priority="1913" operator="equal">
      <formula>"SC1-7"</formula>
    </cfRule>
    <cfRule type="cellIs" dxfId="893" priority="1914" operator="equal">
      <formula>"B2-45"</formula>
    </cfRule>
  </conditionalFormatting>
  <conditionalFormatting sqref="I731">
    <cfRule type="cellIs" dxfId="892" priority="1911" operator="equal">
      <formula>"SC1-7"</formula>
    </cfRule>
    <cfRule type="cellIs" dxfId="891" priority="1912" operator="equal">
      <formula>"B2-45"</formula>
    </cfRule>
  </conditionalFormatting>
  <conditionalFormatting sqref="I732">
    <cfRule type="cellIs" dxfId="890" priority="1909" operator="equal">
      <formula>"SC1-7"</formula>
    </cfRule>
    <cfRule type="cellIs" dxfId="889" priority="1910" operator="equal">
      <formula>"B2-45"</formula>
    </cfRule>
  </conditionalFormatting>
  <conditionalFormatting sqref="I733:I735">
    <cfRule type="cellIs" dxfId="888" priority="1907" operator="equal">
      <formula>"SC1-7"</formula>
    </cfRule>
    <cfRule type="cellIs" dxfId="887" priority="1908" operator="equal">
      <formula>"B2-45"</formula>
    </cfRule>
  </conditionalFormatting>
  <conditionalFormatting sqref="I734">
    <cfRule type="cellIs" dxfId="886" priority="1905" operator="equal">
      <formula>"SC1-7"</formula>
    </cfRule>
    <cfRule type="cellIs" dxfId="885" priority="1906" operator="equal">
      <formula>"B2-45"</formula>
    </cfRule>
  </conditionalFormatting>
  <conditionalFormatting sqref="I651:I656">
    <cfRule type="cellIs" dxfId="884" priority="1903" operator="equal">
      <formula>"SC1-7"</formula>
    </cfRule>
    <cfRule type="cellIs" dxfId="883" priority="1904" operator="equal">
      <formula>"B2-45"</formula>
    </cfRule>
  </conditionalFormatting>
  <conditionalFormatting sqref="I651">
    <cfRule type="cellIs" dxfId="882" priority="1901" operator="equal">
      <formula>"SC1-7"</formula>
    </cfRule>
    <cfRule type="cellIs" dxfId="881" priority="1902" operator="equal">
      <formula>"B2-45"</formula>
    </cfRule>
  </conditionalFormatting>
  <conditionalFormatting sqref="I652">
    <cfRule type="cellIs" dxfId="880" priority="1899" operator="equal">
      <formula>"SC1-7"</formula>
    </cfRule>
    <cfRule type="cellIs" dxfId="879" priority="1900" operator="equal">
      <formula>"B2-45"</formula>
    </cfRule>
  </conditionalFormatting>
  <conditionalFormatting sqref="B651:B656">
    <cfRule type="containsText" dxfId="878" priority="1898" operator="containsText" text=" GALV">
      <formula>NOT(ISERROR(SEARCH(" GALV",B651)))</formula>
    </cfRule>
  </conditionalFormatting>
  <conditionalFormatting sqref="I657">
    <cfRule type="cellIs" dxfId="877" priority="1870" operator="equal">
      <formula>"SC1-7"</formula>
    </cfRule>
    <cfRule type="cellIs" dxfId="876" priority="1871" operator="equal">
      <formula>"B2-45"</formula>
    </cfRule>
  </conditionalFormatting>
  <conditionalFormatting sqref="I658">
    <cfRule type="cellIs" dxfId="875" priority="1862" operator="equal">
      <formula>"SC1-7"</formula>
    </cfRule>
    <cfRule type="cellIs" dxfId="874" priority="1863" operator="equal">
      <formula>"B2-45"</formula>
    </cfRule>
  </conditionalFormatting>
  <conditionalFormatting sqref="I669:I683">
    <cfRule type="cellIs" dxfId="873" priority="1868" operator="equal">
      <formula>"SC1-7"</formula>
    </cfRule>
    <cfRule type="cellIs" dxfId="872" priority="1869" operator="equal">
      <formula>"B2-45"</formula>
    </cfRule>
  </conditionalFormatting>
  <conditionalFormatting sqref="I659">
    <cfRule type="cellIs" dxfId="871" priority="1860" operator="equal">
      <formula>"SC1-7"</formula>
    </cfRule>
    <cfRule type="cellIs" dxfId="870" priority="1861" operator="equal">
      <formula>"B2-45"</formula>
    </cfRule>
  </conditionalFormatting>
  <conditionalFormatting sqref="I668">
    <cfRule type="cellIs" dxfId="869" priority="1866" operator="equal">
      <formula>"SC1-7"</formula>
    </cfRule>
    <cfRule type="cellIs" dxfId="868" priority="1867" operator="equal">
      <formula>"B2-45"</formula>
    </cfRule>
  </conditionalFormatting>
  <conditionalFormatting sqref="I667">
    <cfRule type="cellIs" dxfId="867" priority="1864" operator="equal">
      <formula>"SC1-7"</formula>
    </cfRule>
    <cfRule type="cellIs" dxfId="866" priority="1865" operator="equal">
      <formula>"B2-45"</formula>
    </cfRule>
  </conditionalFormatting>
  <conditionalFormatting sqref="I660">
    <cfRule type="cellIs" dxfId="865" priority="1858" operator="equal">
      <formula>"SC1-7"</formula>
    </cfRule>
    <cfRule type="cellIs" dxfId="864" priority="1859" operator="equal">
      <formula>"B2-45"</formula>
    </cfRule>
  </conditionalFormatting>
  <conditionalFormatting sqref="I661">
    <cfRule type="cellIs" dxfId="863" priority="1856" operator="equal">
      <formula>"SC1-7"</formula>
    </cfRule>
    <cfRule type="cellIs" dxfId="862" priority="1857" operator="equal">
      <formula>"B2-45"</formula>
    </cfRule>
  </conditionalFormatting>
  <conditionalFormatting sqref="I662">
    <cfRule type="cellIs" dxfId="861" priority="1854" operator="equal">
      <formula>"SC1-7"</formula>
    </cfRule>
    <cfRule type="cellIs" dxfId="860" priority="1855" operator="equal">
      <formula>"B2-45"</formula>
    </cfRule>
  </conditionalFormatting>
  <conditionalFormatting sqref="I663">
    <cfRule type="cellIs" dxfId="859" priority="1852" operator="equal">
      <formula>"SC1-7"</formula>
    </cfRule>
    <cfRule type="cellIs" dxfId="858" priority="1853" operator="equal">
      <formula>"B2-45"</formula>
    </cfRule>
  </conditionalFormatting>
  <conditionalFormatting sqref="I664">
    <cfRule type="cellIs" dxfId="857" priority="1850" operator="equal">
      <formula>"SC1-7"</formula>
    </cfRule>
    <cfRule type="cellIs" dxfId="856" priority="1851" operator="equal">
      <formula>"B2-45"</formula>
    </cfRule>
  </conditionalFormatting>
  <conditionalFormatting sqref="I665:I667">
    <cfRule type="cellIs" dxfId="855" priority="1848" operator="equal">
      <formula>"SC1-7"</formula>
    </cfRule>
    <cfRule type="cellIs" dxfId="854" priority="1849" operator="equal">
      <formula>"B2-45"</formula>
    </cfRule>
  </conditionalFormatting>
  <conditionalFormatting sqref="I666">
    <cfRule type="cellIs" dxfId="853" priority="1846" operator="equal">
      <formula>"SC1-7"</formula>
    </cfRule>
    <cfRule type="cellIs" dxfId="852" priority="1847" operator="equal">
      <formula>"B2-45"</formula>
    </cfRule>
  </conditionalFormatting>
  <conditionalFormatting sqref="I642:I647">
    <cfRule type="cellIs" dxfId="851" priority="1844" operator="equal">
      <formula>"SC1-7"</formula>
    </cfRule>
    <cfRule type="cellIs" dxfId="850" priority="1845" operator="equal">
      <formula>"B2-45"</formula>
    </cfRule>
  </conditionalFormatting>
  <conditionalFormatting sqref="I642">
    <cfRule type="cellIs" dxfId="849" priority="1842" operator="equal">
      <formula>"SC1-7"</formula>
    </cfRule>
    <cfRule type="cellIs" dxfId="848" priority="1843" operator="equal">
      <formula>"B2-45"</formula>
    </cfRule>
  </conditionalFormatting>
  <conditionalFormatting sqref="I643">
    <cfRule type="cellIs" dxfId="847" priority="1840" operator="equal">
      <formula>"SC1-7"</formula>
    </cfRule>
    <cfRule type="cellIs" dxfId="846" priority="1841" operator="equal">
      <formula>"B2-45"</formula>
    </cfRule>
  </conditionalFormatting>
  <conditionalFormatting sqref="B642:B647">
    <cfRule type="containsText" dxfId="845" priority="1839" operator="containsText" text=" GALV">
      <formula>NOT(ISERROR(SEARCH(" GALV",B642)))</formula>
    </cfRule>
  </conditionalFormatting>
  <conditionalFormatting sqref="I648">
    <cfRule type="cellIs" dxfId="844" priority="1831" operator="equal">
      <formula>"SC1-7"</formula>
    </cfRule>
    <cfRule type="cellIs" dxfId="843" priority="1832" operator="equal">
      <formula>"B2-45"</formula>
    </cfRule>
  </conditionalFormatting>
  <conditionalFormatting sqref="I649">
    <cfRule type="cellIs" dxfId="842" priority="1829" operator="equal">
      <formula>"SC1-7"</formula>
    </cfRule>
    <cfRule type="cellIs" dxfId="841" priority="1830" operator="equal">
      <formula>"B2-45"</formula>
    </cfRule>
  </conditionalFormatting>
  <conditionalFormatting sqref="I650">
    <cfRule type="cellIs" dxfId="840" priority="1827" operator="equal">
      <formula>"SC1-7"</formula>
    </cfRule>
    <cfRule type="cellIs" dxfId="839" priority="1828" operator="equal">
      <formula>"B2-45"</formula>
    </cfRule>
  </conditionalFormatting>
  <conditionalFormatting sqref="I626:I631">
    <cfRule type="cellIs" dxfId="838" priority="1825" operator="equal">
      <formula>"SC1-7"</formula>
    </cfRule>
    <cfRule type="cellIs" dxfId="837" priority="1826" operator="equal">
      <formula>"B2-45"</formula>
    </cfRule>
  </conditionalFormatting>
  <conditionalFormatting sqref="I626">
    <cfRule type="cellIs" dxfId="836" priority="1823" operator="equal">
      <formula>"SC1-7"</formula>
    </cfRule>
    <cfRule type="cellIs" dxfId="835" priority="1824" operator="equal">
      <formula>"B2-45"</formula>
    </cfRule>
  </conditionalFormatting>
  <conditionalFormatting sqref="I627">
    <cfRule type="cellIs" dxfId="834" priority="1821" operator="equal">
      <formula>"SC1-7"</formula>
    </cfRule>
    <cfRule type="cellIs" dxfId="833" priority="1822" operator="equal">
      <formula>"B2-45"</formula>
    </cfRule>
  </conditionalFormatting>
  <conditionalFormatting sqref="B626:B631">
    <cfRule type="containsText" dxfId="832" priority="1820" operator="containsText" text=" GALV">
      <formula>NOT(ISERROR(SEARCH(" GALV",B626)))</formula>
    </cfRule>
  </conditionalFormatting>
  <conditionalFormatting sqref="I632">
    <cfRule type="cellIs" dxfId="831" priority="1798" operator="equal">
      <formula>"SC1-7"</formula>
    </cfRule>
    <cfRule type="cellIs" dxfId="830" priority="1799" operator="equal">
      <formula>"B2-45"</formula>
    </cfRule>
  </conditionalFormatting>
  <conditionalFormatting sqref="I633">
    <cfRule type="cellIs" dxfId="829" priority="1796" operator="equal">
      <formula>"SC1-7"</formula>
    </cfRule>
    <cfRule type="cellIs" dxfId="828" priority="1797" operator="equal">
      <formula>"B2-45"</formula>
    </cfRule>
  </conditionalFormatting>
  <conditionalFormatting sqref="I634">
    <cfRule type="cellIs" dxfId="827" priority="1794" operator="equal">
      <formula>"SC1-7"</formula>
    </cfRule>
    <cfRule type="cellIs" dxfId="826" priority="1795" operator="equal">
      <formula>"B2-45"</formula>
    </cfRule>
  </conditionalFormatting>
  <conditionalFormatting sqref="I635">
    <cfRule type="cellIs" dxfId="825" priority="1792" operator="equal">
      <formula>"SC1-7"</formula>
    </cfRule>
    <cfRule type="cellIs" dxfId="824" priority="1793" operator="equal">
      <formula>"B2-45"</formula>
    </cfRule>
  </conditionalFormatting>
  <conditionalFormatting sqref="I636">
    <cfRule type="cellIs" dxfId="823" priority="1790" operator="equal">
      <formula>"SC1-7"</formula>
    </cfRule>
    <cfRule type="cellIs" dxfId="822" priority="1791" operator="equal">
      <formula>"B2-45"</formula>
    </cfRule>
  </conditionalFormatting>
  <conditionalFormatting sqref="I637">
    <cfRule type="cellIs" dxfId="821" priority="1788" operator="equal">
      <formula>"SC1-7"</formula>
    </cfRule>
    <cfRule type="cellIs" dxfId="820" priority="1789" operator="equal">
      <formula>"B2-45"</formula>
    </cfRule>
  </conditionalFormatting>
  <conditionalFormatting sqref="I638">
    <cfRule type="cellIs" dxfId="819" priority="1786" operator="equal">
      <formula>"SC1-7"</formula>
    </cfRule>
    <cfRule type="cellIs" dxfId="818" priority="1787" operator="equal">
      <formula>"B2-45"</formula>
    </cfRule>
  </conditionalFormatting>
  <conditionalFormatting sqref="I639">
    <cfRule type="cellIs" dxfId="817" priority="1784" operator="equal">
      <formula>"SC1-7"</formula>
    </cfRule>
    <cfRule type="cellIs" dxfId="816" priority="1785" operator="equal">
      <formula>"B2-45"</formula>
    </cfRule>
  </conditionalFormatting>
  <conditionalFormatting sqref="I640:I641">
    <cfRule type="cellIs" dxfId="815" priority="1782" operator="equal">
      <formula>"SC1-7"</formula>
    </cfRule>
    <cfRule type="cellIs" dxfId="814" priority="1783" operator="equal">
      <formula>"B2-45"</formula>
    </cfRule>
  </conditionalFormatting>
  <conditionalFormatting sqref="I641">
    <cfRule type="cellIs" dxfId="813" priority="1780" operator="equal">
      <formula>"SC1-7"</formula>
    </cfRule>
    <cfRule type="cellIs" dxfId="812" priority="1781" operator="equal">
      <formula>"B2-45"</formula>
    </cfRule>
  </conditionalFormatting>
  <conditionalFormatting sqref="I709:I714">
    <cfRule type="cellIs" dxfId="811" priority="1778" operator="equal">
      <formula>"SC1-7"</formula>
    </cfRule>
    <cfRule type="cellIs" dxfId="810" priority="1779" operator="equal">
      <formula>"B2-45"</formula>
    </cfRule>
  </conditionalFormatting>
  <conditionalFormatting sqref="I709">
    <cfRule type="cellIs" dxfId="809" priority="1776" operator="equal">
      <formula>"SC1-7"</formula>
    </cfRule>
    <cfRule type="cellIs" dxfId="808" priority="1777" operator="equal">
      <formula>"B2-45"</formula>
    </cfRule>
  </conditionalFormatting>
  <conditionalFormatting sqref="I710">
    <cfRule type="cellIs" dxfId="807" priority="1774" operator="equal">
      <formula>"SC1-7"</formula>
    </cfRule>
    <cfRule type="cellIs" dxfId="806" priority="1775" operator="equal">
      <formula>"B2-45"</formula>
    </cfRule>
  </conditionalFormatting>
  <conditionalFormatting sqref="B709:B714">
    <cfRule type="containsText" dxfId="805" priority="1773" operator="containsText" text=" GALV">
      <formula>NOT(ISERROR(SEARCH(" GALV",B709)))</formula>
    </cfRule>
  </conditionalFormatting>
  <conditionalFormatting sqref="I715">
    <cfRule type="cellIs" dxfId="804" priority="1763" operator="equal">
      <formula>"SC1-7"</formula>
    </cfRule>
    <cfRule type="cellIs" dxfId="803" priority="1764" operator="equal">
      <formula>"B2-45"</formula>
    </cfRule>
  </conditionalFormatting>
  <conditionalFormatting sqref="I716">
    <cfRule type="cellIs" dxfId="802" priority="1761" operator="equal">
      <formula>"SC1-7"</formula>
    </cfRule>
    <cfRule type="cellIs" dxfId="801" priority="1762" operator="equal">
      <formula>"B2-45"</formula>
    </cfRule>
  </conditionalFormatting>
  <conditionalFormatting sqref="I717">
    <cfRule type="cellIs" dxfId="800" priority="1759" operator="equal">
      <formula>"SC1-7"</formula>
    </cfRule>
    <cfRule type="cellIs" dxfId="799" priority="1760" operator="equal">
      <formula>"B2-45"</formula>
    </cfRule>
  </conditionalFormatting>
  <conditionalFormatting sqref="I614:I619">
    <cfRule type="cellIs" dxfId="798" priority="1755" operator="equal">
      <formula>"SC1-7"</formula>
    </cfRule>
    <cfRule type="cellIs" dxfId="797" priority="1756" operator="equal">
      <formula>"B2-45"</formula>
    </cfRule>
  </conditionalFormatting>
  <conditionalFormatting sqref="I614">
    <cfRule type="cellIs" dxfId="796" priority="1753" operator="equal">
      <formula>"SC1-7"</formula>
    </cfRule>
    <cfRule type="cellIs" dxfId="795" priority="1754" operator="equal">
      <formula>"B2-45"</formula>
    </cfRule>
  </conditionalFormatting>
  <conditionalFormatting sqref="I615">
    <cfRule type="cellIs" dxfId="794" priority="1751" operator="equal">
      <formula>"SC1-7"</formula>
    </cfRule>
    <cfRule type="cellIs" dxfId="793" priority="1752" operator="equal">
      <formula>"B2-45"</formula>
    </cfRule>
  </conditionalFormatting>
  <conditionalFormatting sqref="B614:B619">
    <cfRule type="containsText" dxfId="792" priority="1750" operator="containsText" text=" GALV">
      <formula>NOT(ISERROR(SEARCH(" GALV",B614)))</formula>
    </cfRule>
  </conditionalFormatting>
  <conditionalFormatting sqref="I620">
    <cfRule type="cellIs" dxfId="791" priority="1736" operator="equal">
      <formula>"SC1-7"</formula>
    </cfRule>
    <cfRule type="cellIs" dxfId="790" priority="1737" operator="equal">
      <formula>"B2-45"</formula>
    </cfRule>
  </conditionalFormatting>
  <conditionalFormatting sqref="I621">
    <cfRule type="cellIs" dxfId="789" priority="1734" operator="equal">
      <formula>"SC1-7"</formula>
    </cfRule>
    <cfRule type="cellIs" dxfId="788" priority="1735" operator="equal">
      <formula>"B2-45"</formula>
    </cfRule>
  </conditionalFormatting>
  <conditionalFormatting sqref="I622">
    <cfRule type="cellIs" dxfId="787" priority="1732" operator="equal">
      <formula>"SC1-7"</formula>
    </cfRule>
    <cfRule type="cellIs" dxfId="786" priority="1733" operator="equal">
      <formula>"B2-45"</formula>
    </cfRule>
  </conditionalFormatting>
  <conditionalFormatting sqref="I623">
    <cfRule type="cellIs" dxfId="785" priority="1730" operator="equal">
      <formula>"SC1-7"</formula>
    </cfRule>
    <cfRule type="cellIs" dxfId="784" priority="1731" operator="equal">
      <formula>"B2-45"</formula>
    </cfRule>
  </conditionalFormatting>
  <conditionalFormatting sqref="I624">
    <cfRule type="cellIs" dxfId="783" priority="1728" operator="equal">
      <formula>"SC1-7"</formula>
    </cfRule>
    <cfRule type="cellIs" dxfId="782" priority="1729" operator="equal">
      <formula>"B2-45"</formula>
    </cfRule>
  </conditionalFormatting>
  <conditionalFormatting sqref="I625">
    <cfRule type="cellIs" dxfId="781" priority="1726" operator="equal">
      <formula>"SC1-7"</formula>
    </cfRule>
    <cfRule type="cellIs" dxfId="780" priority="1727" operator="equal">
      <formula>"B2-45"</formula>
    </cfRule>
  </conditionalFormatting>
  <conditionalFormatting sqref="I699:I704">
    <cfRule type="cellIs" dxfId="779" priority="1724" operator="equal">
      <formula>"SC1-7"</formula>
    </cfRule>
    <cfRule type="cellIs" dxfId="778" priority="1725" operator="equal">
      <formula>"B2-45"</formula>
    </cfRule>
  </conditionalFormatting>
  <conditionalFormatting sqref="I699">
    <cfRule type="cellIs" dxfId="777" priority="1722" operator="equal">
      <formula>"SC1-7"</formula>
    </cfRule>
    <cfRule type="cellIs" dxfId="776" priority="1723" operator="equal">
      <formula>"B2-45"</formula>
    </cfRule>
  </conditionalFormatting>
  <conditionalFormatting sqref="I700">
    <cfRule type="cellIs" dxfId="775" priority="1720" operator="equal">
      <formula>"SC1-7"</formula>
    </cfRule>
    <cfRule type="cellIs" dxfId="774" priority="1721" operator="equal">
      <formula>"B2-45"</formula>
    </cfRule>
  </conditionalFormatting>
  <conditionalFormatting sqref="B699:B704">
    <cfRule type="containsText" dxfId="773" priority="1719" operator="containsText" text=" GALV">
      <formula>NOT(ISERROR(SEARCH(" GALV",B699)))</formula>
    </cfRule>
  </conditionalFormatting>
  <conditionalFormatting sqref="I705">
    <cfRule type="cellIs" dxfId="772" priority="1709" operator="equal">
      <formula>"SC1-7"</formula>
    </cfRule>
    <cfRule type="cellIs" dxfId="771" priority="1710" operator="equal">
      <formula>"B2-45"</formula>
    </cfRule>
  </conditionalFormatting>
  <conditionalFormatting sqref="I706">
    <cfRule type="cellIs" dxfId="770" priority="1707" operator="equal">
      <formula>"SC1-7"</formula>
    </cfRule>
    <cfRule type="cellIs" dxfId="769" priority="1708" operator="equal">
      <formula>"B2-45"</formula>
    </cfRule>
  </conditionalFormatting>
  <conditionalFormatting sqref="I707">
    <cfRule type="cellIs" dxfId="768" priority="1705" operator="equal">
      <formula>"SC1-7"</formula>
    </cfRule>
    <cfRule type="cellIs" dxfId="767" priority="1706" operator="equal">
      <formula>"B2-45"</formula>
    </cfRule>
  </conditionalFormatting>
  <conditionalFormatting sqref="I708">
    <cfRule type="cellIs" dxfId="766" priority="1703" operator="equal">
      <formula>"SC1-7"</formula>
    </cfRule>
    <cfRule type="cellIs" dxfId="765" priority="1704" operator="equal">
      <formula>"B2-45"</formula>
    </cfRule>
  </conditionalFormatting>
  <conditionalFormatting sqref="I684:I689">
    <cfRule type="cellIs" dxfId="764" priority="1701" operator="equal">
      <formula>"SC1-7"</formula>
    </cfRule>
    <cfRule type="cellIs" dxfId="763" priority="1702" operator="equal">
      <formula>"B2-45"</formula>
    </cfRule>
  </conditionalFormatting>
  <conditionalFormatting sqref="I684">
    <cfRule type="cellIs" dxfId="762" priority="1699" operator="equal">
      <formula>"SC1-7"</formula>
    </cfRule>
    <cfRule type="cellIs" dxfId="761" priority="1700" operator="equal">
      <formula>"B2-45"</formula>
    </cfRule>
  </conditionalFormatting>
  <conditionalFormatting sqref="I685">
    <cfRule type="cellIs" dxfId="760" priority="1697" operator="equal">
      <formula>"SC1-7"</formula>
    </cfRule>
    <cfRule type="cellIs" dxfId="759" priority="1698" operator="equal">
      <formula>"B2-45"</formula>
    </cfRule>
  </conditionalFormatting>
  <conditionalFormatting sqref="B684:B689">
    <cfRule type="containsText" dxfId="758" priority="1696" operator="containsText" text=" GALV">
      <formula>NOT(ISERROR(SEARCH(" GALV",B684)))</formula>
    </cfRule>
  </conditionalFormatting>
  <conditionalFormatting sqref="I690">
    <cfRule type="cellIs" dxfId="757" priority="1676" operator="equal">
      <formula>"SC1-7"</formula>
    </cfRule>
    <cfRule type="cellIs" dxfId="756" priority="1677" operator="equal">
      <formula>"B2-45"</formula>
    </cfRule>
  </conditionalFormatting>
  <conditionalFormatting sqref="I691">
    <cfRule type="cellIs" dxfId="755" priority="1674" operator="equal">
      <formula>"SC1-7"</formula>
    </cfRule>
    <cfRule type="cellIs" dxfId="754" priority="1675" operator="equal">
      <formula>"B2-45"</formula>
    </cfRule>
  </conditionalFormatting>
  <conditionalFormatting sqref="I692">
    <cfRule type="cellIs" dxfId="753" priority="1672" operator="equal">
      <formula>"SC1-7"</formula>
    </cfRule>
    <cfRule type="cellIs" dxfId="752" priority="1673" operator="equal">
      <formula>"B2-45"</formula>
    </cfRule>
  </conditionalFormatting>
  <conditionalFormatting sqref="I693">
    <cfRule type="cellIs" dxfId="751" priority="1670" operator="equal">
      <formula>"SC1-7"</formula>
    </cfRule>
    <cfRule type="cellIs" dxfId="750" priority="1671" operator="equal">
      <formula>"B2-45"</formula>
    </cfRule>
  </conditionalFormatting>
  <conditionalFormatting sqref="I694">
    <cfRule type="cellIs" dxfId="749" priority="1668" operator="equal">
      <formula>"SC1-7"</formula>
    </cfRule>
    <cfRule type="cellIs" dxfId="748" priority="1669" operator="equal">
      <formula>"B2-45"</formula>
    </cfRule>
  </conditionalFormatting>
  <conditionalFormatting sqref="I695">
    <cfRule type="cellIs" dxfId="747" priority="1666" operator="equal">
      <formula>"SC1-7"</formula>
    </cfRule>
    <cfRule type="cellIs" dxfId="746" priority="1667" operator="equal">
      <formula>"B2-45"</formula>
    </cfRule>
  </conditionalFormatting>
  <conditionalFormatting sqref="I696">
    <cfRule type="cellIs" dxfId="745" priority="1664" operator="equal">
      <formula>"SC1-7"</formula>
    </cfRule>
    <cfRule type="cellIs" dxfId="744" priority="1665" operator="equal">
      <formula>"B2-45"</formula>
    </cfRule>
  </conditionalFormatting>
  <conditionalFormatting sqref="I697">
    <cfRule type="cellIs" dxfId="743" priority="1662" operator="equal">
      <formula>"SC1-7"</formula>
    </cfRule>
    <cfRule type="cellIs" dxfId="742" priority="1663" operator="equal">
      <formula>"B2-45"</formula>
    </cfRule>
  </conditionalFormatting>
  <conditionalFormatting sqref="I698">
    <cfRule type="cellIs" dxfId="741" priority="1660" operator="equal">
      <formula>"SC1-7"</formula>
    </cfRule>
    <cfRule type="cellIs" dxfId="740" priority="1661" operator="equal">
      <formula>"B2-45"</formula>
    </cfRule>
  </conditionalFormatting>
  <conditionalFormatting sqref="I600:I605">
    <cfRule type="cellIs" dxfId="739" priority="1658" operator="equal">
      <formula>"SC1-7"</formula>
    </cfRule>
    <cfRule type="cellIs" dxfId="738" priority="1659" operator="equal">
      <formula>"B2-45"</formula>
    </cfRule>
  </conditionalFormatting>
  <conditionalFormatting sqref="I600">
    <cfRule type="cellIs" dxfId="737" priority="1656" operator="equal">
      <formula>"SC1-7"</formula>
    </cfRule>
    <cfRule type="cellIs" dxfId="736" priority="1657" operator="equal">
      <formula>"B2-45"</formula>
    </cfRule>
  </conditionalFormatting>
  <conditionalFormatting sqref="I601">
    <cfRule type="cellIs" dxfId="735" priority="1654" operator="equal">
      <formula>"SC1-7"</formula>
    </cfRule>
    <cfRule type="cellIs" dxfId="734" priority="1655" operator="equal">
      <formula>"B2-45"</formula>
    </cfRule>
  </conditionalFormatting>
  <conditionalFormatting sqref="B600:B605">
    <cfRule type="containsText" dxfId="733" priority="1653" operator="containsText" text=" GALV">
      <formula>NOT(ISERROR(SEARCH(" GALV",B600)))</formula>
    </cfRule>
  </conditionalFormatting>
  <conditionalFormatting sqref="I606">
    <cfRule type="cellIs" dxfId="732" priority="1635" operator="equal">
      <formula>"SC1-7"</formula>
    </cfRule>
    <cfRule type="cellIs" dxfId="731" priority="1636" operator="equal">
      <formula>"B2-45"</formula>
    </cfRule>
  </conditionalFormatting>
  <conditionalFormatting sqref="I607">
    <cfRule type="cellIs" dxfId="730" priority="1633" operator="equal">
      <formula>"SC1-7"</formula>
    </cfRule>
    <cfRule type="cellIs" dxfId="729" priority="1634" operator="equal">
      <formula>"B2-45"</formula>
    </cfRule>
  </conditionalFormatting>
  <conditionalFormatting sqref="I608">
    <cfRule type="cellIs" dxfId="728" priority="1631" operator="equal">
      <formula>"SC1-7"</formula>
    </cfRule>
    <cfRule type="cellIs" dxfId="727" priority="1632" operator="equal">
      <formula>"B2-45"</formula>
    </cfRule>
  </conditionalFormatting>
  <conditionalFormatting sqref="I609">
    <cfRule type="cellIs" dxfId="726" priority="1629" operator="equal">
      <formula>"SC1-7"</formula>
    </cfRule>
    <cfRule type="cellIs" dxfId="725" priority="1630" operator="equal">
      <formula>"B2-45"</formula>
    </cfRule>
  </conditionalFormatting>
  <conditionalFormatting sqref="I610">
    <cfRule type="cellIs" dxfId="724" priority="1627" operator="equal">
      <formula>"SC1-7"</formula>
    </cfRule>
    <cfRule type="cellIs" dxfId="723" priority="1628" operator="equal">
      <formula>"B2-45"</formula>
    </cfRule>
  </conditionalFormatting>
  <conditionalFormatting sqref="I611">
    <cfRule type="cellIs" dxfId="722" priority="1625" operator="equal">
      <formula>"SC1-7"</formula>
    </cfRule>
    <cfRule type="cellIs" dxfId="721" priority="1626" operator="equal">
      <formula>"B2-45"</formula>
    </cfRule>
  </conditionalFormatting>
  <conditionalFormatting sqref="I612">
    <cfRule type="cellIs" dxfId="720" priority="1623" operator="equal">
      <formula>"SC1-7"</formula>
    </cfRule>
    <cfRule type="cellIs" dxfId="719" priority="1624" operator="equal">
      <formula>"B2-45"</formula>
    </cfRule>
  </conditionalFormatting>
  <conditionalFormatting sqref="I613:I683">
    <cfRule type="cellIs" dxfId="718" priority="1621" operator="equal">
      <formula>"SC1-7"</formula>
    </cfRule>
    <cfRule type="cellIs" dxfId="717" priority="1622" operator="equal">
      <formula>"B2-45"</formula>
    </cfRule>
  </conditionalFormatting>
  <conditionalFormatting sqref="I590:I595">
    <cfRule type="cellIs" dxfId="716" priority="1619" operator="equal">
      <formula>"SC1-7"</formula>
    </cfRule>
    <cfRule type="cellIs" dxfId="715" priority="1620" operator="equal">
      <formula>"B2-45"</formula>
    </cfRule>
  </conditionalFormatting>
  <conditionalFormatting sqref="I590">
    <cfRule type="cellIs" dxfId="714" priority="1617" operator="equal">
      <formula>"SC1-7"</formula>
    </cfRule>
    <cfRule type="cellIs" dxfId="713" priority="1618" operator="equal">
      <formula>"B2-45"</formula>
    </cfRule>
  </conditionalFormatting>
  <conditionalFormatting sqref="I591">
    <cfRule type="cellIs" dxfId="712" priority="1615" operator="equal">
      <formula>"SC1-7"</formula>
    </cfRule>
    <cfRule type="cellIs" dxfId="711" priority="1616" operator="equal">
      <formula>"B2-45"</formula>
    </cfRule>
  </conditionalFormatting>
  <conditionalFormatting sqref="B590:B595">
    <cfRule type="containsText" dxfId="710" priority="1614" operator="containsText" text=" GALV">
      <formula>NOT(ISERROR(SEARCH(" GALV",B590)))</formula>
    </cfRule>
  </conditionalFormatting>
  <conditionalFormatting sqref="I596">
    <cfRule type="cellIs" dxfId="709" priority="1604" operator="equal">
      <formula>"SC1-7"</formula>
    </cfRule>
    <cfRule type="cellIs" dxfId="708" priority="1605" operator="equal">
      <formula>"B2-45"</formula>
    </cfRule>
  </conditionalFormatting>
  <conditionalFormatting sqref="I597">
    <cfRule type="cellIs" dxfId="707" priority="1602" operator="equal">
      <formula>"SC1-7"</formula>
    </cfRule>
    <cfRule type="cellIs" dxfId="706" priority="1603" operator="equal">
      <formula>"B2-45"</formula>
    </cfRule>
  </conditionalFormatting>
  <conditionalFormatting sqref="I598">
    <cfRule type="cellIs" dxfId="705" priority="1600" operator="equal">
      <formula>"SC1-7"</formula>
    </cfRule>
    <cfRule type="cellIs" dxfId="704" priority="1601" operator="equal">
      <formula>"B2-45"</formula>
    </cfRule>
  </conditionalFormatting>
  <conditionalFormatting sqref="I599">
    <cfRule type="cellIs" dxfId="703" priority="1598" operator="equal">
      <formula>"SC1-7"</formula>
    </cfRule>
    <cfRule type="cellIs" dxfId="702" priority="1599" operator="equal">
      <formula>"B2-45"</formula>
    </cfRule>
  </conditionalFormatting>
  <conditionalFormatting sqref="I581:I586">
    <cfRule type="cellIs" dxfId="701" priority="1596" operator="equal">
      <formula>"SC1-7"</formula>
    </cfRule>
    <cfRule type="cellIs" dxfId="700" priority="1597" operator="equal">
      <formula>"B2-45"</formula>
    </cfRule>
  </conditionalFormatting>
  <conditionalFormatting sqref="I581">
    <cfRule type="cellIs" dxfId="699" priority="1594" operator="equal">
      <formula>"SC1-7"</formula>
    </cfRule>
    <cfRule type="cellIs" dxfId="698" priority="1595" operator="equal">
      <formula>"B2-45"</formula>
    </cfRule>
  </conditionalFormatting>
  <conditionalFormatting sqref="I582">
    <cfRule type="cellIs" dxfId="697" priority="1592" operator="equal">
      <formula>"SC1-7"</formula>
    </cfRule>
    <cfRule type="cellIs" dxfId="696" priority="1593" operator="equal">
      <formula>"B2-45"</formula>
    </cfRule>
  </conditionalFormatting>
  <conditionalFormatting sqref="B581:B586">
    <cfRule type="containsText" dxfId="695" priority="1591" operator="containsText" text=" GALV">
      <formula>NOT(ISERROR(SEARCH(" GALV",B581)))</formula>
    </cfRule>
  </conditionalFormatting>
  <conditionalFormatting sqref="I587">
    <cfRule type="cellIs" dxfId="694" priority="1583" operator="equal">
      <formula>"SC1-7"</formula>
    </cfRule>
    <cfRule type="cellIs" dxfId="693" priority="1584" operator="equal">
      <formula>"B2-45"</formula>
    </cfRule>
  </conditionalFormatting>
  <conditionalFormatting sqref="I588">
    <cfRule type="cellIs" dxfId="692" priority="1581" operator="equal">
      <formula>"SC1-7"</formula>
    </cfRule>
    <cfRule type="cellIs" dxfId="691" priority="1582" operator="equal">
      <formula>"B2-45"</formula>
    </cfRule>
  </conditionalFormatting>
  <conditionalFormatting sqref="I589">
    <cfRule type="cellIs" dxfId="690" priority="1579" operator="equal">
      <formula>"SC1-7"</formula>
    </cfRule>
    <cfRule type="cellIs" dxfId="689" priority="1580" operator="equal">
      <formula>"B2-45"</formula>
    </cfRule>
  </conditionalFormatting>
  <conditionalFormatting sqref="I577">
    <cfRule type="cellIs" dxfId="688" priority="1513" operator="equal">
      <formula>"SC1-7"</formula>
    </cfRule>
    <cfRule type="cellIs" dxfId="687" priority="1514" operator="equal">
      <formula>"B2-45"</formula>
    </cfRule>
  </conditionalFormatting>
  <conditionalFormatting sqref="I578">
    <cfRule type="cellIs" dxfId="686" priority="1511" operator="equal">
      <formula>"SC1-7"</formula>
    </cfRule>
    <cfRule type="cellIs" dxfId="685" priority="1512" operator="equal">
      <formula>"B2-45"</formula>
    </cfRule>
  </conditionalFormatting>
  <conditionalFormatting sqref="I579">
    <cfRule type="cellIs" dxfId="684" priority="1509" operator="equal">
      <formula>"SC1-7"</formula>
    </cfRule>
    <cfRule type="cellIs" dxfId="683" priority="1510" operator="equal">
      <formula>"B2-45"</formula>
    </cfRule>
  </conditionalFormatting>
  <conditionalFormatting sqref="I564:I569">
    <cfRule type="cellIs" dxfId="682" priority="1507" operator="equal">
      <formula>"SC1-7"</formula>
    </cfRule>
    <cfRule type="cellIs" dxfId="681" priority="1508" operator="equal">
      <formula>"B2-45"</formula>
    </cfRule>
  </conditionalFormatting>
  <conditionalFormatting sqref="I564">
    <cfRule type="cellIs" dxfId="680" priority="1505" operator="equal">
      <formula>"SC1-7"</formula>
    </cfRule>
    <cfRule type="cellIs" dxfId="679" priority="1506" operator="equal">
      <formula>"B2-45"</formula>
    </cfRule>
  </conditionalFormatting>
  <conditionalFormatting sqref="I565">
    <cfRule type="cellIs" dxfId="678" priority="1503" operator="equal">
      <formula>"SC1-7"</formula>
    </cfRule>
    <cfRule type="cellIs" dxfId="677" priority="1504" operator="equal">
      <formula>"B2-45"</formula>
    </cfRule>
  </conditionalFormatting>
  <conditionalFormatting sqref="B564:B569">
    <cfRule type="containsText" dxfId="676" priority="1502" operator="containsText" text=" GALV">
      <formula>NOT(ISERROR(SEARCH(" GALV",B564)))</formula>
    </cfRule>
  </conditionalFormatting>
  <conditionalFormatting sqref="I570">
    <cfRule type="cellIs" dxfId="675" priority="1484" operator="equal">
      <formula>"SC1-7"</formula>
    </cfRule>
    <cfRule type="cellIs" dxfId="674" priority="1485" operator="equal">
      <formula>"B2-45"</formula>
    </cfRule>
  </conditionalFormatting>
  <conditionalFormatting sqref="I571">
    <cfRule type="cellIs" dxfId="673" priority="1482" operator="equal">
      <formula>"SC1-7"</formula>
    </cfRule>
    <cfRule type="cellIs" dxfId="672" priority="1483" operator="equal">
      <formula>"B2-45"</formula>
    </cfRule>
  </conditionalFormatting>
  <conditionalFormatting sqref="I572">
    <cfRule type="cellIs" dxfId="671" priority="1480" operator="equal">
      <formula>"SC1-7"</formula>
    </cfRule>
    <cfRule type="cellIs" dxfId="670" priority="1481" operator="equal">
      <formula>"B2-45"</formula>
    </cfRule>
  </conditionalFormatting>
  <conditionalFormatting sqref="I573">
    <cfRule type="cellIs" dxfId="669" priority="1478" operator="equal">
      <formula>"SC1-7"</formula>
    </cfRule>
    <cfRule type="cellIs" dxfId="668" priority="1479" operator="equal">
      <formula>"B2-45"</formula>
    </cfRule>
  </conditionalFormatting>
  <conditionalFormatting sqref="I574">
    <cfRule type="cellIs" dxfId="667" priority="1476" operator="equal">
      <formula>"SC1-7"</formula>
    </cfRule>
    <cfRule type="cellIs" dxfId="666" priority="1477" operator="equal">
      <formula>"B2-45"</formula>
    </cfRule>
  </conditionalFormatting>
  <conditionalFormatting sqref="I575">
    <cfRule type="cellIs" dxfId="665" priority="1474" operator="equal">
      <formula>"SC1-7"</formula>
    </cfRule>
    <cfRule type="cellIs" dxfId="664" priority="1475" operator="equal">
      <formula>"B2-45"</formula>
    </cfRule>
  </conditionalFormatting>
  <conditionalFormatting sqref="I576">
    <cfRule type="cellIs" dxfId="663" priority="1472" operator="equal">
      <formula>"SC1-7"</formula>
    </cfRule>
    <cfRule type="cellIs" dxfId="662" priority="1473" operator="equal">
      <formula>"B2-45"</formula>
    </cfRule>
  </conditionalFormatting>
  <conditionalFormatting sqref="I562">
    <cfRule type="cellIs" dxfId="661" priority="1441" operator="equal">
      <formula>"SC1-7"</formula>
    </cfRule>
    <cfRule type="cellIs" dxfId="660" priority="1442" operator="equal">
      <formula>"B2-45"</formula>
    </cfRule>
  </conditionalFormatting>
  <conditionalFormatting sqref="I544">
    <cfRule type="cellIs" dxfId="659" priority="1439" operator="equal">
      <formula>"SC1-7"</formula>
    </cfRule>
    <cfRule type="cellIs" dxfId="658" priority="1440" operator="equal">
      <formula>"B2-45"</formula>
    </cfRule>
  </conditionalFormatting>
  <conditionalFormatting sqref="I545">
    <cfRule type="cellIs" dxfId="657" priority="1437" operator="equal">
      <formula>"SC1-7"</formula>
    </cfRule>
    <cfRule type="cellIs" dxfId="656" priority="1438" operator="equal">
      <formula>"B2-45"</formula>
    </cfRule>
  </conditionalFormatting>
  <conditionalFormatting sqref="I546">
    <cfRule type="cellIs" dxfId="655" priority="1435" operator="equal">
      <formula>"SC1-7"</formula>
    </cfRule>
    <cfRule type="cellIs" dxfId="654" priority="1436" operator="equal">
      <formula>"B2-45"</formula>
    </cfRule>
  </conditionalFormatting>
  <conditionalFormatting sqref="I547">
    <cfRule type="cellIs" dxfId="653" priority="1433" operator="equal">
      <formula>"SC1-7"</formula>
    </cfRule>
    <cfRule type="cellIs" dxfId="652" priority="1434" operator="equal">
      <formula>"B2-45"</formula>
    </cfRule>
  </conditionalFormatting>
  <conditionalFormatting sqref="I548">
    <cfRule type="cellIs" dxfId="651" priority="1431" operator="equal">
      <formula>"SC1-7"</formula>
    </cfRule>
    <cfRule type="cellIs" dxfId="650" priority="1432" operator="equal">
      <formula>"B2-45"</formula>
    </cfRule>
  </conditionalFormatting>
  <conditionalFormatting sqref="I563">
    <cfRule type="cellIs" dxfId="649" priority="1427" operator="equal">
      <formula>"SC1-7"</formula>
    </cfRule>
    <cfRule type="cellIs" dxfId="648" priority="1428" operator="equal">
      <formula>"B2-45"</formula>
    </cfRule>
  </conditionalFormatting>
  <conditionalFormatting sqref="I559">
    <cfRule type="cellIs" dxfId="647" priority="1406" operator="equal">
      <formula>"SC1-7"</formula>
    </cfRule>
    <cfRule type="cellIs" dxfId="646" priority="1407" operator="equal">
      <formula>"B2-45"</formula>
    </cfRule>
  </conditionalFormatting>
  <conditionalFormatting sqref="I560">
    <cfRule type="cellIs" dxfId="645" priority="1404" operator="equal">
      <formula>"SC1-7"</formula>
    </cfRule>
    <cfRule type="cellIs" dxfId="644" priority="1405" operator="equal">
      <formula>"B2-45"</formula>
    </cfRule>
  </conditionalFormatting>
  <conditionalFormatting sqref="I561">
    <cfRule type="cellIs" dxfId="643" priority="1402" operator="equal">
      <formula>"SC1-7"</formula>
    </cfRule>
    <cfRule type="cellIs" dxfId="642" priority="1403" operator="equal">
      <formula>"B2-45"</formula>
    </cfRule>
  </conditionalFormatting>
  <conditionalFormatting sqref="I537:I542">
    <cfRule type="cellIs" dxfId="641" priority="1398" operator="equal">
      <formula>"SC1-7"</formula>
    </cfRule>
    <cfRule type="cellIs" dxfId="640" priority="1399" operator="equal">
      <formula>"B2-45"</formula>
    </cfRule>
  </conditionalFormatting>
  <conditionalFormatting sqref="I537">
    <cfRule type="cellIs" dxfId="639" priority="1396" operator="equal">
      <formula>"SC1-7"</formula>
    </cfRule>
    <cfRule type="cellIs" dxfId="638" priority="1397" operator="equal">
      <formula>"B2-45"</formula>
    </cfRule>
  </conditionalFormatting>
  <conditionalFormatting sqref="I538">
    <cfRule type="cellIs" dxfId="637" priority="1394" operator="equal">
      <formula>"SC1-7"</formula>
    </cfRule>
    <cfRule type="cellIs" dxfId="636" priority="1395" operator="equal">
      <formula>"B2-45"</formula>
    </cfRule>
  </conditionalFormatting>
  <conditionalFormatting sqref="B537:B542">
    <cfRule type="containsText" dxfId="635" priority="1393" operator="containsText" text=" GALV">
      <formula>NOT(ISERROR(SEARCH(" GALV",B537)))</formula>
    </cfRule>
  </conditionalFormatting>
  <conditionalFormatting sqref="I543:I549">
    <cfRule type="cellIs" dxfId="634" priority="1369" operator="equal">
      <formula>"SC1-7"</formula>
    </cfRule>
    <cfRule type="cellIs" dxfId="633" priority="1370" operator="equal">
      <formula>"B2-45"</formula>
    </cfRule>
  </conditionalFormatting>
  <conditionalFormatting sqref="I550">
    <cfRule type="cellIs" dxfId="632" priority="1365" operator="equal">
      <formula>"SC1-7"</formula>
    </cfRule>
    <cfRule type="cellIs" dxfId="631" priority="1366" operator="equal">
      <formula>"B2-45"</formula>
    </cfRule>
  </conditionalFormatting>
  <conditionalFormatting sqref="I551">
    <cfRule type="cellIs" dxfId="630" priority="1363" operator="equal">
      <formula>"SC1-7"</formula>
    </cfRule>
    <cfRule type="cellIs" dxfId="629" priority="1364" operator="equal">
      <formula>"B2-45"</formula>
    </cfRule>
  </conditionalFormatting>
  <conditionalFormatting sqref="I552">
    <cfRule type="cellIs" dxfId="628" priority="1361" operator="equal">
      <formula>"SC1-7"</formula>
    </cfRule>
    <cfRule type="cellIs" dxfId="627" priority="1362" operator="equal">
      <formula>"B2-45"</formula>
    </cfRule>
  </conditionalFormatting>
  <conditionalFormatting sqref="I553">
    <cfRule type="cellIs" dxfId="626" priority="1359" operator="equal">
      <formula>"SC1-7"</formula>
    </cfRule>
    <cfRule type="cellIs" dxfId="625" priority="1360" operator="equal">
      <formula>"B2-45"</formula>
    </cfRule>
  </conditionalFormatting>
  <conditionalFormatting sqref="I554">
    <cfRule type="cellIs" dxfId="624" priority="1357" operator="equal">
      <formula>"SC1-7"</formula>
    </cfRule>
    <cfRule type="cellIs" dxfId="623" priority="1358" operator="equal">
      <formula>"B2-45"</formula>
    </cfRule>
  </conditionalFormatting>
  <conditionalFormatting sqref="I555">
    <cfRule type="cellIs" dxfId="622" priority="1355" operator="equal">
      <formula>"SC1-7"</formula>
    </cfRule>
    <cfRule type="cellIs" dxfId="621" priority="1356" operator="equal">
      <formula>"B2-45"</formula>
    </cfRule>
  </conditionalFormatting>
  <conditionalFormatting sqref="I556">
    <cfRule type="cellIs" dxfId="620" priority="1353" operator="equal">
      <formula>"SC1-7"</formula>
    </cfRule>
    <cfRule type="cellIs" dxfId="619" priority="1354" operator="equal">
      <formula>"B2-45"</formula>
    </cfRule>
  </conditionalFormatting>
  <conditionalFormatting sqref="I557:I558">
    <cfRule type="cellIs" dxfId="618" priority="1351" operator="equal">
      <formula>"SC1-7"</formula>
    </cfRule>
    <cfRule type="cellIs" dxfId="617" priority="1352" operator="equal">
      <formula>"B2-45"</formula>
    </cfRule>
  </conditionalFormatting>
  <conditionalFormatting sqref="I558">
    <cfRule type="cellIs" dxfId="616" priority="1349" operator="equal">
      <formula>"SC1-7"</formula>
    </cfRule>
    <cfRule type="cellIs" dxfId="615" priority="1350" operator="equal">
      <formula>"B2-45"</formula>
    </cfRule>
  </conditionalFormatting>
  <conditionalFormatting sqref="I510:I515">
    <cfRule type="cellIs" dxfId="614" priority="1284" operator="equal">
      <formula>"SC1-7"</formula>
    </cfRule>
    <cfRule type="cellIs" dxfId="613" priority="1285" operator="equal">
      <formula>"B2-45"</formula>
    </cfRule>
  </conditionalFormatting>
  <conditionalFormatting sqref="I510">
    <cfRule type="cellIs" dxfId="612" priority="1282" operator="equal">
      <formula>"SC1-7"</formula>
    </cfRule>
    <cfRule type="cellIs" dxfId="611" priority="1283" operator="equal">
      <formula>"B2-45"</formula>
    </cfRule>
  </conditionalFormatting>
  <conditionalFormatting sqref="I511">
    <cfRule type="cellIs" dxfId="610" priority="1280" operator="equal">
      <formula>"SC1-7"</formula>
    </cfRule>
    <cfRule type="cellIs" dxfId="609" priority="1281" operator="equal">
      <formula>"B2-45"</formula>
    </cfRule>
  </conditionalFormatting>
  <conditionalFormatting sqref="B510:B515">
    <cfRule type="containsText" dxfId="608" priority="1279" operator="containsText" text=" GALV">
      <formula>NOT(ISERROR(SEARCH(" GALV",B510)))</formula>
    </cfRule>
  </conditionalFormatting>
  <conditionalFormatting sqref="I534:I536">
    <cfRule type="cellIs" dxfId="607" priority="1249" operator="equal">
      <formula>"SC1-7"</formula>
    </cfRule>
    <cfRule type="cellIs" dxfId="606" priority="1250" operator="equal">
      <formula>"B2-45"</formula>
    </cfRule>
  </conditionalFormatting>
  <conditionalFormatting sqref="I516">
    <cfRule type="cellIs" dxfId="605" priority="1247" operator="equal">
      <formula>"SC1-7"</formula>
    </cfRule>
    <cfRule type="cellIs" dxfId="604" priority="1248" operator="equal">
      <formula>"B2-45"</formula>
    </cfRule>
  </conditionalFormatting>
  <conditionalFormatting sqref="I517">
    <cfRule type="cellIs" dxfId="603" priority="1239" operator="equal">
      <formula>"SC1-7"</formula>
    </cfRule>
    <cfRule type="cellIs" dxfId="602" priority="1240" operator="equal">
      <formula>"B2-45"</formula>
    </cfRule>
  </conditionalFormatting>
  <conditionalFormatting sqref="I528:I533">
    <cfRule type="cellIs" dxfId="601" priority="1245" operator="equal">
      <formula>"SC1-7"</formula>
    </cfRule>
    <cfRule type="cellIs" dxfId="600" priority="1246" operator="equal">
      <formula>"B2-45"</formula>
    </cfRule>
  </conditionalFormatting>
  <conditionalFormatting sqref="I518">
    <cfRule type="cellIs" dxfId="599" priority="1237" operator="equal">
      <formula>"SC1-7"</formula>
    </cfRule>
    <cfRule type="cellIs" dxfId="598" priority="1238" operator="equal">
      <formula>"B2-45"</formula>
    </cfRule>
  </conditionalFormatting>
  <conditionalFormatting sqref="I527">
    <cfRule type="cellIs" dxfId="597" priority="1243" operator="equal">
      <formula>"SC1-7"</formula>
    </cfRule>
    <cfRule type="cellIs" dxfId="596" priority="1244" operator="equal">
      <formula>"B2-45"</formula>
    </cfRule>
  </conditionalFormatting>
  <conditionalFormatting sqref="I526">
    <cfRule type="cellIs" dxfId="595" priority="1241" operator="equal">
      <formula>"SC1-7"</formula>
    </cfRule>
    <cfRule type="cellIs" dxfId="594" priority="1242" operator="equal">
      <formula>"B2-45"</formula>
    </cfRule>
  </conditionalFormatting>
  <conditionalFormatting sqref="I519">
    <cfRule type="cellIs" dxfId="593" priority="1235" operator="equal">
      <formula>"SC1-7"</formula>
    </cfRule>
    <cfRule type="cellIs" dxfId="592" priority="1236" operator="equal">
      <formula>"B2-45"</formula>
    </cfRule>
  </conditionalFormatting>
  <conditionalFormatting sqref="I520">
    <cfRule type="cellIs" dxfId="591" priority="1233" operator="equal">
      <formula>"SC1-7"</formula>
    </cfRule>
    <cfRule type="cellIs" dxfId="590" priority="1234" operator="equal">
      <formula>"B2-45"</formula>
    </cfRule>
  </conditionalFormatting>
  <conditionalFormatting sqref="I521">
    <cfRule type="cellIs" dxfId="589" priority="1231" operator="equal">
      <formula>"SC1-7"</formula>
    </cfRule>
    <cfRule type="cellIs" dxfId="588" priority="1232" operator="equal">
      <formula>"B2-45"</formula>
    </cfRule>
  </conditionalFormatting>
  <conditionalFormatting sqref="I522">
    <cfRule type="cellIs" dxfId="587" priority="1229" operator="equal">
      <formula>"SC1-7"</formula>
    </cfRule>
    <cfRule type="cellIs" dxfId="586" priority="1230" operator="equal">
      <formula>"B2-45"</formula>
    </cfRule>
  </conditionalFormatting>
  <conditionalFormatting sqref="I523">
    <cfRule type="cellIs" dxfId="585" priority="1227" operator="equal">
      <formula>"SC1-7"</formula>
    </cfRule>
    <cfRule type="cellIs" dxfId="584" priority="1228" operator="equal">
      <formula>"B2-45"</formula>
    </cfRule>
  </conditionalFormatting>
  <conditionalFormatting sqref="I524:I526">
    <cfRule type="cellIs" dxfId="583" priority="1225" operator="equal">
      <formula>"SC1-7"</formula>
    </cfRule>
    <cfRule type="cellIs" dxfId="582" priority="1226" operator="equal">
      <formula>"B2-45"</formula>
    </cfRule>
  </conditionalFormatting>
  <conditionalFormatting sqref="I525">
    <cfRule type="cellIs" dxfId="581" priority="1223" operator="equal">
      <formula>"SC1-7"</formula>
    </cfRule>
    <cfRule type="cellIs" dxfId="580" priority="1224" operator="equal">
      <formula>"B2-45"</formula>
    </cfRule>
  </conditionalFormatting>
  <conditionalFormatting sqref="I508">
    <cfRule type="cellIs" dxfId="579" priority="1206" operator="equal">
      <formula>"SC1-7"</formula>
    </cfRule>
    <cfRule type="cellIs" dxfId="578" priority="1207" operator="equal">
      <formula>"B2-45"</formula>
    </cfRule>
  </conditionalFormatting>
  <conditionalFormatting sqref="I509">
    <cfRule type="cellIs" dxfId="577" priority="1204" operator="equal">
      <formula>"SC1-7"</formula>
    </cfRule>
    <cfRule type="cellIs" dxfId="576" priority="1205" operator="equal">
      <formula>"B2-45"</formula>
    </cfRule>
  </conditionalFormatting>
  <conditionalFormatting sqref="I472:I477">
    <cfRule type="cellIs" dxfId="575" priority="1202" operator="equal">
      <formula>"SC1-7"</formula>
    </cfRule>
    <cfRule type="cellIs" dxfId="574" priority="1203" operator="equal">
      <formula>"B2-45"</formula>
    </cfRule>
  </conditionalFormatting>
  <conditionalFormatting sqref="I472">
    <cfRule type="cellIs" dxfId="573" priority="1200" operator="equal">
      <formula>"SC1-7"</formula>
    </cfRule>
    <cfRule type="cellIs" dxfId="572" priority="1201" operator="equal">
      <formula>"B2-45"</formula>
    </cfRule>
  </conditionalFormatting>
  <conditionalFormatting sqref="I473">
    <cfRule type="cellIs" dxfId="571" priority="1198" operator="equal">
      <formula>"SC1-7"</formula>
    </cfRule>
    <cfRule type="cellIs" dxfId="570" priority="1199" operator="equal">
      <formula>"B2-45"</formula>
    </cfRule>
  </conditionalFormatting>
  <conditionalFormatting sqref="B472:B477">
    <cfRule type="containsText" dxfId="569" priority="1197" operator="containsText" text=" GALV">
      <formula>NOT(ISERROR(SEARCH(" GALV",B472)))</formula>
    </cfRule>
  </conditionalFormatting>
  <conditionalFormatting sqref="I496:I507">
    <cfRule type="cellIs" dxfId="568" priority="1167" operator="equal">
      <formula>"SC1-7"</formula>
    </cfRule>
    <cfRule type="cellIs" dxfId="567" priority="1168" operator="equal">
      <formula>"B2-45"</formula>
    </cfRule>
  </conditionalFormatting>
  <conditionalFormatting sqref="I478">
    <cfRule type="cellIs" dxfId="566" priority="1165" operator="equal">
      <formula>"SC1-7"</formula>
    </cfRule>
    <cfRule type="cellIs" dxfId="565" priority="1166" operator="equal">
      <formula>"B2-45"</formula>
    </cfRule>
  </conditionalFormatting>
  <conditionalFormatting sqref="I479">
    <cfRule type="cellIs" dxfId="564" priority="1157" operator="equal">
      <formula>"SC1-7"</formula>
    </cfRule>
    <cfRule type="cellIs" dxfId="563" priority="1158" operator="equal">
      <formula>"B2-45"</formula>
    </cfRule>
  </conditionalFormatting>
  <conditionalFormatting sqref="I490:I495">
    <cfRule type="cellIs" dxfId="562" priority="1163" operator="equal">
      <formula>"SC1-7"</formula>
    </cfRule>
    <cfRule type="cellIs" dxfId="561" priority="1164" operator="equal">
      <formula>"B2-45"</formula>
    </cfRule>
  </conditionalFormatting>
  <conditionalFormatting sqref="I480">
    <cfRule type="cellIs" dxfId="560" priority="1155" operator="equal">
      <formula>"SC1-7"</formula>
    </cfRule>
    <cfRule type="cellIs" dxfId="559" priority="1156" operator="equal">
      <formula>"B2-45"</formula>
    </cfRule>
  </conditionalFormatting>
  <conditionalFormatting sqref="I489">
    <cfRule type="cellIs" dxfId="558" priority="1161" operator="equal">
      <formula>"SC1-7"</formula>
    </cfRule>
    <cfRule type="cellIs" dxfId="557" priority="1162" operator="equal">
      <formula>"B2-45"</formula>
    </cfRule>
  </conditionalFormatting>
  <conditionalFormatting sqref="I488">
    <cfRule type="cellIs" dxfId="556" priority="1159" operator="equal">
      <formula>"SC1-7"</formula>
    </cfRule>
    <cfRule type="cellIs" dxfId="555" priority="1160" operator="equal">
      <formula>"B2-45"</formula>
    </cfRule>
  </conditionalFormatting>
  <conditionalFormatting sqref="I481">
    <cfRule type="cellIs" dxfId="554" priority="1153" operator="equal">
      <formula>"SC1-7"</formula>
    </cfRule>
    <cfRule type="cellIs" dxfId="553" priority="1154" operator="equal">
      <formula>"B2-45"</formula>
    </cfRule>
  </conditionalFormatting>
  <conditionalFormatting sqref="I482">
    <cfRule type="cellIs" dxfId="552" priority="1151" operator="equal">
      <formula>"SC1-7"</formula>
    </cfRule>
    <cfRule type="cellIs" dxfId="551" priority="1152" operator="equal">
      <formula>"B2-45"</formula>
    </cfRule>
  </conditionalFormatting>
  <conditionalFormatting sqref="I483">
    <cfRule type="cellIs" dxfId="550" priority="1149" operator="equal">
      <formula>"SC1-7"</formula>
    </cfRule>
    <cfRule type="cellIs" dxfId="549" priority="1150" operator="equal">
      <formula>"B2-45"</formula>
    </cfRule>
  </conditionalFormatting>
  <conditionalFormatting sqref="I484">
    <cfRule type="cellIs" dxfId="548" priority="1147" operator="equal">
      <formula>"SC1-7"</formula>
    </cfRule>
    <cfRule type="cellIs" dxfId="547" priority="1148" operator="equal">
      <formula>"B2-45"</formula>
    </cfRule>
  </conditionalFormatting>
  <conditionalFormatting sqref="I485">
    <cfRule type="cellIs" dxfId="546" priority="1145" operator="equal">
      <formula>"SC1-7"</formula>
    </cfRule>
    <cfRule type="cellIs" dxfId="545" priority="1146" operator="equal">
      <formula>"B2-45"</formula>
    </cfRule>
  </conditionalFormatting>
  <conditionalFormatting sqref="I486:I488">
    <cfRule type="cellIs" dxfId="544" priority="1143" operator="equal">
      <formula>"SC1-7"</formula>
    </cfRule>
    <cfRule type="cellIs" dxfId="543" priority="1144" operator="equal">
      <formula>"B2-45"</formula>
    </cfRule>
  </conditionalFormatting>
  <conditionalFormatting sqref="I487">
    <cfRule type="cellIs" dxfId="542" priority="1141" operator="equal">
      <formula>"SC1-7"</formula>
    </cfRule>
    <cfRule type="cellIs" dxfId="541" priority="1142" operator="equal">
      <formula>"B2-45"</formula>
    </cfRule>
  </conditionalFormatting>
  <conditionalFormatting sqref="I469">
    <cfRule type="cellIs" dxfId="540" priority="1122" operator="equal">
      <formula>"SC1-7"</formula>
    </cfRule>
    <cfRule type="cellIs" dxfId="539" priority="1123" operator="equal">
      <formula>"B2-45"</formula>
    </cfRule>
  </conditionalFormatting>
  <conditionalFormatting sqref="I470">
    <cfRule type="cellIs" dxfId="538" priority="1120" operator="equal">
      <formula>"SC1-7"</formula>
    </cfRule>
    <cfRule type="cellIs" dxfId="537" priority="1121" operator="equal">
      <formula>"B2-45"</formula>
    </cfRule>
  </conditionalFormatting>
  <conditionalFormatting sqref="I471">
    <cfRule type="cellIs" dxfId="536" priority="1118" operator="equal">
      <formula>"SC1-7"</formula>
    </cfRule>
    <cfRule type="cellIs" dxfId="535" priority="1119" operator="equal">
      <formula>"B2-45"</formula>
    </cfRule>
  </conditionalFormatting>
  <conditionalFormatting sqref="I441:I446">
    <cfRule type="cellIs" dxfId="534" priority="1116" operator="equal">
      <formula>"SC1-7"</formula>
    </cfRule>
    <cfRule type="cellIs" dxfId="533" priority="1117" operator="equal">
      <formula>"B2-45"</formula>
    </cfRule>
  </conditionalFormatting>
  <conditionalFormatting sqref="I441">
    <cfRule type="cellIs" dxfId="532" priority="1114" operator="equal">
      <formula>"SC1-7"</formula>
    </cfRule>
    <cfRule type="cellIs" dxfId="531" priority="1115" operator="equal">
      <formula>"B2-45"</formula>
    </cfRule>
  </conditionalFormatting>
  <conditionalFormatting sqref="I442">
    <cfRule type="cellIs" dxfId="530" priority="1112" operator="equal">
      <formula>"SC1-7"</formula>
    </cfRule>
    <cfRule type="cellIs" dxfId="529" priority="1113" operator="equal">
      <formula>"B2-45"</formula>
    </cfRule>
  </conditionalFormatting>
  <conditionalFormatting sqref="B441:B446">
    <cfRule type="containsText" dxfId="528" priority="1111" operator="containsText" text=" GALV">
      <formula>NOT(ISERROR(SEARCH(" GALV",B441)))</formula>
    </cfRule>
  </conditionalFormatting>
  <conditionalFormatting sqref="I465:I468">
    <cfRule type="cellIs" dxfId="527" priority="1081" operator="equal">
      <formula>"SC1-7"</formula>
    </cfRule>
    <cfRule type="cellIs" dxfId="526" priority="1082" operator="equal">
      <formula>"B2-45"</formula>
    </cfRule>
  </conditionalFormatting>
  <conditionalFormatting sqref="I447">
    <cfRule type="cellIs" dxfId="525" priority="1079" operator="equal">
      <formula>"SC1-7"</formula>
    </cfRule>
    <cfRule type="cellIs" dxfId="524" priority="1080" operator="equal">
      <formula>"B2-45"</formula>
    </cfRule>
  </conditionalFormatting>
  <conditionalFormatting sqref="I448">
    <cfRule type="cellIs" dxfId="523" priority="1071" operator="equal">
      <formula>"SC1-7"</formula>
    </cfRule>
    <cfRule type="cellIs" dxfId="522" priority="1072" operator="equal">
      <formula>"B2-45"</formula>
    </cfRule>
  </conditionalFormatting>
  <conditionalFormatting sqref="I459:I464">
    <cfRule type="cellIs" dxfId="521" priority="1077" operator="equal">
      <formula>"SC1-7"</formula>
    </cfRule>
    <cfRule type="cellIs" dxfId="520" priority="1078" operator="equal">
      <formula>"B2-45"</formula>
    </cfRule>
  </conditionalFormatting>
  <conditionalFormatting sqref="I449">
    <cfRule type="cellIs" dxfId="519" priority="1069" operator="equal">
      <formula>"SC1-7"</formula>
    </cfRule>
    <cfRule type="cellIs" dxfId="518" priority="1070" operator="equal">
      <formula>"B2-45"</formula>
    </cfRule>
  </conditionalFormatting>
  <conditionalFormatting sqref="I458">
    <cfRule type="cellIs" dxfId="517" priority="1075" operator="equal">
      <formula>"SC1-7"</formula>
    </cfRule>
    <cfRule type="cellIs" dxfId="516" priority="1076" operator="equal">
      <formula>"B2-45"</formula>
    </cfRule>
  </conditionalFormatting>
  <conditionalFormatting sqref="I457">
    <cfRule type="cellIs" dxfId="515" priority="1073" operator="equal">
      <formula>"SC1-7"</formula>
    </cfRule>
    <cfRule type="cellIs" dxfId="514" priority="1074" operator="equal">
      <formula>"B2-45"</formula>
    </cfRule>
  </conditionalFormatting>
  <conditionalFormatting sqref="I450">
    <cfRule type="cellIs" dxfId="513" priority="1067" operator="equal">
      <formula>"SC1-7"</formula>
    </cfRule>
    <cfRule type="cellIs" dxfId="512" priority="1068" operator="equal">
      <formula>"B2-45"</formula>
    </cfRule>
  </conditionalFormatting>
  <conditionalFormatting sqref="I451">
    <cfRule type="cellIs" dxfId="511" priority="1065" operator="equal">
      <formula>"SC1-7"</formula>
    </cfRule>
    <cfRule type="cellIs" dxfId="510" priority="1066" operator="equal">
      <formula>"B2-45"</formula>
    </cfRule>
  </conditionalFormatting>
  <conditionalFormatting sqref="I452">
    <cfRule type="cellIs" dxfId="509" priority="1063" operator="equal">
      <formula>"SC1-7"</formula>
    </cfRule>
    <cfRule type="cellIs" dxfId="508" priority="1064" operator="equal">
      <formula>"B2-45"</formula>
    </cfRule>
  </conditionalFormatting>
  <conditionalFormatting sqref="I453">
    <cfRule type="cellIs" dxfId="507" priority="1061" operator="equal">
      <formula>"SC1-7"</formula>
    </cfRule>
    <cfRule type="cellIs" dxfId="506" priority="1062" operator="equal">
      <formula>"B2-45"</formula>
    </cfRule>
  </conditionalFormatting>
  <conditionalFormatting sqref="I454">
    <cfRule type="cellIs" dxfId="505" priority="1059" operator="equal">
      <formula>"SC1-7"</formula>
    </cfRule>
    <cfRule type="cellIs" dxfId="504" priority="1060" operator="equal">
      <formula>"B2-45"</formula>
    </cfRule>
  </conditionalFormatting>
  <conditionalFormatting sqref="I455:I457">
    <cfRule type="cellIs" dxfId="503" priority="1057" operator="equal">
      <formula>"SC1-7"</formula>
    </cfRule>
    <cfRule type="cellIs" dxfId="502" priority="1058" operator="equal">
      <formula>"B2-45"</formula>
    </cfRule>
  </conditionalFormatting>
  <conditionalFormatting sqref="I456">
    <cfRule type="cellIs" dxfId="501" priority="1055" operator="equal">
      <formula>"SC1-7"</formula>
    </cfRule>
    <cfRule type="cellIs" dxfId="500" priority="1056" operator="equal">
      <formula>"B2-45"</formula>
    </cfRule>
  </conditionalFormatting>
  <conditionalFormatting sqref="I425:I430">
    <cfRule type="cellIs" dxfId="499" priority="1053" operator="equal">
      <formula>"SC1-7"</formula>
    </cfRule>
    <cfRule type="cellIs" dxfId="498" priority="1054" operator="equal">
      <formula>"B2-45"</formula>
    </cfRule>
  </conditionalFormatting>
  <conditionalFormatting sqref="I425">
    <cfRule type="cellIs" dxfId="497" priority="1051" operator="equal">
      <formula>"SC1-7"</formula>
    </cfRule>
    <cfRule type="cellIs" dxfId="496" priority="1052" operator="equal">
      <formula>"B2-45"</formula>
    </cfRule>
  </conditionalFormatting>
  <conditionalFormatting sqref="I426">
    <cfRule type="cellIs" dxfId="495" priority="1049" operator="equal">
      <formula>"SC1-7"</formula>
    </cfRule>
    <cfRule type="cellIs" dxfId="494" priority="1050" operator="equal">
      <formula>"B2-45"</formula>
    </cfRule>
  </conditionalFormatting>
  <conditionalFormatting sqref="B425:B430">
    <cfRule type="containsText" dxfId="493" priority="1048" operator="containsText" text=" GALV">
      <formula>NOT(ISERROR(SEARCH(" GALV",B425)))</formula>
    </cfRule>
  </conditionalFormatting>
  <conditionalFormatting sqref="I431">
    <cfRule type="cellIs" dxfId="492" priority="1026" operator="equal">
      <formula>"SC1-7"</formula>
    </cfRule>
    <cfRule type="cellIs" dxfId="491" priority="1027" operator="equal">
      <formula>"B2-45"</formula>
    </cfRule>
  </conditionalFormatting>
  <conditionalFormatting sqref="I432">
    <cfRule type="cellIs" dxfId="490" priority="1024" operator="equal">
      <formula>"SC1-7"</formula>
    </cfRule>
    <cfRule type="cellIs" dxfId="489" priority="1025" operator="equal">
      <formula>"B2-45"</formula>
    </cfRule>
  </conditionalFormatting>
  <conditionalFormatting sqref="I433">
    <cfRule type="cellIs" dxfId="488" priority="1022" operator="equal">
      <formula>"SC1-7"</formula>
    </cfRule>
    <cfRule type="cellIs" dxfId="487" priority="1023" operator="equal">
      <formula>"B2-45"</formula>
    </cfRule>
  </conditionalFormatting>
  <conditionalFormatting sqref="I434">
    <cfRule type="cellIs" dxfId="486" priority="1020" operator="equal">
      <formula>"SC1-7"</formula>
    </cfRule>
    <cfRule type="cellIs" dxfId="485" priority="1021" operator="equal">
      <formula>"B2-45"</formula>
    </cfRule>
  </conditionalFormatting>
  <conditionalFormatting sqref="I435">
    <cfRule type="cellIs" dxfId="484" priority="1018" operator="equal">
      <formula>"SC1-7"</formula>
    </cfRule>
    <cfRule type="cellIs" dxfId="483" priority="1019" operator="equal">
      <formula>"B2-45"</formula>
    </cfRule>
  </conditionalFormatting>
  <conditionalFormatting sqref="I436">
    <cfRule type="cellIs" dxfId="482" priority="1016" operator="equal">
      <formula>"SC1-7"</formula>
    </cfRule>
    <cfRule type="cellIs" dxfId="481" priority="1017" operator="equal">
      <formula>"B2-45"</formula>
    </cfRule>
  </conditionalFormatting>
  <conditionalFormatting sqref="I437">
    <cfRule type="cellIs" dxfId="480" priority="1014" operator="equal">
      <formula>"SC1-7"</formula>
    </cfRule>
    <cfRule type="cellIs" dxfId="479" priority="1015" operator="equal">
      <formula>"B2-45"</formula>
    </cfRule>
  </conditionalFormatting>
  <conditionalFormatting sqref="I438">
    <cfRule type="cellIs" dxfId="478" priority="1012" operator="equal">
      <formula>"SC1-7"</formula>
    </cfRule>
    <cfRule type="cellIs" dxfId="477" priority="1013" operator="equal">
      <formula>"B2-45"</formula>
    </cfRule>
  </conditionalFormatting>
  <conditionalFormatting sqref="I439:I440">
    <cfRule type="cellIs" dxfId="476" priority="1010" operator="equal">
      <formula>"SC1-7"</formula>
    </cfRule>
    <cfRule type="cellIs" dxfId="475" priority="1011" operator="equal">
      <formula>"B2-45"</formula>
    </cfRule>
  </conditionalFormatting>
  <conditionalFormatting sqref="I440">
    <cfRule type="cellIs" dxfId="474" priority="1008" operator="equal">
      <formula>"SC1-7"</formula>
    </cfRule>
    <cfRule type="cellIs" dxfId="473" priority="1009" operator="equal">
      <formula>"B2-45"</formula>
    </cfRule>
  </conditionalFormatting>
  <conditionalFormatting sqref="I412:I417">
    <cfRule type="cellIs" dxfId="472" priority="1006" operator="equal">
      <formula>"SC1-7"</formula>
    </cfRule>
    <cfRule type="cellIs" dxfId="471" priority="1007" operator="equal">
      <formula>"B2-45"</formula>
    </cfRule>
  </conditionalFormatting>
  <conditionalFormatting sqref="I412">
    <cfRule type="cellIs" dxfId="470" priority="1004" operator="equal">
      <formula>"SC1-7"</formula>
    </cfRule>
    <cfRule type="cellIs" dxfId="469" priority="1005" operator="equal">
      <formula>"B2-45"</formula>
    </cfRule>
  </conditionalFormatting>
  <conditionalFormatting sqref="I413">
    <cfRule type="cellIs" dxfId="468" priority="1002" operator="equal">
      <formula>"SC1-7"</formula>
    </cfRule>
    <cfRule type="cellIs" dxfId="467" priority="1003" operator="equal">
      <formula>"B2-45"</formula>
    </cfRule>
  </conditionalFormatting>
  <conditionalFormatting sqref="B412:B417">
    <cfRule type="containsText" dxfId="466" priority="1001" operator="containsText" text=" GALV">
      <formula>NOT(ISERROR(SEARCH(" GALV",B412)))</formula>
    </cfRule>
  </conditionalFormatting>
  <conditionalFormatting sqref="I418">
    <cfRule type="cellIs" dxfId="465" priority="985" operator="equal">
      <formula>"SC1-7"</formula>
    </cfRule>
    <cfRule type="cellIs" dxfId="464" priority="986" operator="equal">
      <formula>"B2-45"</formula>
    </cfRule>
  </conditionalFormatting>
  <conditionalFormatting sqref="I419">
    <cfRule type="cellIs" dxfId="463" priority="983" operator="equal">
      <formula>"SC1-7"</formula>
    </cfRule>
    <cfRule type="cellIs" dxfId="462" priority="984" operator="equal">
      <formula>"B2-45"</formula>
    </cfRule>
  </conditionalFormatting>
  <conditionalFormatting sqref="I420">
    <cfRule type="cellIs" dxfId="461" priority="981" operator="equal">
      <formula>"SC1-7"</formula>
    </cfRule>
    <cfRule type="cellIs" dxfId="460" priority="982" operator="equal">
      <formula>"B2-45"</formula>
    </cfRule>
  </conditionalFormatting>
  <conditionalFormatting sqref="I421">
    <cfRule type="cellIs" dxfId="459" priority="979" operator="equal">
      <formula>"SC1-7"</formula>
    </cfRule>
    <cfRule type="cellIs" dxfId="458" priority="980" operator="equal">
      <formula>"B2-45"</formula>
    </cfRule>
  </conditionalFormatting>
  <conditionalFormatting sqref="I422">
    <cfRule type="cellIs" dxfId="457" priority="977" operator="equal">
      <formula>"SC1-7"</formula>
    </cfRule>
    <cfRule type="cellIs" dxfId="456" priority="978" operator="equal">
      <formula>"B2-45"</formula>
    </cfRule>
  </conditionalFormatting>
  <conditionalFormatting sqref="I423">
    <cfRule type="cellIs" dxfId="455" priority="975" operator="equal">
      <formula>"SC1-7"</formula>
    </cfRule>
    <cfRule type="cellIs" dxfId="454" priority="976" operator="equal">
      <formula>"B2-45"</formula>
    </cfRule>
  </conditionalFormatting>
  <conditionalFormatting sqref="I424">
    <cfRule type="cellIs" dxfId="453" priority="973" operator="equal">
      <formula>"SC1-7"</formula>
    </cfRule>
    <cfRule type="cellIs" dxfId="452" priority="974" operator="equal">
      <formula>"B2-45"</formula>
    </cfRule>
  </conditionalFormatting>
  <conditionalFormatting sqref="I400:I405">
    <cfRule type="cellIs" dxfId="451" priority="971" operator="equal">
      <formula>"SC1-7"</formula>
    </cfRule>
    <cfRule type="cellIs" dxfId="450" priority="972" operator="equal">
      <formula>"B2-45"</formula>
    </cfRule>
  </conditionalFormatting>
  <conditionalFormatting sqref="I400">
    <cfRule type="cellIs" dxfId="449" priority="969" operator="equal">
      <formula>"SC1-7"</formula>
    </cfRule>
    <cfRule type="cellIs" dxfId="448" priority="970" operator="equal">
      <formula>"B2-45"</formula>
    </cfRule>
  </conditionalFormatting>
  <conditionalFormatting sqref="I401">
    <cfRule type="cellIs" dxfId="447" priority="967" operator="equal">
      <formula>"SC1-7"</formula>
    </cfRule>
    <cfRule type="cellIs" dxfId="446" priority="968" operator="equal">
      <formula>"B2-45"</formula>
    </cfRule>
  </conditionalFormatting>
  <conditionalFormatting sqref="B400:B405">
    <cfRule type="containsText" dxfId="445" priority="966" operator="containsText" text=" GALV">
      <formula>NOT(ISERROR(SEARCH(" GALV",B400)))</formula>
    </cfRule>
  </conditionalFormatting>
  <conditionalFormatting sqref="I406">
    <cfRule type="cellIs" dxfId="444" priority="952" operator="equal">
      <formula>"SC1-7"</formula>
    </cfRule>
    <cfRule type="cellIs" dxfId="443" priority="953" operator="equal">
      <formula>"B2-45"</formula>
    </cfRule>
  </conditionalFormatting>
  <conditionalFormatting sqref="I407">
    <cfRule type="cellIs" dxfId="442" priority="950" operator="equal">
      <formula>"SC1-7"</formula>
    </cfRule>
    <cfRule type="cellIs" dxfId="441" priority="951" operator="equal">
      <formula>"B2-45"</formula>
    </cfRule>
  </conditionalFormatting>
  <conditionalFormatting sqref="I408">
    <cfRule type="cellIs" dxfId="440" priority="948" operator="equal">
      <formula>"SC1-7"</formula>
    </cfRule>
    <cfRule type="cellIs" dxfId="439" priority="949" operator="equal">
      <formula>"B2-45"</formula>
    </cfRule>
  </conditionalFormatting>
  <conditionalFormatting sqref="I409">
    <cfRule type="cellIs" dxfId="438" priority="946" operator="equal">
      <formula>"SC1-7"</formula>
    </cfRule>
    <cfRule type="cellIs" dxfId="437" priority="947" operator="equal">
      <formula>"B2-45"</formula>
    </cfRule>
  </conditionalFormatting>
  <conditionalFormatting sqref="I410">
    <cfRule type="cellIs" dxfId="436" priority="944" operator="equal">
      <formula>"SC1-7"</formula>
    </cfRule>
    <cfRule type="cellIs" dxfId="435" priority="945" operator="equal">
      <formula>"B2-45"</formula>
    </cfRule>
  </conditionalFormatting>
  <conditionalFormatting sqref="I411">
    <cfRule type="cellIs" dxfId="434" priority="942" operator="equal">
      <formula>"SC1-7"</formula>
    </cfRule>
    <cfRule type="cellIs" dxfId="433" priority="943" operator="equal">
      <formula>"B2-45"</formula>
    </cfRule>
  </conditionalFormatting>
  <conditionalFormatting sqref="I386:I391">
    <cfRule type="cellIs" dxfId="432" priority="940" operator="equal">
      <formula>"SC1-7"</formula>
    </cfRule>
    <cfRule type="cellIs" dxfId="431" priority="941" operator="equal">
      <formula>"B2-45"</formula>
    </cfRule>
  </conditionalFormatting>
  <conditionalFormatting sqref="I386">
    <cfRule type="cellIs" dxfId="430" priority="938" operator="equal">
      <formula>"SC1-7"</formula>
    </cfRule>
    <cfRule type="cellIs" dxfId="429" priority="939" operator="equal">
      <formula>"B2-45"</formula>
    </cfRule>
  </conditionalFormatting>
  <conditionalFormatting sqref="I387">
    <cfRule type="cellIs" dxfId="428" priority="936" operator="equal">
      <formula>"SC1-7"</formula>
    </cfRule>
    <cfRule type="cellIs" dxfId="427" priority="937" operator="equal">
      <formula>"B2-45"</formula>
    </cfRule>
  </conditionalFormatting>
  <conditionalFormatting sqref="B386:B391">
    <cfRule type="containsText" dxfId="426" priority="935" operator="containsText" text=" GALV">
      <formula>NOT(ISERROR(SEARCH(" GALV",B386)))</formula>
    </cfRule>
  </conditionalFormatting>
  <conditionalFormatting sqref="I392">
    <cfRule type="cellIs" dxfId="425" priority="917" operator="equal">
      <formula>"SC1-7"</formula>
    </cfRule>
    <cfRule type="cellIs" dxfId="424" priority="918" operator="equal">
      <formula>"B2-45"</formula>
    </cfRule>
  </conditionalFormatting>
  <conditionalFormatting sqref="I393">
    <cfRule type="cellIs" dxfId="423" priority="915" operator="equal">
      <formula>"SC1-7"</formula>
    </cfRule>
    <cfRule type="cellIs" dxfId="422" priority="916" operator="equal">
      <formula>"B2-45"</formula>
    </cfRule>
  </conditionalFormatting>
  <conditionalFormatting sqref="I394">
    <cfRule type="cellIs" dxfId="421" priority="913" operator="equal">
      <formula>"SC1-7"</formula>
    </cfRule>
    <cfRule type="cellIs" dxfId="420" priority="914" operator="equal">
      <formula>"B2-45"</formula>
    </cfRule>
  </conditionalFormatting>
  <conditionalFormatting sqref="I395">
    <cfRule type="cellIs" dxfId="419" priority="911" operator="equal">
      <formula>"SC1-7"</formula>
    </cfRule>
    <cfRule type="cellIs" dxfId="418" priority="912" operator="equal">
      <formula>"B2-45"</formula>
    </cfRule>
  </conditionalFormatting>
  <conditionalFormatting sqref="I396">
    <cfRule type="cellIs" dxfId="417" priority="909" operator="equal">
      <formula>"SC1-7"</formula>
    </cfRule>
    <cfRule type="cellIs" dxfId="416" priority="910" operator="equal">
      <formula>"B2-45"</formula>
    </cfRule>
  </conditionalFormatting>
  <conditionalFormatting sqref="I397">
    <cfRule type="cellIs" dxfId="415" priority="907" operator="equal">
      <formula>"SC1-7"</formula>
    </cfRule>
    <cfRule type="cellIs" dxfId="414" priority="908" operator="equal">
      <formula>"B2-45"</formula>
    </cfRule>
  </conditionalFormatting>
  <conditionalFormatting sqref="I398">
    <cfRule type="cellIs" dxfId="413" priority="905" operator="equal">
      <formula>"SC1-7"</formula>
    </cfRule>
    <cfRule type="cellIs" dxfId="412" priority="906" operator="equal">
      <formula>"B2-45"</formula>
    </cfRule>
  </conditionalFormatting>
  <conditionalFormatting sqref="I399">
    <cfRule type="cellIs" dxfId="411" priority="903" operator="equal">
      <formula>"SC1-7"</formula>
    </cfRule>
    <cfRule type="cellIs" dxfId="410" priority="904" operator="equal">
      <formula>"B2-45"</formula>
    </cfRule>
  </conditionalFormatting>
  <conditionalFormatting sqref="I327:I332">
    <cfRule type="cellIs" dxfId="409" priority="901" operator="equal">
      <formula>"SC1-7"</formula>
    </cfRule>
    <cfRule type="cellIs" dxfId="408" priority="902" operator="equal">
      <formula>"B2-45"</formula>
    </cfRule>
  </conditionalFormatting>
  <conditionalFormatting sqref="I327">
    <cfRule type="cellIs" dxfId="407" priority="899" operator="equal">
      <formula>"SC1-7"</formula>
    </cfRule>
    <cfRule type="cellIs" dxfId="406" priority="900" operator="equal">
      <formula>"B2-45"</formula>
    </cfRule>
  </conditionalFormatting>
  <conditionalFormatting sqref="I328">
    <cfRule type="cellIs" dxfId="405" priority="897" operator="equal">
      <formula>"SC1-7"</formula>
    </cfRule>
    <cfRule type="cellIs" dxfId="404" priority="898" operator="equal">
      <formula>"B2-45"</formula>
    </cfRule>
  </conditionalFormatting>
  <conditionalFormatting sqref="B327:B332">
    <cfRule type="containsText" dxfId="403" priority="896" operator="containsText" text=" GALV">
      <formula>NOT(ISERROR(SEARCH(" GALV",B327)))</formula>
    </cfRule>
  </conditionalFormatting>
  <conditionalFormatting sqref="I351:I371">
    <cfRule type="cellIs" dxfId="402" priority="864" operator="equal">
      <formula>"SC1-7"</formula>
    </cfRule>
    <cfRule type="cellIs" dxfId="401" priority="865" operator="equal">
      <formula>"B2-45"</formula>
    </cfRule>
  </conditionalFormatting>
  <conditionalFormatting sqref="I372:I385">
    <cfRule type="cellIs" dxfId="400" priority="862" operator="equal">
      <formula>"SC1-7"</formula>
    </cfRule>
    <cfRule type="cellIs" dxfId="399" priority="863" operator="equal">
      <formula>"B2-45"</formula>
    </cfRule>
  </conditionalFormatting>
  <conditionalFormatting sqref="I333">
    <cfRule type="cellIs" dxfId="398" priority="860" operator="equal">
      <formula>"SC1-7"</formula>
    </cfRule>
    <cfRule type="cellIs" dxfId="397" priority="861" operator="equal">
      <formula>"B2-45"</formula>
    </cfRule>
  </conditionalFormatting>
  <conditionalFormatting sqref="I334">
    <cfRule type="cellIs" dxfId="396" priority="852" operator="equal">
      <formula>"SC1-7"</formula>
    </cfRule>
    <cfRule type="cellIs" dxfId="395" priority="853" operator="equal">
      <formula>"B2-45"</formula>
    </cfRule>
  </conditionalFormatting>
  <conditionalFormatting sqref="I345:I350">
    <cfRule type="cellIs" dxfId="394" priority="858" operator="equal">
      <formula>"SC1-7"</formula>
    </cfRule>
    <cfRule type="cellIs" dxfId="393" priority="859" operator="equal">
      <formula>"B2-45"</formula>
    </cfRule>
  </conditionalFormatting>
  <conditionalFormatting sqref="I335">
    <cfRule type="cellIs" dxfId="392" priority="850" operator="equal">
      <formula>"SC1-7"</formula>
    </cfRule>
    <cfRule type="cellIs" dxfId="391" priority="851" operator="equal">
      <formula>"B2-45"</formula>
    </cfRule>
  </conditionalFormatting>
  <conditionalFormatting sqref="I344">
    <cfRule type="cellIs" dxfId="390" priority="856" operator="equal">
      <formula>"SC1-7"</formula>
    </cfRule>
    <cfRule type="cellIs" dxfId="389" priority="857" operator="equal">
      <formula>"B2-45"</formula>
    </cfRule>
  </conditionalFormatting>
  <conditionalFormatting sqref="I343">
    <cfRule type="cellIs" dxfId="388" priority="854" operator="equal">
      <formula>"SC1-7"</formula>
    </cfRule>
    <cfRule type="cellIs" dxfId="387" priority="855" operator="equal">
      <formula>"B2-45"</formula>
    </cfRule>
  </conditionalFormatting>
  <conditionalFormatting sqref="I336">
    <cfRule type="cellIs" dxfId="386" priority="848" operator="equal">
      <formula>"SC1-7"</formula>
    </cfRule>
    <cfRule type="cellIs" dxfId="385" priority="849" operator="equal">
      <formula>"B2-45"</formula>
    </cfRule>
  </conditionalFormatting>
  <conditionalFormatting sqref="I337">
    <cfRule type="cellIs" dxfId="384" priority="846" operator="equal">
      <formula>"SC1-7"</formula>
    </cfRule>
    <cfRule type="cellIs" dxfId="383" priority="847" operator="equal">
      <formula>"B2-45"</formula>
    </cfRule>
  </conditionalFormatting>
  <conditionalFormatting sqref="I338">
    <cfRule type="cellIs" dxfId="382" priority="844" operator="equal">
      <formula>"SC1-7"</formula>
    </cfRule>
    <cfRule type="cellIs" dxfId="381" priority="845" operator="equal">
      <formula>"B2-45"</formula>
    </cfRule>
  </conditionalFormatting>
  <conditionalFormatting sqref="I339">
    <cfRule type="cellIs" dxfId="380" priority="842" operator="equal">
      <formula>"SC1-7"</formula>
    </cfRule>
    <cfRule type="cellIs" dxfId="379" priority="843" operator="equal">
      <formula>"B2-45"</formula>
    </cfRule>
  </conditionalFormatting>
  <conditionalFormatting sqref="I340">
    <cfRule type="cellIs" dxfId="378" priority="840" operator="equal">
      <formula>"SC1-7"</formula>
    </cfRule>
    <cfRule type="cellIs" dxfId="377" priority="841" operator="equal">
      <formula>"B2-45"</formula>
    </cfRule>
  </conditionalFormatting>
  <conditionalFormatting sqref="I341:I343">
    <cfRule type="cellIs" dxfId="376" priority="838" operator="equal">
      <formula>"SC1-7"</formula>
    </cfRule>
    <cfRule type="cellIs" dxfId="375" priority="839" operator="equal">
      <formula>"B2-45"</formula>
    </cfRule>
  </conditionalFormatting>
  <conditionalFormatting sqref="I342">
    <cfRule type="cellIs" dxfId="374" priority="836" operator="equal">
      <formula>"SC1-7"</formula>
    </cfRule>
    <cfRule type="cellIs" dxfId="373" priority="837" operator="equal">
      <formula>"B2-45"</formula>
    </cfRule>
  </conditionalFormatting>
  <conditionalFormatting sqref="I325">
    <cfRule type="cellIs" dxfId="372" priority="819" operator="equal">
      <formula>"SC1-7"</formula>
    </cfRule>
    <cfRule type="cellIs" dxfId="371" priority="820" operator="equal">
      <formula>"B2-45"</formula>
    </cfRule>
  </conditionalFormatting>
  <conditionalFormatting sqref="I326">
    <cfRule type="cellIs" dxfId="370" priority="817" operator="equal">
      <formula>"SC1-7"</formula>
    </cfRule>
    <cfRule type="cellIs" dxfId="369" priority="818" operator="equal">
      <formula>"B2-45"</formula>
    </cfRule>
  </conditionalFormatting>
  <conditionalFormatting sqref="I324">
    <cfRule type="cellIs" dxfId="368" priority="800" operator="equal">
      <formula>"SC1-7"</formula>
    </cfRule>
    <cfRule type="cellIs" dxfId="367" priority="801" operator="equal">
      <formula>"B2-45"</formula>
    </cfRule>
  </conditionalFormatting>
  <conditionalFormatting sqref="I316">
    <cfRule type="cellIs" dxfId="366" priority="767" operator="equal">
      <formula>"SC1-7"</formula>
    </cfRule>
    <cfRule type="cellIs" dxfId="365" priority="768" operator="equal">
      <formula>"B2-45"</formula>
    </cfRule>
  </conditionalFormatting>
  <conditionalFormatting sqref="I317">
    <cfRule type="cellIs" dxfId="364" priority="765" operator="equal">
      <formula>"SC1-7"</formula>
    </cfRule>
    <cfRule type="cellIs" dxfId="363" priority="766" operator="equal">
      <formula>"B2-45"</formula>
    </cfRule>
  </conditionalFormatting>
  <conditionalFormatting sqref="I318">
    <cfRule type="cellIs" dxfId="362" priority="763" operator="equal">
      <formula>"SC1-7"</formula>
    </cfRule>
    <cfRule type="cellIs" dxfId="361" priority="764" operator="equal">
      <formula>"B2-45"</formula>
    </cfRule>
  </conditionalFormatting>
  <conditionalFormatting sqref="I319:I320">
    <cfRule type="cellIs" dxfId="360" priority="761" operator="equal">
      <formula>"SC1-7"</formula>
    </cfRule>
    <cfRule type="cellIs" dxfId="359" priority="762" operator="equal">
      <formula>"B2-45"</formula>
    </cfRule>
  </conditionalFormatting>
  <conditionalFormatting sqref="I321">
    <cfRule type="cellIs" dxfId="358" priority="759" operator="equal">
      <formula>"SC1-7"</formula>
    </cfRule>
    <cfRule type="cellIs" dxfId="357" priority="760" operator="equal">
      <formula>"B2-45"</formula>
    </cfRule>
  </conditionalFormatting>
  <conditionalFormatting sqref="I322">
    <cfRule type="cellIs" dxfId="356" priority="757" operator="equal">
      <formula>"SC1-7"</formula>
    </cfRule>
    <cfRule type="cellIs" dxfId="355" priority="758" operator="equal">
      <formula>"B2-45"</formula>
    </cfRule>
  </conditionalFormatting>
  <conditionalFormatting sqref="I320">
    <cfRule type="cellIs" dxfId="354" priority="755" operator="equal">
      <formula>"SC1-7"</formula>
    </cfRule>
    <cfRule type="cellIs" dxfId="353" priority="756" operator="equal">
      <formula>"B2-45"</formula>
    </cfRule>
  </conditionalFormatting>
  <conditionalFormatting sqref="I323">
    <cfRule type="cellIs" dxfId="352" priority="753" operator="equal">
      <formula>"SC1-7"</formula>
    </cfRule>
    <cfRule type="cellIs" dxfId="351" priority="754" operator="equal">
      <formula>"B2-45"</formula>
    </cfRule>
  </conditionalFormatting>
  <conditionalFormatting sqref="I300:I305">
    <cfRule type="cellIs" dxfId="350" priority="749" operator="equal">
      <formula>"SC1-7"</formula>
    </cfRule>
    <cfRule type="cellIs" dxfId="349" priority="750" operator="equal">
      <formula>"B2-45"</formula>
    </cfRule>
  </conditionalFormatting>
  <conditionalFormatting sqref="I300">
    <cfRule type="cellIs" dxfId="348" priority="747" operator="equal">
      <formula>"SC1-7"</formula>
    </cfRule>
    <cfRule type="cellIs" dxfId="347" priority="748" operator="equal">
      <formula>"B2-45"</formula>
    </cfRule>
  </conditionalFormatting>
  <conditionalFormatting sqref="I301">
    <cfRule type="cellIs" dxfId="346" priority="745" operator="equal">
      <formula>"SC1-7"</formula>
    </cfRule>
    <cfRule type="cellIs" dxfId="345" priority="746" operator="equal">
      <formula>"B2-45"</formula>
    </cfRule>
  </conditionalFormatting>
  <conditionalFormatting sqref="B300:B305">
    <cfRule type="containsText" dxfId="344" priority="744" operator="containsText" text=" GALV">
      <formula>NOT(ISERROR(SEARCH(" GALV",B300)))</formula>
    </cfRule>
  </conditionalFormatting>
  <conditionalFormatting sqref="I306">
    <cfRule type="cellIs" dxfId="343" priority="720" operator="equal">
      <formula>"SC1-7"</formula>
    </cfRule>
    <cfRule type="cellIs" dxfId="342" priority="721" operator="equal">
      <formula>"B2-45"</formula>
    </cfRule>
  </conditionalFormatting>
  <conditionalFormatting sqref="I307">
    <cfRule type="cellIs" dxfId="341" priority="716" operator="equal">
      <formula>"SC1-7"</formula>
    </cfRule>
    <cfRule type="cellIs" dxfId="340" priority="717" operator="equal">
      <formula>"B2-45"</formula>
    </cfRule>
  </conditionalFormatting>
  <conditionalFormatting sqref="I308">
    <cfRule type="cellIs" dxfId="339" priority="714" operator="equal">
      <formula>"SC1-7"</formula>
    </cfRule>
    <cfRule type="cellIs" dxfId="338" priority="715" operator="equal">
      <formula>"B2-45"</formula>
    </cfRule>
  </conditionalFormatting>
  <conditionalFormatting sqref="I309">
    <cfRule type="cellIs" dxfId="337" priority="712" operator="equal">
      <formula>"SC1-7"</formula>
    </cfRule>
    <cfRule type="cellIs" dxfId="336" priority="713" operator="equal">
      <formula>"B2-45"</formula>
    </cfRule>
  </conditionalFormatting>
  <conditionalFormatting sqref="I310">
    <cfRule type="cellIs" dxfId="335" priority="710" operator="equal">
      <formula>"SC1-7"</formula>
    </cfRule>
    <cfRule type="cellIs" dxfId="334" priority="711" operator="equal">
      <formula>"B2-45"</formula>
    </cfRule>
  </conditionalFormatting>
  <conditionalFormatting sqref="I311">
    <cfRule type="cellIs" dxfId="333" priority="708" operator="equal">
      <formula>"SC1-7"</formula>
    </cfRule>
    <cfRule type="cellIs" dxfId="332" priority="709" operator="equal">
      <formula>"B2-45"</formula>
    </cfRule>
  </conditionalFormatting>
  <conditionalFormatting sqref="I312">
    <cfRule type="cellIs" dxfId="331" priority="706" operator="equal">
      <formula>"SC1-7"</formula>
    </cfRule>
    <cfRule type="cellIs" dxfId="330" priority="707" operator="equal">
      <formula>"B2-45"</formula>
    </cfRule>
  </conditionalFormatting>
  <conditionalFormatting sqref="I313">
    <cfRule type="cellIs" dxfId="329" priority="704" operator="equal">
      <formula>"SC1-7"</formula>
    </cfRule>
    <cfRule type="cellIs" dxfId="328" priority="705" operator="equal">
      <formula>"B2-45"</formula>
    </cfRule>
  </conditionalFormatting>
  <conditionalFormatting sqref="I314:I315">
    <cfRule type="cellIs" dxfId="327" priority="702" operator="equal">
      <formula>"SC1-7"</formula>
    </cfRule>
    <cfRule type="cellIs" dxfId="326" priority="703" operator="equal">
      <formula>"B2-45"</formula>
    </cfRule>
  </conditionalFormatting>
  <conditionalFormatting sqref="I315">
    <cfRule type="cellIs" dxfId="325" priority="700" operator="equal">
      <formula>"SC1-7"</formula>
    </cfRule>
    <cfRule type="cellIs" dxfId="324" priority="701" operator="equal">
      <formula>"B2-45"</formula>
    </cfRule>
  </conditionalFormatting>
  <conditionalFormatting sqref="I286:I291">
    <cfRule type="cellIs" dxfId="323" priority="698" operator="equal">
      <formula>"SC1-7"</formula>
    </cfRule>
    <cfRule type="cellIs" dxfId="322" priority="699" operator="equal">
      <formula>"B2-45"</formula>
    </cfRule>
  </conditionalFormatting>
  <conditionalFormatting sqref="I286">
    <cfRule type="cellIs" dxfId="321" priority="696" operator="equal">
      <formula>"SC1-7"</formula>
    </cfRule>
    <cfRule type="cellIs" dxfId="320" priority="697" operator="equal">
      <formula>"B2-45"</formula>
    </cfRule>
  </conditionalFormatting>
  <conditionalFormatting sqref="I287">
    <cfRule type="cellIs" dxfId="319" priority="694" operator="equal">
      <formula>"SC1-7"</formula>
    </cfRule>
    <cfRule type="cellIs" dxfId="318" priority="695" operator="equal">
      <formula>"B2-45"</formula>
    </cfRule>
  </conditionalFormatting>
  <conditionalFormatting sqref="B286:B291">
    <cfRule type="containsText" dxfId="317" priority="693" operator="containsText" text=" GALV">
      <formula>NOT(ISERROR(SEARCH(" GALV",B286)))</formula>
    </cfRule>
  </conditionalFormatting>
  <conditionalFormatting sqref="I292">
    <cfRule type="cellIs" dxfId="316" priority="675" operator="equal">
      <formula>"SC1-7"</formula>
    </cfRule>
    <cfRule type="cellIs" dxfId="315" priority="676" operator="equal">
      <formula>"B2-45"</formula>
    </cfRule>
  </conditionalFormatting>
  <conditionalFormatting sqref="I293">
    <cfRule type="cellIs" dxfId="314" priority="673" operator="equal">
      <formula>"SC1-7"</formula>
    </cfRule>
    <cfRule type="cellIs" dxfId="313" priority="674" operator="equal">
      <formula>"B2-45"</formula>
    </cfRule>
  </conditionalFormatting>
  <conditionalFormatting sqref="I294">
    <cfRule type="cellIs" dxfId="312" priority="671" operator="equal">
      <formula>"SC1-7"</formula>
    </cfRule>
    <cfRule type="cellIs" dxfId="311" priority="672" operator="equal">
      <formula>"B2-45"</formula>
    </cfRule>
  </conditionalFormatting>
  <conditionalFormatting sqref="I295">
    <cfRule type="cellIs" dxfId="310" priority="669" operator="equal">
      <formula>"SC1-7"</formula>
    </cfRule>
    <cfRule type="cellIs" dxfId="309" priority="670" operator="equal">
      <formula>"B2-45"</formula>
    </cfRule>
  </conditionalFormatting>
  <conditionalFormatting sqref="I296">
    <cfRule type="cellIs" dxfId="308" priority="667" operator="equal">
      <formula>"SC1-7"</formula>
    </cfRule>
    <cfRule type="cellIs" dxfId="307" priority="668" operator="equal">
      <formula>"B2-45"</formula>
    </cfRule>
  </conditionalFormatting>
  <conditionalFormatting sqref="I297">
    <cfRule type="cellIs" dxfId="306" priority="665" operator="equal">
      <formula>"SC1-7"</formula>
    </cfRule>
    <cfRule type="cellIs" dxfId="305" priority="666" operator="equal">
      <formula>"B2-45"</formula>
    </cfRule>
  </conditionalFormatting>
  <conditionalFormatting sqref="I298">
    <cfRule type="cellIs" dxfId="304" priority="663" operator="equal">
      <formula>"SC1-7"</formula>
    </cfRule>
    <cfRule type="cellIs" dxfId="303" priority="664" operator="equal">
      <formula>"B2-45"</formula>
    </cfRule>
  </conditionalFormatting>
  <conditionalFormatting sqref="I299">
    <cfRule type="cellIs" dxfId="302" priority="661" operator="equal">
      <formula>"SC1-7"</formula>
    </cfRule>
    <cfRule type="cellIs" dxfId="301" priority="662" operator="equal">
      <formula>"B2-45"</formula>
    </cfRule>
  </conditionalFormatting>
  <conditionalFormatting sqref="I273:I278">
    <cfRule type="cellIs" dxfId="300" priority="659" operator="equal">
      <formula>"SC1-7"</formula>
    </cfRule>
    <cfRule type="cellIs" dxfId="299" priority="660" operator="equal">
      <formula>"B2-45"</formula>
    </cfRule>
  </conditionalFormatting>
  <conditionalFormatting sqref="I273">
    <cfRule type="cellIs" dxfId="298" priority="657" operator="equal">
      <formula>"SC1-7"</formula>
    </cfRule>
    <cfRule type="cellIs" dxfId="297" priority="658" operator="equal">
      <formula>"B2-45"</formula>
    </cfRule>
  </conditionalFormatting>
  <conditionalFormatting sqref="I274">
    <cfRule type="cellIs" dxfId="296" priority="655" operator="equal">
      <formula>"SC1-7"</formula>
    </cfRule>
    <cfRule type="cellIs" dxfId="295" priority="656" operator="equal">
      <formula>"B2-45"</formula>
    </cfRule>
  </conditionalFormatting>
  <conditionalFormatting sqref="B273:B278">
    <cfRule type="containsText" dxfId="294" priority="654" operator="containsText" text=" GALV">
      <formula>NOT(ISERROR(SEARCH(" GALV",B273)))</formula>
    </cfRule>
  </conditionalFormatting>
  <conditionalFormatting sqref="I279">
    <cfRule type="cellIs" dxfId="293" priority="638" operator="equal">
      <formula>"SC1-7"</formula>
    </cfRule>
    <cfRule type="cellIs" dxfId="292" priority="639" operator="equal">
      <formula>"B2-45"</formula>
    </cfRule>
  </conditionalFormatting>
  <conditionalFormatting sqref="I280">
    <cfRule type="cellIs" dxfId="291" priority="636" operator="equal">
      <formula>"SC1-7"</formula>
    </cfRule>
    <cfRule type="cellIs" dxfId="290" priority="637" operator="equal">
      <formula>"B2-45"</formula>
    </cfRule>
  </conditionalFormatting>
  <conditionalFormatting sqref="I281">
    <cfRule type="cellIs" dxfId="289" priority="634" operator="equal">
      <formula>"SC1-7"</formula>
    </cfRule>
    <cfRule type="cellIs" dxfId="288" priority="635" operator="equal">
      <formula>"B2-45"</formula>
    </cfRule>
  </conditionalFormatting>
  <conditionalFormatting sqref="I282">
    <cfRule type="cellIs" dxfId="287" priority="632" operator="equal">
      <formula>"SC1-7"</formula>
    </cfRule>
    <cfRule type="cellIs" dxfId="286" priority="633" operator="equal">
      <formula>"B2-45"</formula>
    </cfRule>
  </conditionalFormatting>
  <conditionalFormatting sqref="I283">
    <cfRule type="cellIs" dxfId="285" priority="630" operator="equal">
      <formula>"SC1-7"</formula>
    </cfRule>
    <cfRule type="cellIs" dxfId="284" priority="631" operator="equal">
      <formula>"B2-45"</formula>
    </cfRule>
  </conditionalFormatting>
  <conditionalFormatting sqref="I284">
    <cfRule type="cellIs" dxfId="283" priority="628" operator="equal">
      <formula>"SC1-7"</formula>
    </cfRule>
    <cfRule type="cellIs" dxfId="282" priority="629" operator="equal">
      <formula>"B2-45"</formula>
    </cfRule>
  </conditionalFormatting>
  <conditionalFormatting sqref="I285">
    <cfRule type="cellIs" dxfId="281" priority="626" operator="equal">
      <formula>"SC1-7"</formula>
    </cfRule>
    <cfRule type="cellIs" dxfId="280" priority="627" operator="equal">
      <formula>"B2-45"</formula>
    </cfRule>
  </conditionalFormatting>
  <conditionalFormatting sqref="I264:I269">
    <cfRule type="cellIs" dxfId="279" priority="624" operator="equal">
      <formula>"SC1-7"</formula>
    </cfRule>
    <cfRule type="cellIs" dxfId="278" priority="625" operator="equal">
      <formula>"B2-45"</formula>
    </cfRule>
  </conditionalFormatting>
  <conditionalFormatting sqref="I264">
    <cfRule type="cellIs" dxfId="277" priority="622" operator="equal">
      <formula>"SC1-7"</formula>
    </cfRule>
    <cfRule type="cellIs" dxfId="276" priority="623" operator="equal">
      <formula>"B2-45"</formula>
    </cfRule>
  </conditionalFormatting>
  <conditionalFormatting sqref="I265">
    <cfRule type="cellIs" dxfId="275" priority="620" operator="equal">
      <formula>"SC1-7"</formula>
    </cfRule>
    <cfRule type="cellIs" dxfId="274" priority="621" operator="equal">
      <formula>"B2-45"</formula>
    </cfRule>
  </conditionalFormatting>
  <conditionalFormatting sqref="B264:B269">
    <cfRule type="containsText" dxfId="273" priority="619" operator="containsText" text=" GALV">
      <formula>NOT(ISERROR(SEARCH(" GALV",B264)))</formula>
    </cfRule>
  </conditionalFormatting>
  <conditionalFormatting sqref="I270">
    <cfRule type="cellIs" dxfId="272" priority="611" operator="equal">
      <formula>"SC1-7"</formula>
    </cfRule>
    <cfRule type="cellIs" dxfId="271" priority="612" operator="equal">
      <formula>"B2-45"</formula>
    </cfRule>
  </conditionalFormatting>
  <conditionalFormatting sqref="I271">
    <cfRule type="cellIs" dxfId="270" priority="609" operator="equal">
      <formula>"SC1-7"</formula>
    </cfRule>
    <cfRule type="cellIs" dxfId="269" priority="610" operator="equal">
      <formula>"B2-45"</formula>
    </cfRule>
  </conditionalFormatting>
  <conditionalFormatting sqref="I272">
    <cfRule type="cellIs" dxfId="268" priority="607" operator="equal">
      <formula>"SC1-7"</formula>
    </cfRule>
    <cfRule type="cellIs" dxfId="267" priority="608" operator="equal">
      <formula>"B2-45"</formula>
    </cfRule>
  </conditionalFormatting>
  <conditionalFormatting sqref="I262">
    <cfRule type="cellIs" dxfId="266" priority="590" operator="equal">
      <formula>"SC1-7"</formula>
    </cfRule>
    <cfRule type="cellIs" dxfId="265" priority="591" operator="equal">
      <formula>"B2-45"</formula>
    </cfRule>
  </conditionalFormatting>
  <conditionalFormatting sqref="I263">
    <cfRule type="cellIs" dxfId="264" priority="588" operator="equal">
      <formula>"SC1-7"</formula>
    </cfRule>
    <cfRule type="cellIs" dxfId="263" priority="589" operator="equal">
      <formula>"B2-45"</formula>
    </cfRule>
  </conditionalFormatting>
  <conditionalFormatting sqref="I234:I239">
    <cfRule type="cellIs" dxfId="262" priority="586" operator="equal">
      <formula>"SC1-7"</formula>
    </cfRule>
    <cfRule type="cellIs" dxfId="261" priority="587" operator="equal">
      <formula>"B2-45"</formula>
    </cfRule>
  </conditionalFormatting>
  <conditionalFormatting sqref="I234">
    <cfRule type="cellIs" dxfId="260" priority="584" operator="equal">
      <formula>"SC1-7"</formula>
    </cfRule>
    <cfRule type="cellIs" dxfId="259" priority="585" operator="equal">
      <formula>"B2-45"</formula>
    </cfRule>
  </conditionalFormatting>
  <conditionalFormatting sqref="I235">
    <cfRule type="cellIs" dxfId="258" priority="582" operator="equal">
      <formula>"SC1-7"</formula>
    </cfRule>
    <cfRule type="cellIs" dxfId="257" priority="583" operator="equal">
      <formula>"B2-45"</formula>
    </cfRule>
  </conditionalFormatting>
  <conditionalFormatting sqref="B234:B239">
    <cfRule type="containsText" dxfId="256" priority="581" operator="containsText" text=" GALV">
      <formula>NOT(ISERROR(SEARCH(" GALV",B234)))</formula>
    </cfRule>
  </conditionalFormatting>
  <conditionalFormatting sqref="I258:I261">
    <cfRule type="cellIs" dxfId="255" priority="551" operator="equal">
      <formula>"SC1-7"</formula>
    </cfRule>
    <cfRule type="cellIs" dxfId="254" priority="552" operator="equal">
      <formula>"B2-45"</formula>
    </cfRule>
  </conditionalFormatting>
  <conditionalFormatting sqref="I240">
    <cfRule type="cellIs" dxfId="253" priority="549" operator="equal">
      <formula>"SC1-7"</formula>
    </cfRule>
    <cfRule type="cellIs" dxfId="252" priority="550" operator="equal">
      <formula>"B2-45"</formula>
    </cfRule>
  </conditionalFormatting>
  <conditionalFormatting sqref="I241">
    <cfRule type="cellIs" dxfId="251" priority="541" operator="equal">
      <formula>"SC1-7"</formula>
    </cfRule>
    <cfRule type="cellIs" dxfId="250" priority="542" operator="equal">
      <formula>"B2-45"</formula>
    </cfRule>
  </conditionalFormatting>
  <conditionalFormatting sqref="I252:I257">
    <cfRule type="cellIs" dxfId="249" priority="547" operator="equal">
      <formula>"SC1-7"</formula>
    </cfRule>
    <cfRule type="cellIs" dxfId="248" priority="548" operator="equal">
      <formula>"B2-45"</formula>
    </cfRule>
  </conditionalFormatting>
  <conditionalFormatting sqref="I242">
    <cfRule type="cellIs" dxfId="247" priority="539" operator="equal">
      <formula>"SC1-7"</formula>
    </cfRule>
    <cfRule type="cellIs" dxfId="246" priority="540" operator="equal">
      <formula>"B2-45"</formula>
    </cfRule>
  </conditionalFormatting>
  <conditionalFormatting sqref="I251">
    <cfRule type="cellIs" dxfId="245" priority="545" operator="equal">
      <formula>"SC1-7"</formula>
    </cfRule>
    <cfRule type="cellIs" dxfId="244" priority="546" operator="equal">
      <formula>"B2-45"</formula>
    </cfRule>
  </conditionalFormatting>
  <conditionalFormatting sqref="I250">
    <cfRule type="cellIs" dxfId="243" priority="543" operator="equal">
      <formula>"SC1-7"</formula>
    </cfRule>
    <cfRule type="cellIs" dxfId="242" priority="544" operator="equal">
      <formula>"B2-45"</formula>
    </cfRule>
  </conditionalFormatting>
  <conditionalFormatting sqref="I243">
    <cfRule type="cellIs" dxfId="241" priority="537" operator="equal">
      <formula>"SC1-7"</formula>
    </cfRule>
    <cfRule type="cellIs" dxfId="240" priority="538" operator="equal">
      <formula>"B2-45"</formula>
    </cfRule>
  </conditionalFormatting>
  <conditionalFormatting sqref="I244">
    <cfRule type="cellIs" dxfId="239" priority="535" operator="equal">
      <formula>"SC1-7"</formula>
    </cfRule>
    <cfRule type="cellIs" dxfId="238" priority="536" operator="equal">
      <formula>"B2-45"</formula>
    </cfRule>
  </conditionalFormatting>
  <conditionalFormatting sqref="I245">
    <cfRule type="cellIs" dxfId="237" priority="533" operator="equal">
      <formula>"SC1-7"</formula>
    </cfRule>
    <cfRule type="cellIs" dxfId="236" priority="534" operator="equal">
      <formula>"B2-45"</formula>
    </cfRule>
  </conditionalFormatting>
  <conditionalFormatting sqref="I246">
    <cfRule type="cellIs" dxfId="235" priority="531" operator="equal">
      <formula>"SC1-7"</formula>
    </cfRule>
    <cfRule type="cellIs" dxfId="234" priority="532" operator="equal">
      <formula>"B2-45"</formula>
    </cfRule>
  </conditionalFormatting>
  <conditionalFormatting sqref="I247">
    <cfRule type="cellIs" dxfId="233" priority="529" operator="equal">
      <formula>"SC1-7"</formula>
    </cfRule>
    <cfRule type="cellIs" dxfId="232" priority="530" operator="equal">
      <formula>"B2-45"</formula>
    </cfRule>
  </conditionalFormatting>
  <conditionalFormatting sqref="I248:I250">
    <cfRule type="cellIs" dxfId="231" priority="527" operator="equal">
      <formula>"SC1-7"</formula>
    </cfRule>
    <cfRule type="cellIs" dxfId="230" priority="528" operator="equal">
      <formula>"B2-45"</formula>
    </cfRule>
  </conditionalFormatting>
  <conditionalFormatting sqref="I249">
    <cfRule type="cellIs" dxfId="229" priority="525" operator="equal">
      <formula>"SC1-7"</formula>
    </cfRule>
    <cfRule type="cellIs" dxfId="228" priority="526" operator="equal">
      <formula>"B2-45"</formula>
    </cfRule>
  </conditionalFormatting>
  <conditionalFormatting sqref="I223:I228">
    <cfRule type="cellIs" dxfId="227" priority="523" operator="equal">
      <formula>"SC1-7"</formula>
    </cfRule>
    <cfRule type="cellIs" dxfId="226" priority="524" operator="equal">
      <formula>"B2-45"</formula>
    </cfRule>
  </conditionalFormatting>
  <conditionalFormatting sqref="I223">
    <cfRule type="cellIs" dxfId="225" priority="521" operator="equal">
      <formula>"SC1-7"</formula>
    </cfRule>
    <cfRule type="cellIs" dxfId="224" priority="522" operator="equal">
      <formula>"B2-45"</formula>
    </cfRule>
  </conditionalFormatting>
  <conditionalFormatting sqref="I224">
    <cfRule type="cellIs" dxfId="223" priority="519" operator="equal">
      <formula>"SC1-7"</formula>
    </cfRule>
    <cfRule type="cellIs" dxfId="222" priority="520" operator="equal">
      <formula>"B2-45"</formula>
    </cfRule>
  </conditionalFormatting>
  <conditionalFormatting sqref="B223:B228">
    <cfRule type="containsText" dxfId="221" priority="518" operator="containsText" text=" GALV">
      <formula>NOT(ISERROR(SEARCH(" GALV",B223)))</formula>
    </cfRule>
  </conditionalFormatting>
  <conditionalFormatting sqref="I229">
    <cfRule type="cellIs" dxfId="220" priority="506" operator="equal">
      <formula>"SC1-7"</formula>
    </cfRule>
    <cfRule type="cellIs" dxfId="219" priority="507" operator="equal">
      <formula>"B2-45"</formula>
    </cfRule>
  </conditionalFormatting>
  <conditionalFormatting sqref="I230">
    <cfRule type="cellIs" dxfId="218" priority="504" operator="equal">
      <formula>"SC1-7"</formula>
    </cfRule>
    <cfRule type="cellIs" dxfId="217" priority="505" operator="equal">
      <formula>"B2-45"</formula>
    </cfRule>
  </conditionalFormatting>
  <conditionalFormatting sqref="I231">
    <cfRule type="cellIs" dxfId="216" priority="502" operator="equal">
      <formula>"SC1-7"</formula>
    </cfRule>
    <cfRule type="cellIs" dxfId="215" priority="503" operator="equal">
      <formula>"B2-45"</formula>
    </cfRule>
  </conditionalFormatting>
  <conditionalFormatting sqref="I232">
    <cfRule type="cellIs" dxfId="214" priority="500" operator="equal">
      <formula>"SC1-7"</formula>
    </cfRule>
    <cfRule type="cellIs" dxfId="213" priority="501" operator="equal">
      <formula>"B2-45"</formula>
    </cfRule>
  </conditionalFormatting>
  <conditionalFormatting sqref="I233">
    <cfRule type="cellIs" dxfId="212" priority="498" operator="equal">
      <formula>"SC1-7"</formula>
    </cfRule>
    <cfRule type="cellIs" dxfId="211" priority="499" operator="equal">
      <formula>"B2-45"</formula>
    </cfRule>
  </conditionalFormatting>
  <conditionalFormatting sqref="I140:I145">
    <cfRule type="cellIs" dxfId="210" priority="496" operator="equal">
      <formula>"SC1-7"</formula>
    </cfRule>
    <cfRule type="cellIs" dxfId="209" priority="497" operator="equal">
      <formula>"B2-45"</formula>
    </cfRule>
  </conditionalFormatting>
  <conditionalFormatting sqref="I140">
    <cfRule type="cellIs" dxfId="208" priority="494" operator="equal">
      <formula>"SC1-7"</formula>
    </cfRule>
    <cfRule type="cellIs" dxfId="207" priority="495" operator="equal">
      <formula>"B2-45"</formula>
    </cfRule>
  </conditionalFormatting>
  <conditionalFormatting sqref="I141">
    <cfRule type="cellIs" dxfId="206" priority="492" operator="equal">
      <formula>"SC1-7"</formula>
    </cfRule>
    <cfRule type="cellIs" dxfId="205" priority="493" operator="equal">
      <formula>"B2-45"</formula>
    </cfRule>
  </conditionalFormatting>
  <conditionalFormatting sqref="B140:B145">
    <cfRule type="containsText" dxfId="204" priority="491" operator="containsText" text=" GALV">
      <formula>NOT(ISERROR(SEARCH(" GALV",B140)))</formula>
    </cfRule>
  </conditionalFormatting>
  <conditionalFormatting sqref="I164:I184">
    <cfRule type="cellIs" dxfId="203" priority="457" operator="equal">
      <formula>"SC1-7"</formula>
    </cfRule>
    <cfRule type="cellIs" dxfId="202" priority="458" operator="equal">
      <formula>"B2-45"</formula>
    </cfRule>
  </conditionalFormatting>
  <conditionalFormatting sqref="I185:I219">
    <cfRule type="cellIs" dxfId="201" priority="455" operator="equal">
      <formula>"SC1-7"</formula>
    </cfRule>
    <cfRule type="cellIs" dxfId="200" priority="456" operator="equal">
      <formula>"B2-45"</formula>
    </cfRule>
  </conditionalFormatting>
  <conditionalFormatting sqref="I146">
    <cfRule type="cellIs" dxfId="199" priority="453" operator="equal">
      <formula>"SC1-7"</formula>
    </cfRule>
    <cfRule type="cellIs" dxfId="198" priority="454" operator="equal">
      <formula>"B2-45"</formula>
    </cfRule>
  </conditionalFormatting>
  <conditionalFormatting sqref="I147">
    <cfRule type="cellIs" dxfId="197" priority="445" operator="equal">
      <formula>"SC1-7"</formula>
    </cfRule>
    <cfRule type="cellIs" dxfId="196" priority="446" operator="equal">
      <formula>"B2-45"</formula>
    </cfRule>
  </conditionalFormatting>
  <conditionalFormatting sqref="I158:I163">
    <cfRule type="cellIs" dxfId="195" priority="451" operator="equal">
      <formula>"SC1-7"</formula>
    </cfRule>
    <cfRule type="cellIs" dxfId="194" priority="452" operator="equal">
      <formula>"B2-45"</formula>
    </cfRule>
  </conditionalFormatting>
  <conditionalFormatting sqref="I148">
    <cfRule type="cellIs" dxfId="193" priority="443" operator="equal">
      <formula>"SC1-7"</formula>
    </cfRule>
    <cfRule type="cellIs" dxfId="192" priority="444" operator="equal">
      <formula>"B2-45"</formula>
    </cfRule>
  </conditionalFormatting>
  <conditionalFormatting sqref="I157">
    <cfRule type="cellIs" dxfId="191" priority="449" operator="equal">
      <formula>"SC1-7"</formula>
    </cfRule>
    <cfRule type="cellIs" dxfId="190" priority="450" operator="equal">
      <formula>"B2-45"</formula>
    </cfRule>
  </conditionalFormatting>
  <conditionalFormatting sqref="I156">
    <cfRule type="cellIs" dxfId="189" priority="447" operator="equal">
      <formula>"SC1-7"</formula>
    </cfRule>
    <cfRule type="cellIs" dxfId="188" priority="448" operator="equal">
      <formula>"B2-45"</formula>
    </cfRule>
  </conditionalFormatting>
  <conditionalFormatting sqref="I149">
    <cfRule type="cellIs" dxfId="187" priority="441" operator="equal">
      <formula>"SC1-7"</formula>
    </cfRule>
    <cfRule type="cellIs" dxfId="186" priority="442" operator="equal">
      <formula>"B2-45"</formula>
    </cfRule>
  </conditionalFormatting>
  <conditionalFormatting sqref="I150">
    <cfRule type="cellIs" dxfId="185" priority="439" operator="equal">
      <formula>"SC1-7"</formula>
    </cfRule>
    <cfRule type="cellIs" dxfId="184" priority="440" operator="equal">
      <formula>"B2-45"</formula>
    </cfRule>
  </conditionalFormatting>
  <conditionalFormatting sqref="I151">
    <cfRule type="cellIs" dxfId="183" priority="437" operator="equal">
      <formula>"SC1-7"</formula>
    </cfRule>
    <cfRule type="cellIs" dxfId="182" priority="438" operator="equal">
      <formula>"B2-45"</formula>
    </cfRule>
  </conditionalFormatting>
  <conditionalFormatting sqref="I152">
    <cfRule type="cellIs" dxfId="181" priority="435" operator="equal">
      <formula>"SC1-7"</formula>
    </cfRule>
    <cfRule type="cellIs" dxfId="180" priority="436" operator="equal">
      <formula>"B2-45"</formula>
    </cfRule>
  </conditionalFormatting>
  <conditionalFormatting sqref="I153">
    <cfRule type="cellIs" dxfId="179" priority="433" operator="equal">
      <formula>"SC1-7"</formula>
    </cfRule>
    <cfRule type="cellIs" dxfId="178" priority="434" operator="equal">
      <formula>"B2-45"</formula>
    </cfRule>
  </conditionalFormatting>
  <conditionalFormatting sqref="I154:I156">
    <cfRule type="cellIs" dxfId="177" priority="431" operator="equal">
      <formula>"SC1-7"</formula>
    </cfRule>
    <cfRule type="cellIs" dxfId="176" priority="432" operator="equal">
      <formula>"B2-45"</formula>
    </cfRule>
  </conditionalFormatting>
  <conditionalFormatting sqref="I155">
    <cfRule type="cellIs" dxfId="175" priority="429" operator="equal">
      <formula>"SC1-7"</formula>
    </cfRule>
    <cfRule type="cellIs" dxfId="174" priority="430" operator="equal">
      <formula>"B2-45"</formula>
    </cfRule>
  </conditionalFormatting>
  <conditionalFormatting sqref="I220:I222">
    <cfRule type="cellIs" dxfId="173" priority="427" operator="equal">
      <formula>"SC1-7"</formula>
    </cfRule>
    <cfRule type="cellIs" dxfId="172" priority="428" operator="equal">
      <formula>"B2-45"</formula>
    </cfRule>
  </conditionalFormatting>
  <conditionalFormatting sqref="I137">
    <cfRule type="cellIs" dxfId="171" priority="408" operator="equal">
      <formula>"SC1-7"</formula>
    </cfRule>
    <cfRule type="cellIs" dxfId="170" priority="409" operator="equal">
      <formula>"B2-45"</formula>
    </cfRule>
  </conditionalFormatting>
  <conditionalFormatting sqref="I138">
    <cfRule type="cellIs" dxfId="169" priority="406" operator="equal">
      <formula>"SC1-7"</formula>
    </cfRule>
    <cfRule type="cellIs" dxfId="168" priority="407" operator="equal">
      <formula>"B2-45"</formula>
    </cfRule>
  </conditionalFormatting>
  <conditionalFormatting sqref="I139">
    <cfRule type="cellIs" dxfId="167" priority="404" operator="equal">
      <formula>"SC1-7"</formula>
    </cfRule>
    <cfRule type="cellIs" dxfId="166" priority="405" operator="equal">
      <formula>"B2-45"</formula>
    </cfRule>
  </conditionalFormatting>
  <conditionalFormatting sqref="I136">
    <cfRule type="cellIs" dxfId="165" priority="387" operator="equal">
      <formula>"SC1-7"</formula>
    </cfRule>
    <cfRule type="cellIs" dxfId="164" priority="388" operator="equal">
      <formula>"B2-45"</formula>
    </cfRule>
  </conditionalFormatting>
  <conditionalFormatting sqref="I135">
    <cfRule type="cellIs" dxfId="163" priority="368" operator="equal">
      <formula>"SC1-7"</formula>
    </cfRule>
    <cfRule type="cellIs" dxfId="162" priority="369" operator="equal">
      <formula>"B2-45"</formula>
    </cfRule>
  </conditionalFormatting>
  <conditionalFormatting sqref="I134">
    <cfRule type="cellIs" dxfId="161" priority="349" operator="equal">
      <formula>"SC1-7"</formula>
    </cfRule>
    <cfRule type="cellIs" dxfId="160" priority="350" operator="equal">
      <formula>"B2-45"</formula>
    </cfRule>
  </conditionalFormatting>
  <conditionalFormatting sqref="I133">
    <cfRule type="cellIs" dxfId="159" priority="330" operator="equal">
      <formula>"SC1-7"</formula>
    </cfRule>
    <cfRule type="cellIs" dxfId="158" priority="331" operator="equal">
      <formula>"B2-45"</formula>
    </cfRule>
  </conditionalFormatting>
  <conditionalFormatting sqref="I79:I84">
    <cfRule type="cellIs" dxfId="157" priority="259" operator="equal">
      <formula>"SC1-7"</formula>
    </cfRule>
    <cfRule type="cellIs" dxfId="156" priority="260" operator="equal">
      <formula>"B2-45"</formula>
    </cfRule>
  </conditionalFormatting>
  <conditionalFormatting sqref="I79">
    <cfRule type="cellIs" dxfId="155" priority="257" operator="equal">
      <formula>"SC1-7"</formula>
    </cfRule>
    <cfRule type="cellIs" dxfId="154" priority="258" operator="equal">
      <formula>"B2-45"</formula>
    </cfRule>
  </conditionalFormatting>
  <conditionalFormatting sqref="I80">
    <cfRule type="cellIs" dxfId="153" priority="255" operator="equal">
      <formula>"SC1-7"</formula>
    </cfRule>
    <cfRule type="cellIs" dxfId="152" priority="256" operator="equal">
      <formula>"B2-45"</formula>
    </cfRule>
  </conditionalFormatting>
  <conditionalFormatting sqref="B79:B84">
    <cfRule type="containsText" dxfId="151" priority="254" operator="containsText" text=" GALV">
      <formula>NOT(ISERROR(SEARCH(" GALV",B79)))</formula>
    </cfRule>
  </conditionalFormatting>
  <conditionalFormatting sqref="I103:I123">
    <cfRule type="cellIs" dxfId="150" priority="222" operator="equal">
      <formula>"SC1-7"</formula>
    </cfRule>
    <cfRule type="cellIs" dxfId="149" priority="223" operator="equal">
      <formula>"B2-45"</formula>
    </cfRule>
  </conditionalFormatting>
  <conditionalFormatting sqref="I124:I132">
    <cfRule type="cellIs" dxfId="148" priority="220" operator="equal">
      <formula>"SC1-7"</formula>
    </cfRule>
    <cfRule type="cellIs" dxfId="147" priority="221" operator="equal">
      <formula>"B2-45"</formula>
    </cfRule>
  </conditionalFormatting>
  <conditionalFormatting sqref="I85">
    <cfRule type="cellIs" dxfId="146" priority="218" operator="equal">
      <formula>"SC1-7"</formula>
    </cfRule>
    <cfRule type="cellIs" dxfId="145" priority="219" operator="equal">
      <formula>"B2-45"</formula>
    </cfRule>
  </conditionalFormatting>
  <conditionalFormatting sqref="I86">
    <cfRule type="cellIs" dxfId="144" priority="210" operator="equal">
      <formula>"SC1-7"</formula>
    </cfRule>
    <cfRule type="cellIs" dxfId="143" priority="211" operator="equal">
      <formula>"B2-45"</formula>
    </cfRule>
  </conditionalFormatting>
  <conditionalFormatting sqref="I97:I102">
    <cfRule type="cellIs" dxfId="142" priority="216" operator="equal">
      <formula>"SC1-7"</formula>
    </cfRule>
    <cfRule type="cellIs" dxfId="141" priority="217" operator="equal">
      <formula>"B2-45"</formula>
    </cfRule>
  </conditionalFormatting>
  <conditionalFormatting sqref="I87">
    <cfRule type="cellIs" dxfId="140" priority="208" operator="equal">
      <formula>"SC1-7"</formula>
    </cfRule>
    <cfRule type="cellIs" dxfId="139" priority="209" operator="equal">
      <formula>"B2-45"</formula>
    </cfRule>
  </conditionalFormatting>
  <conditionalFormatting sqref="I96">
    <cfRule type="cellIs" dxfId="138" priority="214" operator="equal">
      <formula>"SC1-7"</formula>
    </cfRule>
    <cfRule type="cellIs" dxfId="137" priority="215" operator="equal">
      <formula>"B2-45"</formula>
    </cfRule>
  </conditionalFormatting>
  <conditionalFormatting sqref="I95">
    <cfRule type="cellIs" dxfId="136" priority="212" operator="equal">
      <formula>"SC1-7"</formula>
    </cfRule>
    <cfRule type="cellIs" dxfId="135" priority="213" operator="equal">
      <formula>"B2-45"</formula>
    </cfRule>
  </conditionalFormatting>
  <conditionalFormatting sqref="I88">
    <cfRule type="cellIs" dxfId="134" priority="206" operator="equal">
      <formula>"SC1-7"</formula>
    </cfRule>
    <cfRule type="cellIs" dxfId="133" priority="207" operator="equal">
      <formula>"B2-45"</formula>
    </cfRule>
  </conditionalFormatting>
  <conditionalFormatting sqref="I89">
    <cfRule type="cellIs" dxfId="132" priority="204" operator="equal">
      <formula>"SC1-7"</formula>
    </cfRule>
    <cfRule type="cellIs" dxfId="131" priority="205" operator="equal">
      <formula>"B2-45"</formula>
    </cfRule>
  </conditionalFormatting>
  <conditionalFormatting sqref="I90">
    <cfRule type="cellIs" dxfId="130" priority="202" operator="equal">
      <formula>"SC1-7"</formula>
    </cfRule>
    <cfRule type="cellIs" dxfId="129" priority="203" operator="equal">
      <formula>"B2-45"</formula>
    </cfRule>
  </conditionalFormatting>
  <conditionalFormatting sqref="I91">
    <cfRule type="cellIs" dxfId="128" priority="200" operator="equal">
      <formula>"SC1-7"</formula>
    </cfRule>
    <cfRule type="cellIs" dxfId="127" priority="201" operator="equal">
      <formula>"B2-45"</formula>
    </cfRule>
  </conditionalFormatting>
  <conditionalFormatting sqref="I92">
    <cfRule type="cellIs" dxfId="126" priority="198" operator="equal">
      <formula>"SC1-7"</formula>
    </cfRule>
    <cfRule type="cellIs" dxfId="125" priority="199" operator="equal">
      <formula>"B2-45"</formula>
    </cfRule>
  </conditionalFormatting>
  <conditionalFormatting sqref="I93:I95">
    <cfRule type="cellIs" dxfId="124" priority="196" operator="equal">
      <formula>"SC1-7"</formula>
    </cfRule>
    <cfRule type="cellIs" dxfId="123" priority="197" operator="equal">
      <formula>"B2-45"</formula>
    </cfRule>
  </conditionalFormatting>
  <conditionalFormatting sqref="I94">
    <cfRule type="cellIs" dxfId="122" priority="194" operator="equal">
      <formula>"SC1-7"</formula>
    </cfRule>
    <cfRule type="cellIs" dxfId="121" priority="195" operator="equal">
      <formula>"B2-45"</formula>
    </cfRule>
  </conditionalFormatting>
  <conditionalFormatting sqref="I67:I72">
    <cfRule type="cellIs" dxfId="120" priority="192" operator="equal">
      <formula>"SC1-7"</formula>
    </cfRule>
    <cfRule type="cellIs" dxfId="119" priority="193" operator="equal">
      <formula>"B2-45"</formula>
    </cfRule>
  </conditionalFormatting>
  <conditionalFormatting sqref="I67">
    <cfRule type="cellIs" dxfId="118" priority="190" operator="equal">
      <formula>"SC1-7"</formula>
    </cfRule>
    <cfRule type="cellIs" dxfId="117" priority="191" operator="equal">
      <formula>"B2-45"</formula>
    </cfRule>
  </conditionalFormatting>
  <conditionalFormatting sqref="I68">
    <cfRule type="cellIs" dxfId="116" priority="188" operator="equal">
      <formula>"SC1-7"</formula>
    </cfRule>
    <cfRule type="cellIs" dxfId="115" priority="189" operator="equal">
      <formula>"B2-45"</formula>
    </cfRule>
  </conditionalFormatting>
  <conditionalFormatting sqref="B67:B72">
    <cfRule type="containsText" dxfId="114" priority="187" operator="containsText" text=" GALV">
      <formula>NOT(ISERROR(SEARCH(" GALV",B67)))</formula>
    </cfRule>
  </conditionalFormatting>
  <conditionalFormatting sqref="I73">
    <cfRule type="cellIs" dxfId="113" priority="173" operator="equal">
      <formula>"SC1-7"</formula>
    </cfRule>
    <cfRule type="cellIs" dxfId="112" priority="174" operator="equal">
      <formula>"B2-45"</formula>
    </cfRule>
  </conditionalFormatting>
  <conditionalFormatting sqref="I74">
    <cfRule type="cellIs" dxfId="111" priority="171" operator="equal">
      <formula>"SC1-7"</formula>
    </cfRule>
    <cfRule type="cellIs" dxfId="110" priority="172" operator="equal">
      <formula>"B2-45"</formula>
    </cfRule>
  </conditionalFormatting>
  <conditionalFormatting sqref="I75">
    <cfRule type="cellIs" dxfId="109" priority="169" operator="equal">
      <formula>"SC1-7"</formula>
    </cfRule>
    <cfRule type="cellIs" dxfId="108" priority="170" operator="equal">
      <formula>"B2-45"</formula>
    </cfRule>
  </conditionalFormatting>
  <conditionalFormatting sqref="I76">
    <cfRule type="cellIs" dxfId="107" priority="167" operator="equal">
      <formula>"SC1-7"</formula>
    </cfRule>
    <cfRule type="cellIs" dxfId="106" priority="168" operator="equal">
      <formula>"B2-45"</formula>
    </cfRule>
  </conditionalFormatting>
  <conditionalFormatting sqref="I77">
    <cfRule type="cellIs" dxfId="105" priority="165" operator="equal">
      <formula>"SC1-7"</formula>
    </cfRule>
    <cfRule type="cellIs" dxfId="104" priority="166" operator="equal">
      <formula>"B2-45"</formula>
    </cfRule>
  </conditionalFormatting>
  <conditionalFormatting sqref="I78">
    <cfRule type="cellIs" dxfId="103" priority="163" operator="equal">
      <formula>"SC1-7"</formula>
    </cfRule>
    <cfRule type="cellIs" dxfId="102" priority="164" operator="equal">
      <formula>"B2-45"</formula>
    </cfRule>
  </conditionalFormatting>
  <conditionalFormatting sqref="I58:I63">
    <cfRule type="cellIs" dxfId="101" priority="161" operator="equal">
      <formula>"SC1-7"</formula>
    </cfRule>
    <cfRule type="cellIs" dxfId="100" priority="162" operator="equal">
      <formula>"B2-45"</formula>
    </cfRule>
  </conditionalFormatting>
  <conditionalFormatting sqref="I58">
    <cfRule type="cellIs" dxfId="99" priority="159" operator="equal">
      <formula>"SC1-7"</formula>
    </cfRule>
    <cfRule type="cellIs" dxfId="98" priority="160" operator="equal">
      <formula>"B2-45"</formula>
    </cfRule>
  </conditionalFormatting>
  <conditionalFormatting sqref="I59">
    <cfRule type="cellIs" dxfId="97" priority="157" operator="equal">
      <formula>"SC1-7"</formula>
    </cfRule>
    <cfRule type="cellIs" dxfId="96" priority="158" operator="equal">
      <formula>"B2-45"</formula>
    </cfRule>
  </conditionalFormatting>
  <conditionalFormatting sqref="B58:B63">
    <cfRule type="containsText" dxfId="95" priority="156" operator="containsText" text=" GALV">
      <formula>NOT(ISERROR(SEARCH(" GALV",B58)))</formula>
    </cfRule>
  </conditionalFormatting>
  <conditionalFormatting sqref="I64">
    <cfRule type="cellIs" dxfId="94" priority="148" operator="equal">
      <formula>"SC1-7"</formula>
    </cfRule>
    <cfRule type="cellIs" dxfId="93" priority="149" operator="equal">
      <formula>"B2-45"</formula>
    </cfRule>
  </conditionalFormatting>
  <conditionalFormatting sqref="I65">
    <cfRule type="cellIs" dxfId="92" priority="146" operator="equal">
      <formula>"SC1-7"</formula>
    </cfRule>
    <cfRule type="cellIs" dxfId="91" priority="147" operator="equal">
      <formula>"B2-45"</formula>
    </cfRule>
  </conditionalFormatting>
  <conditionalFormatting sqref="I66">
    <cfRule type="cellIs" dxfId="90" priority="144" operator="equal">
      <formula>"SC1-7"</formula>
    </cfRule>
    <cfRule type="cellIs" dxfId="89" priority="145" operator="equal">
      <formula>"B2-45"</formula>
    </cfRule>
  </conditionalFormatting>
  <conditionalFormatting sqref="I44:I49">
    <cfRule type="cellIs" dxfId="88" priority="142" operator="equal">
      <formula>"SC1-7"</formula>
    </cfRule>
    <cfRule type="cellIs" dxfId="87" priority="143" operator="equal">
      <formula>"B2-45"</formula>
    </cfRule>
  </conditionalFormatting>
  <conditionalFormatting sqref="I44">
    <cfRule type="cellIs" dxfId="86" priority="140" operator="equal">
      <formula>"SC1-7"</formula>
    </cfRule>
    <cfRule type="cellIs" dxfId="85" priority="141" operator="equal">
      <formula>"B2-45"</formula>
    </cfRule>
  </conditionalFormatting>
  <conditionalFormatting sqref="I45">
    <cfRule type="cellIs" dxfId="84" priority="138" operator="equal">
      <formula>"SC1-7"</formula>
    </cfRule>
    <cfRule type="cellIs" dxfId="83" priority="139" operator="equal">
      <formula>"B2-45"</formula>
    </cfRule>
  </conditionalFormatting>
  <conditionalFormatting sqref="B44:B49">
    <cfRule type="containsText" dxfId="82" priority="137" operator="containsText" text=" GALV">
      <formula>NOT(ISERROR(SEARCH(" GALV",B44)))</formula>
    </cfRule>
  </conditionalFormatting>
  <conditionalFormatting sqref="I50">
    <cfRule type="cellIs" dxfId="81" priority="119" operator="equal">
      <formula>"SC1-7"</formula>
    </cfRule>
    <cfRule type="cellIs" dxfId="80" priority="120" operator="equal">
      <formula>"B2-45"</formula>
    </cfRule>
  </conditionalFormatting>
  <conditionalFormatting sqref="I51">
    <cfRule type="cellIs" dxfId="79" priority="117" operator="equal">
      <formula>"SC1-7"</formula>
    </cfRule>
    <cfRule type="cellIs" dxfId="78" priority="118" operator="equal">
      <formula>"B2-45"</formula>
    </cfRule>
  </conditionalFormatting>
  <conditionalFormatting sqref="I52">
    <cfRule type="cellIs" dxfId="77" priority="115" operator="equal">
      <formula>"SC1-7"</formula>
    </cfRule>
    <cfRule type="cellIs" dxfId="76" priority="116" operator="equal">
      <formula>"B2-45"</formula>
    </cfRule>
  </conditionalFormatting>
  <conditionalFormatting sqref="I53">
    <cfRule type="cellIs" dxfId="75" priority="113" operator="equal">
      <formula>"SC1-7"</formula>
    </cfRule>
    <cfRule type="cellIs" dxfId="74" priority="114" operator="equal">
      <formula>"B2-45"</formula>
    </cfRule>
  </conditionalFormatting>
  <conditionalFormatting sqref="I54">
    <cfRule type="cellIs" dxfId="73" priority="111" operator="equal">
      <formula>"SC1-7"</formula>
    </cfRule>
    <cfRule type="cellIs" dxfId="72" priority="112" operator="equal">
      <formula>"B2-45"</formula>
    </cfRule>
  </conditionalFormatting>
  <conditionalFormatting sqref="I55">
    <cfRule type="cellIs" dxfId="71" priority="109" operator="equal">
      <formula>"SC1-7"</formula>
    </cfRule>
    <cfRule type="cellIs" dxfId="70" priority="110" operator="equal">
      <formula>"B2-45"</formula>
    </cfRule>
  </conditionalFormatting>
  <conditionalFormatting sqref="I56">
    <cfRule type="cellIs" dxfId="69" priority="107" operator="equal">
      <formula>"SC1-7"</formula>
    </cfRule>
    <cfRule type="cellIs" dxfId="68" priority="108" operator="equal">
      <formula>"B2-45"</formula>
    </cfRule>
  </conditionalFormatting>
  <conditionalFormatting sqref="I57">
    <cfRule type="cellIs" dxfId="67" priority="105" operator="equal">
      <formula>"SC1-7"</formula>
    </cfRule>
    <cfRule type="cellIs" dxfId="66" priority="106" operator="equal">
      <formula>"B2-45"</formula>
    </cfRule>
  </conditionalFormatting>
  <conditionalFormatting sqref="I34:I39">
    <cfRule type="cellIs" dxfId="65" priority="103" operator="equal">
      <formula>"SC1-7"</formula>
    </cfRule>
    <cfRule type="cellIs" dxfId="64" priority="104" operator="equal">
      <formula>"B2-45"</formula>
    </cfRule>
  </conditionalFormatting>
  <conditionalFormatting sqref="I34">
    <cfRule type="cellIs" dxfId="63" priority="101" operator="equal">
      <formula>"SC1-7"</formula>
    </cfRule>
    <cfRule type="cellIs" dxfId="62" priority="102" operator="equal">
      <formula>"B2-45"</formula>
    </cfRule>
  </conditionalFormatting>
  <conditionalFormatting sqref="I35">
    <cfRule type="cellIs" dxfId="61" priority="99" operator="equal">
      <formula>"SC1-7"</formula>
    </cfRule>
    <cfRule type="cellIs" dxfId="60" priority="100" operator="equal">
      <formula>"B2-45"</formula>
    </cfRule>
  </conditionalFormatting>
  <conditionalFormatting sqref="B34:B39">
    <cfRule type="containsText" dxfId="59" priority="98" operator="containsText" text=" GALV">
      <formula>NOT(ISERROR(SEARCH(" GALV",B34)))</formula>
    </cfRule>
  </conditionalFormatting>
  <conditionalFormatting sqref="I40">
    <cfRule type="cellIs" dxfId="58" priority="88" operator="equal">
      <formula>"SC1-7"</formula>
    </cfRule>
    <cfRule type="cellIs" dxfId="57" priority="89" operator="equal">
      <formula>"B2-45"</formula>
    </cfRule>
  </conditionalFormatting>
  <conditionalFormatting sqref="I41">
    <cfRule type="cellIs" dxfId="56" priority="86" operator="equal">
      <formula>"SC1-7"</formula>
    </cfRule>
    <cfRule type="cellIs" dxfId="55" priority="87" operator="equal">
      <formula>"B2-45"</formula>
    </cfRule>
  </conditionalFormatting>
  <conditionalFormatting sqref="I42">
    <cfRule type="cellIs" dxfId="54" priority="84" operator="equal">
      <formula>"SC1-7"</formula>
    </cfRule>
    <cfRule type="cellIs" dxfId="53" priority="85" operator="equal">
      <formula>"B2-45"</formula>
    </cfRule>
  </conditionalFormatting>
  <conditionalFormatting sqref="I43">
    <cfRule type="cellIs" dxfId="52" priority="82" operator="equal">
      <formula>"SC1-7"</formula>
    </cfRule>
    <cfRule type="cellIs" dxfId="51" priority="83" operator="equal">
      <formula>"B2-45"</formula>
    </cfRule>
  </conditionalFormatting>
  <conditionalFormatting sqref="I22:I27">
    <cfRule type="cellIs" dxfId="50" priority="80" operator="equal">
      <formula>"SC1-7"</formula>
    </cfRule>
    <cfRule type="cellIs" dxfId="49" priority="81" operator="equal">
      <formula>"B2-45"</formula>
    </cfRule>
  </conditionalFormatting>
  <conditionalFormatting sqref="I22">
    <cfRule type="cellIs" dxfId="48" priority="78" operator="equal">
      <formula>"SC1-7"</formula>
    </cfRule>
    <cfRule type="cellIs" dxfId="47" priority="79" operator="equal">
      <formula>"B2-45"</formula>
    </cfRule>
  </conditionalFormatting>
  <conditionalFormatting sqref="I23">
    <cfRule type="cellIs" dxfId="46" priority="76" operator="equal">
      <formula>"SC1-7"</formula>
    </cfRule>
    <cfRule type="cellIs" dxfId="45" priority="77" operator="equal">
      <formula>"B2-45"</formula>
    </cfRule>
  </conditionalFormatting>
  <conditionalFormatting sqref="B22:B27">
    <cfRule type="containsText" dxfId="44" priority="75" operator="containsText" text=" GALV">
      <formula>NOT(ISERROR(SEARCH(" GALV",B22)))</formula>
    </cfRule>
  </conditionalFormatting>
  <conditionalFormatting sqref="I28">
    <cfRule type="cellIs" dxfId="43" priority="61" operator="equal">
      <formula>"SC1-7"</formula>
    </cfRule>
    <cfRule type="cellIs" dxfId="42" priority="62" operator="equal">
      <formula>"B2-45"</formula>
    </cfRule>
  </conditionalFormatting>
  <conditionalFormatting sqref="I29">
    <cfRule type="cellIs" dxfId="41" priority="59" operator="equal">
      <formula>"SC1-7"</formula>
    </cfRule>
    <cfRule type="cellIs" dxfId="40" priority="60" operator="equal">
      <formula>"B2-45"</formula>
    </cfRule>
  </conditionalFormatting>
  <conditionalFormatting sqref="I30">
    <cfRule type="cellIs" dxfId="39" priority="57" operator="equal">
      <formula>"SC1-7"</formula>
    </cfRule>
    <cfRule type="cellIs" dxfId="38" priority="58" operator="equal">
      <formula>"B2-45"</formula>
    </cfRule>
  </conditionalFormatting>
  <conditionalFormatting sqref="I31">
    <cfRule type="cellIs" dxfId="37" priority="55" operator="equal">
      <formula>"SC1-7"</formula>
    </cfRule>
    <cfRule type="cellIs" dxfId="36" priority="56" operator="equal">
      <formula>"B2-45"</formula>
    </cfRule>
  </conditionalFormatting>
  <conditionalFormatting sqref="I32">
    <cfRule type="cellIs" dxfId="35" priority="53" operator="equal">
      <formula>"SC1-7"</formula>
    </cfRule>
    <cfRule type="cellIs" dxfId="34" priority="54" operator="equal">
      <formula>"B2-45"</formula>
    </cfRule>
  </conditionalFormatting>
  <conditionalFormatting sqref="I33">
    <cfRule type="cellIs" dxfId="33" priority="51" operator="equal">
      <formula>"SC1-7"</formula>
    </cfRule>
    <cfRule type="cellIs" dxfId="32" priority="52" operator="equal">
      <formula>"B2-45"</formula>
    </cfRule>
  </conditionalFormatting>
  <conditionalFormatting sqref="I10:I15">
    <cfRule type="cellIs" dxfId="31" priority="49" operator="equal">
      <formula>"SC1-7"</formula>
    </cfRule>
    <cfRule type="cellIs" dxfId="30" priority="50" operator="equal">
      <formula>"B2-45"</formula>
    </cfRule>
  </conditionalFormatting>
  <conditionalFormatting sqref="I10">
    <cfRule type="cellIs" dxfId="29" priority="47" operator="equal">
      <formula>"SC1-7"</formula>
    </cfRule>
    <cfRule type="cellIs" dxfId="28" priority="48" operator="equal">
      <formula>"B2-45"</formula>
    </cfRule>
  </conditionalFormatting>
  <conditionalFormatting sqref="I11">
    <cfRule type="cellIs" dxfId="27" priority="45" operator="equal">
      <formula>"SC1-7"</formula>
    </cfRule>
    <cfRule type="cellIs" dxfId="26" priority="46" operator="equal">
      <formula>"B2-45"</formula>
    </cfRule>
  </conditionalFormatting>
  <conditionalFormatting sqref="B10:B15">
    <cfRule type="containsText" dxfId="25" priority="44" operator="containsText" text=" GALV">
      <formula>NOT(ISERROR(SEARCH(" GALV",B10)))</formula>
    </cfRule>
  </conditionalFormatting>
  <conditionalFormatting sqref="I16">
    <cfRule type="cellIs" dxfId="24" priority="30" operator="equal">
      <formula>"SC1-7"</formula>
    </cfRule>
    <cfRule type="cellIs" dxfId="23" priority="31" operator="equal">
      <formula>"B2-45"</formula>
    </cfRule>
  </conditionalFormatting>
  <conditionalFormatting sqref="I17">
    <cfRule type="cellIs" dxfId="22" priority="28" operator="equal">
      <formula>"SC1-7"</formula>
    </cfRule>
    <cfRule type="cellIs" dxfId="21" priority="29" operator="equal">
      <formula>"B2-45"</formula>
    </cfRule>
  </conditionalFormatting>
  <conditionalFormatting sqref="I18">
    <cfRule type="cellIs" dxfId="20" priority="26" operator="equal">
      <formula>"SC1-7"</formula>
    </cfRule>
    <cfRule type="cellIs" dxfId="19" priority="27" operator="equal">
      <formula>"B2-45"</formula>
    </cfRule>
  </conditionalFormatting>
  <conditionalFormatting sqref="I19">
    <cfRule type="cellIs" dxfId="18" priority="24" operator="equal">
      <formula>"SC1-7"</formula>
    </cfRule>
    <cfRule type="cellIs" dxfId="17" priority="25" operator="equal">
      <formula>"B2-45"</formula>
    </cfRule>
  </conditionalFormatting>
  <conditionalFormatting sqref="I20">
    <cfRule type="cellIs" dxfId="16" priority="22" operator="equal">
      <formula>"SC1-7"</formula>
    </cfRule>
    <cfRule type="cellIs" dxfId="15" priority="23" operator="equal">
      <formula>"B2-45"</formula>
    </cfRule>
  </conditionalFormatting>
  <conditionalFormatting sqref="I21">
    <cfRule type="cellIs" dxfId="14" priority="20" operator="equal">
      <formula>"SC1-7"</formula>
    </cfRule>
    <cfRule type="cellIs" dxfId="13" priority="21" operator="equal">
      <formula>"B2-45"</formula>
    </cfRule>
  </conditionalFormatting>
  <conditionalFormatting sqref="I1:I6">
    <cfRule type="cellIs" dxfId="12" priority="18" operator="equal">
      <formula>"SC1-7"</formula>
    </cfRule>
    <cfRule type="cellIs" dxfId="11" priority="19" operator="equal">
      <formula>"B2-45"</formula>
    </cfRule>
  </conditionalFormatting>
  <conditionalFormatting sqref="I1">
    <cfRule type="cellIs" dxfId="10" priority="16" operator="equal">
      <formula>"SC1-7"</formula>
    </cfRule>
    <cfRule type="cellIs" dxfId="9" priority="17" operator="equal">
      <formula>"B2-45"</formula>
    </cfRule>
  </conditionalFormatting>
  <conditionalFormatting sqref="I2">
    <cfRule type="cellIs" dxfId="8" priority="14" operator="equal">
      <formula>"SC1-7"</formula>
    </cfRule>
    <cfRule type="cellIs" dxfId="7" priority="15" operator="equal">
      <formula>"B2-45"</formula>
    </cfRule>
  </conditionalFormatting>
  <conditionalFormatting sqref="B1:B6">
    <cfRule type="containsText" dxfId="6" priority="13" operator="containsText" text=" GALV">
      <formula>NOT(ISERROR(SEARCH(" GALV",B1)))</formula>
    </cfRule>
  </conditionalFormatting>
  <conditionalFormatting sqref="I7">
    <cfRule type="cellIs" dxfId="5" priority="5" operator="equal">
      <formula>"SC1-7"</formula>
    </cfRule>
    <cfRule type="cellIs" dxfId="4" priority="6" operator="equal">
      <formula>"B2-45"</formula>
    </cfRule>
  </conditionalFormatting>
  <conditionalFormatting sqref="I8">
    <cfRule type="cellIs" dxfId="3" priority="3" operator="equal">
      <formula>"SC1-7"</formula>
    </cfRule>
    <cfRule type="cellIs" dxfId="2" priority="4" operator="equal">
      <formula>"B2-45"</formula>
    </cfRule>
  </conditionalFormatting>
  <conditionalFormatting sqref="I9">
    <cfRule type="cellIs" dxfId="1" priority="1" operator="equal">
      <formula>"SC1-7"</formula>
    </cfRule>
    <cfRule type="cellIs" dxfId="0" priority="2" operator="equal">
      <formula>"B2-45"</formula>
    </cfRule>
  </conditionalFormatting>
  <pageMargins left="0" right="0" top="0" bottom="0" header="0.31496062992125984" footer="0.31496062992125984"/>
  <pageSetup paperSize="9" scale="76" fitToHeight="0" orientation="portrait" r:id="rId1"/>
  <rowBreaks count="11" manualBreakCount="11">
    <brk id="326" max="12" man="1"/>
    <brk id="440" max="12" man="1"/>
    <brk id="509" max="12" man="1"/>
    <brk id="579" max="12" man="1"/>
    <brk id="624" max="12" man="1"/>
    <brk id="683" max="12" man="1"/>
    <brk id="718" max="12" man="1"/>
    <brk id="2333" max="12" man="1"/>
    <brk id="2358" max="12" man="1"/>
    <brk id="2420" max="12" man="1"/>
    <brk id="2438" max="12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DFC0-9CD6-4815-9A4A-731ECBAE81B6}">
  <sheetPr codeName="Sheet4"/>
  <dimension ref="A1:H635"/>
  <sheetViews>
    <sheetView workbookViewId="0">
      <selection activeCell="E32" sqref="A2:E32"/>
    </sheetView>
  </sheetViews>
  <sheetFormatPr defaultRowHeight="15"/>
  <cols>
    <col min="1" max="1" width="34.7109375" bestFit="1" customWidth="1"/>
    <col min="2" max="2" width="7" bestFit="1" customWidth="1"/>
    <col min="3" max="3" width="10.42578125" bestFit="1" customWidth="1"/>
    <col min="4" max="4" width="5.28515625" bestFit="1" customWidth="1"/>
    <col min="5" max="5" width="11.7109375" bestFit="1" customWidth="1"/>
    <col min="6" max="6" width="4.5703125" bestFit="1" customWidth="1"/>
    <col min="7" max="7" width="7" bestFit="1" customWidth="1"/>
    <col min="8" max="8" width="10.7109375" bestFit="1" customWidth="1"/>
  </cols>
  <sheetData>
    <row r="1" spans="1:8">
      <c r="A1" s="69" t="s">
        <v>15</v>
      </c>
      <c r="B1" s="70" t="s">
        <v>10</v>
      </c>
      <c r="C1" s="70" t="s">
        <v>1321</v>
      </c>
      <c r="D1" s="69" t="s">
        <v>1</v>
      </c>
      <c r="E1" s="70" t="s">
        <v>1322</v>
      </c>
      <c r="F1" s="70" t="s">
        <v>1323</v>
      </c>
      <c r="G1" s="69" t="s">
        <v>1324</v>
      </c>
      <c r="H1" s="69" t="s">
        <v>1325</v>
      </c>
    </row>
    <row r="2" spans="1:8">
      <c r="A2" t="s">
        <v>1190</v>
      </c>
      <c r="C2">
        <v>198</v>
      </c>
      <c r="E2" t="s">
        <v>1208</v>
      </c>
      <c r="F2">
        <v>10</v>
      </c>
      <c r="G2">
        <v>200</v>
      </c>
      <c r="H2" t="s">
        <v>1320</v>
      </c>
    </row>
    <row r="3" spans="1:8">
      <c r="A3" t="s">
        <v>1209</v>
      </c>
      <c r="C3">
        <v>401</v>
      </c>
      <c r="E3" t="s">
        <v>1208</v>
      </c>
      <c r="F3">
        <v>10</v>
      </c>
      <c r="G3">
        <v>403</v>
      </c>
      <c r="H3" t="s">
        <v>1320</v>
      </c>
    </row>
    <row r="4" spans="1:8">
      <c r="A4" t="s">
        <v>1207</v>
      </c>
      <c r="C4">
        <v>986</v>
      </c>
      <c r="E4" t="s">
        <v>1208</v>
      </c>
      <c r="F4">
        <v>10</v>
      </c>
      <c r="G4">
        <v>988</v>
      </c>
      <c r="H4" t="s">
        <v>1320</v>
      </c>
    </row>
    <row r="5" spans="1:8">
      <c r="A5" t="s">
        <v>1210</v>
      </c>
      <c r="C5">
        <v>536</v>
      </c>
      <c r="E5" t="s">
        <v>1208</v>
      </c>
      <c r="F5">
        <v>10</v>
      </c>
      <c r="G5">
        <v>538</v>
      </c>
      <c r="H5" t="s">
        <v>1320</v>
      </c>
    </row>
    <row r="6" spans="1:8">
      <c r="A6" t="s">
        <v>1189</v>
      </c>
      <c r="C6">
        <v>736</v>
      </c>
      <c r="E6" t="s">
        <v>1208</v>
      </c>
      <c r="F6">
        <v>10</v>
      </c>
      <c r="G6">
        <v>738</v>
      </c>
      <c r="H6" t="s">
        <v>1320</v>
      </c>
    </row>
    <row r="7" spans="1:8">
      <c r="A7" t="s">
        <v>1192</v>
      </c>
      <c r="C7">
        <v>198</v>
      </c>
      <c r="E7" t="s">
        <v>1208</v>
      </c>
      <c r="F7">
        <v>10</v>
      </c>
      <c r="G7">
        <v>200</v>
      </c>
      <c r="H7" t="s">
        <v>1320</v>
      </c>
    </row>
    <row r="8" spans="1:8">
      <c r="A8" t="s">
        <v>1193</v>
      </c>
      <c r="C8">
        <v>198</v>
      </c>
      <c r="E8" t="s">
        <v>1208</v>
      </c>
      <c r="F8">
        <v>10</v>
      </c>
      <c r="G8">
        <v>200</v>
      </c>
      <c r="H8" t="s">
        <v>1320</v>
      </c>
    </row>
    <row r="9" spans="1:8">
      <c r="A9" t="s">
        <v>1194</v>
      </c>
      <c r="C9">
        <v>198</v>
      </c>
      <c r="E9" t="s">
        <v>1208</v>
      </c>
      <c r="F9">
        <v>10</v>
      </c>
      <c r="G9">
        <v>200</v>
      </c>
      <c r="H9" t="s">
        <v>1320</v>
      </c>
    </row>
    <row r="10" spans="1:8">
      <c r="A10" t="s">
        <v>1195</v>
      </c>
      <c r="C10">
        <v>198</v>
      </c>
      <c r="E10" t="s">
        <v>1208</v>
      </c>
      <c r="F10">
        <v>10</v>
      </c>
      <c r="G10">
        <v>200</v>
      </c>
      <c r="H10" t="s">
        <v>1320</v>
      </c>
    </row>
    <row r="11" spans="1:8">
      <c r="A11" t="s">
        <v>1196</v>
      </c>
      <c r="C11">
        <v>198</v>
      </c>
      <c r="E11" t="s">
        <v>1208</v>
      </c>
      <c r="F11">
        <v>10</v>
      </c>
      <c r="G11">
        <v>200</v>
      </c>
      <c r="H11" t="s">
        <v>1320</v>
      </c>
    </row>
    <row r="12" spans="1:8">
      <c r="A12" t="s">
        <v>1197</v>
      </c>
      <c r="C12">
        <v>198</v>
      </c>
      <c r="E12" t="s">
        <v>1208</v>
      </c>
      <c r="F12">
        <v>10</v>
      </c>
      <c r="G12">
        <v>200</v>
      </c>
      <c r="H12" t="s">
        <v>1320</v>
      </c>
    </row>
    <row r="13" spans="1:8">
      <c r="A13" t="s">
        <v>1198</v>
      </c>
      <c r="C13">
        <v>198</v>
      </c>
      <c r="E13" t="s">
        <v>1208</v>
      </c>
      <c r="F13">
        <v>10</v>
      </c>
      <c r="G13">
        <v>200</v>
      </c>
      <c r="H13" t="s">
        <v>1320</v>
      </c>
    </row>
    <row r="14" spans="1:8">
      <c r="A14" t="s">
        <v>1199</v>
      </c>
      <c r="C14">
        <v>198</v>
      </c>
      <c r="E14" t="s">
        <v>1208</v>
      </c>
      <c r="F14">
        <v>10</v>
      </c>
      <c r="G14">
        <v>200</v>
      </c>
      <c r="H14" t="s">
        <v>1320</v>
      </c>
    </row>
    <row r="15" spans="1:8">
      <c r="A15" t="s">
        <v>1200</v>
      </c>
      <c r="C15">
        <v>198</v>
      </c>
      <c r="E15" t="s">
        <v>1208</v>
      </c>
      <c r="F15">
        <v>10</v>
      </c>
      <c r="G15">
        <v>200</v>
      </c>
      <c r="H15" t="s">
        <v>1320</v>
      </c>
    </row>
    <row r="16" spans="1:8">
      <c r="A16" t="s">
        <v>1201</v>
      </c>
      <c r="C16">
        <v>198</v>
      </c>
      <c r="E16" t="s">
        <v>1208</v>
      </c>
      <c r="F16">
        <v>10</v>
      </c>
      <c r="G16">
        <v>200</v>
      </c>
      <c r="H16" t="s">
        <v>1320</v>
      </c>
    </row>
    <row r="17" spans="1:8">
      <c r="A17" t="s">
        <v>1202</v>
      </c>
      <c r="C17">
        <v>198</v>
      </c>
      <c r="E17" t="s">
        <v>1208</v>
      </c>
      <c r="F17">
        <v>10</v>
      </c>
      <c r="G17">
        <v>200</v>
      </c>
      <c r="H17" t="s">
        <v>1320</v>
      </c>
    </row>
    <row r="18" spans="1:8">
      <c r="A18" t="s">
        <v>1203</v>
      </c>
      <c r="C18">
        <v>198</v>
      </c>
      <c r="E18" t="s">
        <v>1208</v>
      </c>
      <c r="F18">
        <v>10</v>
      </c>
      <c r="G18">
        <v>200</v>
      </c>
      <c r="H18" t="s">
        <v>1320</v>
      </c>
    </row>
    <row r="19" spans="1:8">
      <c r="A19" t="s">
        <v>1204</v>
      </c>
      <c r="C19">
        <v>198</v>
      </c>
      <c r="E19" t="s">
        <v>1208</v>
      </c>
      <c r="F19">
        <v>10</v>
      </c>
      <c r="G19">
        <v>200</v>
      </c>
      <c r="H19" t="s">
        <v>1320</v>
      </c>
    </row>
    <row r="20" spans="1:8">
      <c r="A20" t="s">
        <v>1205</v>
      </c>
      <c r="C20">
        <v>198</v>
      </c>
      <c r="E20" t="s">
        <v>1208</v>
      </c>
      <c r="F20">
        <v>10</v>
      </c>
      <c r="G20">
        <v>200</v>
      </c>
      <c r="H20" t="s">
        <v>1320</v>
      </c>
    </row>
    <row r="21" spans="1:8">
      <c r="A21" t="s">
        <v>1206</v>
      </c>
      <c r="C21">
        <v>198</v>
      </c>
      <c r="E21" t="s">
        <v>1208</v>
      </c>
      <c r="F21">
        <v>10</v>
      </c>
      <c r="G21">
        <v>200</v>
      </c>
      <c r="H21" t="s">
        <v>1320</v>
      </c>
    </row>
    <row r="22" spans="1:8">
      <c r="A22" t="s">
        <v>1211</v>
      </c>
      <c r="C22">
        <v>11500</v>
      </c>
      <c r="E22" t="s">
        <v>1208</v>
      </c>
      <c r="F22">
        <v>10</v>
      </c>
      <c r="G22">
        <v>11500</v>
      </c>
      <c r="H22" t="s">
        <v>1320</v>
      </c>
    </row>
    <row r="23" spans="1:8">
      <c r="A23" t="s">
        <v>1212</v>
      </c>
      <c r="C23">
        <v>7796</v>
      </c>
      <c r="E23" t="s">
        <v>1208</v>
      </c>
      <c r="F23">
        <v>10</v>
      </c>
      <c r="G23">
        <v>7798</v>
      </c>
      <c r="H23" t="s">
        <v>1320</v>
      </c>
    </row>
    <row r="24" spans="1:8">
      <c r="A24" t="s">
        <v>1191</v>
      </c>
      <c r="C24">
        <v>198</v>
      </c>
      <c r="E24" t="s">
        <v>1208</v>
      </c>
      <c r="F24">
        <v>10</v>
      </c>
      <c r="G24">
        <v>200</v>
      </c>
      <c r="H24" t="s">
        <v>1320</v>
      </c>
    </row>
    <row r="25" spans="1:8">
      <c r="A25" t="s">
        <v>1213</v>
      </c>
      <c r="C25">
        <v>3559</v>
      </c>
      <c r="E25" t="s">
        <v>1208</v>
      </c>
      <c r="F25">
        <v>10</v>
      </c>
      <c r="G25">
        <v>3561</v>
      </c>
      <c r="H25" t="s">
        <v>1320</v>
      </c>
    </row>
    <row r="26" spans="1:8">
      <c r="A26" t="s">
        <v>1214</v>
      </c>
      <c r="C26">
        <v>4306</v>
      </c>
      <c r="E26" t="s">
        <v>1208</v>
      </c>
      <c r="F26">
        <v>10</v>
      </c>
      <c r="G26">
        <v>4308</v>
      </c>
      <c r="H26" t="s">
        <v>1320</v>
      </c>
    </row>
    <row r="27" spans="1:8">
      <c r="A27" t="s">
        <v>1094</v>
      </c>
      <c r="C27">
        <v>11500</v>
      </c>
      <c r="E27" t="s">
        <v>1208</v>
      </c>
      <c r="F27">
        <v>10</v>
      </c>
      <c r="G27">
        <v>11500</v>
      </c>
      <c r="H27" t="s">
        <v>1320</v>
      </c>
    </row>
    <row r="28" spans="1:8">
      <c r="A28" t="s">
        <v>1095</v>
      </c>
      <c r="C28">
        <v>8936</v>
      </c>
      <c r="E28" t="s">
        <v>1208</v>
      </c>
      <c r="F28">
        <v>10</v>
      </c>
      <c r="G28">
        <v>8938</v>
      </c>
      <c r="H28" t="s">
        <v>1320</v>
      </c>
    </row>
    <row r="29" spans="1:8">
      <c r="A29" t="s">
        <v>1096</v>
      </c>
      <c r="C29">
        <v>3446</v>
      </c>
      <c r="E29" t="s">
        <v>1208</v>
      </c>
      <c r="F29">
        <v>10</v>
      </c>
      <c r="G29">
        <v>3448</v>
      </c>
      <c r="H29" t="s">
        <v>1320</v>
      </c>
    </row>
    <row r="30" spans="1:8">
      <c r="A30" t="s">
        <v>1097</v>
      </c>
      <c r="C30">
        <v>2136</v>
      </c>
      <c r="E30" t="s">
        <v>1208</v>
      </c>
      <c r="F30">
        <v>10</v>
      </c>
      <c r="G30">
        <v>2138</v>
      </c>
      <c r="H30" t="s">
        <v>1320</v>
      </c>
    </row>
    <row r="31" spans="1:8">
      <c r="A31" t="s">
        <v>1215</v>
      </c>
      <c r="C31">
        <v>11500</v>
      </c>
      <c r="E31" t="s">
        <v>1216</v>
      </c>
      <c r="F31">
        <v>12</v>
      </c>
      <c r="G31">
        <v>11500</v>
      </c>
      <c r="H31" t="s">
        <v>1320</v>
      </c>
    </row>
    <row r="32" spans="1:8">
      <c r="A32" t="s">
        <v>1217</v>
      </c>
      <c r="C32">
        <v>11500</v>
      </c>
      <c r="E32" t="s">
        <v>1216</v>
      </c>
      <c r="F32">
        <v>12</v>
      </c>
      <c r="G32">
        <v>11500</v>
      </c>
      <c r="H32" t="s">
        <v>1320</v>
      </c>
    </row>
    <row r="33" spans="1:8">
      <c r="A33" t="s">
        <v>1219</v>
      </c>
      <c r="C33">
        <v>391</v>
      </c>
      <c r="E33" t="s">
        <v>1220</v>
      </c>
      <c r="F33">
        <v>14</v>
      </c>
      <c r="G33">
        <v>393</v>
      </c>
      <c r="H33" t="s">
        <v>1320</v>
      </c>
    </row>
    <row r="34" spans="1:8">
      <c r="A34" t="s">
        <v>1221</v>
      </c>
      <c r="C34">
        <v>391</v>
      </c>
      <c r="E34" t="s">
        <v>1220</v>
      </c>
      <c r="F34">
        <v>14</v>
      </c>
      <c r="G34">
        <v>393</v>
      </c>
      <c r="H34" t="s">
        <v>1320</v>
      </c>
    </row>
    <row r="35" spans="1:8">
      <c r="A35" t="s">
        <v>1222</v>
      </c>
      <c r="C35">
        <v>1585</v>
      </c>
      <c r="E35" t="s">
        <v>1220</v>
      </c>
      <c r="F35">
        <v>14</v>
      </c>
      <c r="G35">
        <v>1587</v>
      </c>
      <c r="H35" t="s">
        <v>1320</v>
      </c>
    </row>
    <row r="36" spans="1:8">
      <c r="A36" t="s">
        <v>1223</v>
      </c>
      <c r="C36">
        <v>2089</v>
      </c>
      <c r="E36" t="s">
        <v>1220</v>
      </c>
      <c r="F36">
        <v>14</v>
      </c>
      <c r="G36">
        <v>2091</v>
      </c>
      <c r="H36" t="s">
        <v>1320</v>
      </c>
    </row>
    <row r="37" spans="1:8">
      <c r="A37" t="s">
        <v>1225</v>
      </c>
      <c r="C37">
        <v>693</v>
      </c>
      <c r="E37" t="s">
        <v>1226</v>
      </c>
      <c r="F37">
        <v>4</v>
      </c>
      <c r="G37">
        <v>695</v>
      </c>
      <c r="H37" t="s">
        <v>1320</v>
      </c>
    </row>
    <row r="38" spans="1:8">
      <c r="A38" t="s">
        <v>1227</v>
      </c>
      <c r="C38">
        <v>11500</v>
      </c>
      <c r="E38" t="s">
        <v>1226</v>
      </c>
      <c r="F38">
        <v>4</v>
      </c>
      <c r="G38">
        <v>11500</v>
      </c>
      <c r="H38" t="s">
        <v>1320</v>
      </c>
    </row>
    <row r="39" spans="1:8">
      <c r="A39" t="s">
        <v>1228</v>
      </c>
      <c r="C39">
        <v>1043</v>
      </c>
      <c r="E39" t="s">
        <v>1226</v>
      </c>
      <c r="F39">
        <v>4</v>
      </c>
      <c r="G39">
        <v>1045</v>
      </c>
      <c r="H39" t="s">
        <v>1320</v>
      </c>
    </row>
    <row r="40" spans="1:8">
      <c r="A40" t="s">
        <v>1229</v>
      </c>
      <c r="C40">
        <v>1693</v>
      </c>
      <c r="E40" t="s">
        <v>1226</v>
      </c>
      <c r="F40">
        <v>4</v>
      </c>
      <c r="G40">
        <v>1695</v>
      </c>
      <c r="H40" t="s">
        <v>1320</v>
      </c>
    </row>
    <row r="41" spans="1:8">
      <c r="A41" t="s">
        <v>1230</v>
      </c>
      <c r="C41">
        <v>625</v>
      </c>
      <c r="E41" t="s">
        <v>1226</v>
      </c>
      <c r="F41">
        <v>4</v>
      </c>
      <c r="G41">
        <v>627</v>
      </c>
      <c r="H41" t="s">
        <v>1320</v>
      </c>
    </row>
    <row r="42" spans="1:8">
      <c r="A42" t="s">
        <v>1231</v>
      </c>
      <c r="C42">
        <v>484</v>
      </c>
      <c r="E42" t="s">
        <v>1226</v>
      </c>
      <c r="F42">
        <v>4</v>
      </c>
      <c r="G42">
        <v>486</v>
      </c>
      <c r="H42" t="s">
        <v>1320</v>
      </c>
    </row>
    <row r="43" spans="1:8">
      <c r="A43" t="s">
        <v>1232</v>
      </c>
      <c r="C43">
        <v>1778</v>
      </c>
      <c r="E43" t="s">
        <v>1226</v>
      </c>
      <c r="F43">
        <v>4</v>
      </c>
      <c r="G43">
        <v>1780</v>
      </c>
      <c r="H43" t="s">
        <v>1320</v>
      </c>
    </row>
    <row r="44" spans="1:8">
      <c r="A44" t="s">
        <v>1233</v>
      </c>
      <c r="C44">
        <v>7821</v>
      </c>
      <c r="E44" t="s">
        <v>1226</v>
      </c>
      <c r="F44">
        <v>4</v>
      </c>
      <c r="G44">
        <v>7823</v>
      </c>
      <c r="H44" t="s">
        <v>1320</v>
      </c>
    </row>
    <row r="45" spans="1:8">
      <c r="A45" t="s">
        <v>1234</v>
      </c>
      <c r="C45">
        <v>11500</v>
      </c>
      <c r="E45" t="s">
        <v>1226</v>
      </c>
      <c r="F45">
        <v>4</v>
      </c>
      <c r="G45">
        <v>11500</v>
      </c>
      <c r="H45" t="s">
        <v>1320</v>
      </c>
    </row>
    <row r="46" spans="1:8">
      <c r="A46" t="s">
        <v>1235</v>
      </c>
      <c r="C46">
        <v>1843</v>
      </c>
      <c r="E46" t="s">
        <v>1226</v>
      </c>
      <c r="F46">
        <v>4</v>
      </c>
      <c r="G46">
        <v>1845</v>
      </c>
      <c r="H46" t="s">
        <v>1320</v>
      </c>
    </row>
    <row r="47" spans="1:8">
      <c r="A47" t="s">
        <v>1236</v>
      </c>
      <c r="C47">
        <v>1441</v>
      </c>
      <c r="E47" t="s">
        <v>1226</v>
      </c>
      <c r="F47">
        <v>4</v>
      </c>
      <c r="G47">
        <v>1443</v>
      </c>
      <c r="H47" t="s">
        <v>1320</v>
      </c>
    </row>
    <row r="48" spans="1:8">
      <c r="A48" t="s">
        <v>1237</v>
      </c>
      <c r="C48">
        <v>4846</v>
      </c>
      <c r="E48" t="s">
        <v>1226</v>
      </c>
      <c r="F48">
        <v>4</v>
      </c>
      <c r="G48">
        <v>4848</v>
      </c>
      <c r="H48" t="s">
        <v>1320</v>
      </c>
    </row>
    <row r="49" spans="1:8">
      <c r="A49" t="s">
        <v>1238</v>
      </c>
      <c r="C49">
        <v>178</v>
      </c>
      <c r="E49" t="s">
        <v>1226</v>
      </c>
      <c r="F49">
        <v>4</v>
      </c>
      <c r="G49">
        <v>180</v>
      </c>
      <c r="H49" t="s">
        <v>1320</v>
      </c>
    </row>
    <row r="50" spans="1:8">
      <c r="A50" t="s">
        <v>1239</v>
      </c>
      <c r="C50">
        <v>2363</v>
      </c>
      <c r="E50" t="s">
        <v>1226</v>
      </c>
      <c r="F50">
        <v>4</v>
      </c>
      <c r="G50">
        <v>2365</v>
      </c>
      <c r="H50" t="s">
        <v>1320</v>
      </c>
    </row>
    <row r="51" spans="1:8">
      <c r="A51" t="s">
        <v>1240</v>
      </c>
      <c r="C51">
        <v>343</v>
      </c>
      <c r="E51" t="s">
        <v>1226</v>
      </c>
      <c r="F51">
        <v>4</v>
      </c>
      <c r="G51">
        <v>345</v>
      </c>
      <c r="H51" t="s">
        <v>1320</v>
      </c>
    </row>
    <row r="52" spans="1:8">
      <c r="A52" t="s">
        <v>1241</v>
      </c>
      <c r="C52">
        <v>11500</v>
      </c>
      <c r="E52" t="s">
        <v>1226</v>
      </c>
      <c r="F52">
        <v>4</v>
      </c>
      <c r="G52">
        <v>11500</v>
      </c>
      <c r="H52" t="s">
        <v>1320</v>
      </c>
    </row>
    <row r="53" spans="1:8">
      <c r="A53" t="s">
        <v>1242</v>
      </c>
      <c r="C53">
        <v>7043</v>
      </c>
      <c r="E53" t="s">
        <v>1226</v>
      </c>
      <c r="F53">
        <v>4</v>
      </c>
      <c r="G53">
        <v>7045</v>
      </c>
      <c r="H53" t="s">
        <v>1320</v>
      </c>
    </row>
    <row r="54" spans="1:8">
      <c r="A54" t="s">
        <v>1243</v>
      </c>
      <c r="C54">
        <v>741</v>
      </c>
      <c r="E54" t="s">
        <v>1226</v>
      </c>
      <c r="F54">
        <v>4</v>
      </c>
      <c r="G54">
        <v>743</v>
      </c>
      <c r="H54" t="s">
        <v>1320</v>
      </c>
    </row>
    <row r="55" spans="1:8">
      <c r="A55" t="s">
        <v>1244</v>
      </c>
      <c r="C55">
        <v>4784</v>
      </c>
      <c r="E55" t="s">
        <v>1226</v>
      </c>
      <c r="F55">
        <v>4</v>
      </c>
      <c r="G55">
        <v>4786</v>
      </c>
      <c r="H55" t="s">
        <v>1320</v>
      </c>
    </row>
    <row r="56" spans="1:8">
      <c r="A56" t="s">
        <v>1245</v>
      </c>
      <c r="C56">
        <v>1693</v>
      </c>
      <c r="E56" t="s">
        <v>1226</v>
      </c>
      <c r="F56">
        <v>4</v>
      </c>
      <c r="G56">
        <v>1695</v>
      </c>
      <c r="H56" t="s">
        <v>1320</v>
      </c>
    </row>
    <row r="57" spans="1:8">
      <c r="A57" t="s">
        <v>1246</v>
      </c>
      <c r="C57">
        <v>10803</v>
      </c>
      <c r="E57" t="s">
        <v>1226</v>
      </c>
      <c r="F57">
        <v>4</v>
      </c>
      <c r="G57">
        <v>10805</v>
      </c>
      <c r="H57" t="s">
        <v>1320</v>
      </c>
    </row>
    <row r="58" spans="1:8">
      <c r="A58" t="s">
        <v>1247</v>
      </c>
      <c r="C58">
        <v>693</v>
      </c>
      <c r="E58" t="s">
        <v>1226</v>
      </c>
      <c r="F58">
        <v>4</v>
      </c>
      <c r="G58">
        <v>695</v>
      </c>
      <c r="H58" t="s">
        <v>1320</v>
      </c>
    </row>
    <row r="59" spans="1:8">
      <c r="A59" t="s">
        <v>1104</v>
      </c>
      <c r="C59">
        <v>693</v>
      </c>
      <c r="E59" t="s">
        <v>1226</v>
      </c>
      <c r="F59">
        <v>4</v>
      </c>
      <c r="G59">
        <v>695</v>
      </c>
      <c r="H59" t="s">
        <v>1320</v>
      </c>
    </row>
    <row r="60" spans="1:8">
      <c r="A60" t="s">
        <v>1105</v>
      </c>
      <c r="C60">
        <v>11500</v>
      </c>
      <c r="E60" t="s">
        <v>1226</v>
      </c>
      <c r="F60">
        <v>4</v>
      </c>
      <c r="G60">
        <v>11500</v>
      </c>
      <c r="H60" t="s">
        <v>1320</v>
      </c>
    </row>
    <row r="61" spans="1:8">
      <c r="A61" t="s">
        <v>1106</v>
      </c>
      <c r="C61">
        <v>11500</v>
      </c>
      <c r="E61" t="s">
        <v>1226</v>
      </c>
      <c r="F61">
        <v>4</v>
      </c>
      <c r="G61">
        <v>11500</v>
      </c>
      <c r="H61" t="s">
        <v>1320</v>
      </c>
    </row>
    <row r="62" spans="1:8">
      <c r="A62" t="s">
        <v>1107</v>
      </c>
      <c r="C62">
        <v>693</v>
      </c>
      <c r="E62" t="s">
        <v>1226</v>
      </c>
      <c r="F62">
        <v>4</v>
      </c>
      <c r="G62">
        <v>695</v>
      </c>
      <c r="H62" t="s">
        <v>1320</v>
      </c>
    </row>
    <row r="63" spans="1:8">
      <c r="A63" t="s">
        <v>1108</v>
      </c>
      <c r="C63">
        <v>2773</v>
      </c>
      <c r="E63" t="s">
        <v>1226</v>
      </c>
      <c r="F63">
        <v>4</v>
      </c>
      <c r="G63">
        <v>2775</v>
      </c>
      <c r="H63" t="s">
        <v>1320</v>
      </c>
    </row>
    <row r="64" spans="1:8">
      <c r="A64" t="s">
        <v>1109</v>
      </c>
      <c r="C64">
        <v>5393</v>
      </c>
      <c r="E64" t="s">
        <v>1226</v>
      </c>
      <c r="F64">
        <v>4</v>
      </c>
      <c r="G64">
        <v>5395</v>
      </c>
      <c r="H64" t="s">
        <v>1320</v>
      </c>
    </row>
    <row r="65" spans="1:8">
      <c r="A65" t="s">
        <v>1110</v>
      </c>
      <c r="C65">
        <v>842</v>
      </c>
      <c r="E65" t="s">
        <v>1226</v>
      </c>
      <c r="F65">
        <v>4</v>
      </c>
      <c r="G65">
        <v>844</v>
      </c>
      <c r="H65" t="s">
        <v>1320</v>
      </c>
    </row>
    <row r="66" spans="1:8">
      <c r="A66" t="s">
        <v>1111</v>
      </c>
      <c r="C66">
        <v>1335</v>
      </c>
      <c r="E66" t="s">
        <v>1226</v>
      </c>
      <c r="F66">
        <v>4</v>
      </c>
      <c r="G66">
        <v>1337</v>
      </c>
      <c r="H66" t="s">
        <v>1320</v>
      </c>
    </row>
    <row r="67" spans="1:8">
      <c r="A67" t="s">
        <v>1112</v>
      </c>
      <c r="C67">
        <v>11500</v>
      </c>
      <c r="E67" t="s">
        <v>1226</v>
      </c>
      <c r="F67">
        <v>4</v>
      </c>
      <c r="G67">
        <v>11500</v>
      </c>
      <c r="H67" t="s">
        <v>1320</v>
      </c>
    </row>
    <row r="68" spans="1:8">
      <c r="A68" t="s">
        <v>1113</v>
      </c>
      <c r="C68">
        <v>1779</v>
      </c>
      <c r="E68" t="s">
        <v>1226</v>
      </c>
      <c r="F68">
        <v>4</v>
      </c>
      <c r="G68">
        <v>1781</v>
      </c>
      <c r="H68" t="s">
        <v>1320</v>
      </c>
    </row>
    <row r="69" spans="1:8">
      <c r="A69" t="s">
        <v>1114</v>
      </c>
      <c r="C69">
        <v>11500</v>
      </c>
      <c r="E69" t="s">
        <v>1226</v>
      </c>
      <c r="F69">
        <v>4</v>
      </c>
      <c r="G69">
        <v>11500</v>
      </c>
      <c r="H69" t="s">
        <v>1320</v>
      </c>
    </row>
    <row r="70" spans="1:8">
      <c r="A70" t="s">
        <v>1115</v>
      </c>
      <c r="C70">
        <v>11500</v>
      </c>
      <c r="E70" t="s">
        <v>1226</v>
      </c>
      <c r="F70">
        <v>4</v>
      </c>
      <c r="G70">
        <v>11500</v>
      </c>
      <c r="H70" t="s">
        <v>1320</v>
      </c>
    </row>
    <row r="71" spans="1:8">
      <c r="A71" t="s">
        <v>1116</v>
      </c>
      <c r="C71">
        <v>6979</v>
      </c>
      <c r="E71" t="s">
        <v>1226</v>
      </c>
      <c r="F71">
        <v>4</v>
      </c>
      <c r="G71">
        <v>6981</v>
      </c>
      <c r="H71" t="s">
        <v>1320</v>
      </c>
    </row>
    <row r="72" spans="1:8">
      <c r="A72" t="s">
        <v>1117</v>
      </c>
      <c r="C72">
        <v>1689</v>
      </c>
      <c r="E72" t="s">
        <v>1226</v>
      </c>
      <c r="F72">
        <v>4</v>
      </c>
      <c r="G72">
        <v>1691</v>
      </c>
      <c r="H72" t="s">
        <v>1320</v>
      </c>
    </row>
    <row r="73" spans="1:8">
      <c r="A73" t="s">
        <v>1118</v>
      </c>
      <c r="C73">
        <v>3991</v>
      </c>
      <c r="E73" t="s">
        <v>1226</v>
      </c>
      <c r="F73">
        <v>4</v>
      </c>
      <c r="G73">
        <v>3993</v>
      </c>
      <c r="H73" t="s">
        <v>1320</v>
      </c>
    </row>
    <row r="74" spans="1:8">
      <c r="A74" t="s">
        <v>1119</v>
      </c>
      <c r="C74">
        <v>3093</v>
      </c>
      <c r="E74" t="s">
        <v>1226</v>
      </c>
      <c r="F74">
        <v>4</v>
      </c>
      <c r="G74">
        <v>3095</v>
      </c>
      <c r="H74" t="s">
        <v>1320</v>
      </c>
    </row>
    <row r="75" spans="1:8">
      <c r="A75" t="s">
        <v>1120</v>
      </c>
      <c r="C75">
        <v>11500</v>
      </c>
      <c r="E75" t="s">
        <v>1226</v>
      </c>
      <c r="F75">
        <v>4</v>
      </c>
      <c r="G75">
        <v>11500</v>
      </c>
      <c r="H75" t="s">
        <v>1320</v>
      </c>
    </row>
    <row r="76" spans="1:8">
      <c r="A76" t="s">
        <v>1121</v>
      </c>
      <c r="C76">
        <v>291</v>
      </c>
      <c r="E76" t="s">
        <v>1226</v>
      </c>
      <c r="F76">
        <v>4</v>
      </c>
      <c r="G76">
        <v>293</v>
      </c>
      <c r="H76" t="s">
        <v>1320</v>
      </c>
    </row>
    <row r="77" spans="1:8">
      <c r="A77" t="s">
        <v>1122</v>
      </c>
      <c r="C77">
        <v>11500</v>
      </c>
      <c r="E77" t="s">
        <v>1226</v>
      </c>
      <c r="F77">
        <v>4</v>
      </c>
      <c r="G77">
        <v>11500</v>
      </c>
      <c r="H77" t="s">
        <v>1320</v>
      </c>
    </row>
    <row r="78" spans="1:8">
      <c r="A78" t="s">
        <v>1123</v>
      </c>
      <c r="C78">
        <v>11500</v>
      </c>
      <c r="E78" t="s">
        <v>1226</v>
      </c>
      <c r="F78">
        <v>4</v>
      </c>
      <c r="G78">
        <v>11500</v>
      </c>
      <c r="H78" t="s">
        <v>1320</v>
      </c>
    </row>
    <row r="79" spans="1:8">
      <c r="A79" t="s">
        <v>1124</v>
      </c>
      <c r="C79">
        <v>1793</v>
      </c>
      <c r="E79" t="s">
        <v>1226</v>
      </c>
      <c r="F79">
        <v>4</v>
      </c>
      <c r="G79">
        <v>1795</v>
      </c>
      <c r="H79" t="s">
        <v>1320</v>
      </c>
    </row>
    <row r="80" spans="1:8">
      <c r="A80" t="s">
        <v>1125</v>
      </c>
      <c r="C80">
        <v>463</v>
      </c>
      <c r="E80" t="s">
        <v>1226</v>
      </c>
      <c r="F80">
        <v>4</v>
      </c>
      <c r="G80">
        <v>465</v>
      </c>
      <c r="H80" t="s">
        <v>1320</v>
      </c>
    </row>
    <row r="81" spans="1:8">
      <c r="A81" t="s">
        <v>1126</v>
      </c>
      <c r="C81">
        <v>463</v>
      </c>
      <c r="E81" t="s">
        <v>1226</v>
      </c>
      <c r="F81">
        <v>4</v>
      </c>
      <c r="G81">
        <v>465</v>
      </c>
      <c r="H81" t="s">
        <v>1320</v>
      </c>
    </row>
    <row r="82" spans="1:8">
      <c r="A82" t="s">
        <v>1127</v>
      </c>
      <c r="C82">
        <v>693</v>
      </c>
      <c r="E82" t="s">
        <v>1226</v>
      </c>
      <c r="F82">
        <v>4</v>
      </c>
      <c r="G82">
        <v>695</v>
      </c>
      <c r="H82" t="s">
        <v>1320</v>
      </c>
    </row>
    <row r="83" spans="1:8">
      <c r="A83" t="s">
        <v>1128</v>
      </c>
      <c r="C83">
        <v>9829</v>
      </c>
      <c r="E83" t="s">
        <v>1226</v>
      </c>
      <c r="F83">
        <v>4</v>
      </c>
      <c r="G83">
        <v>9831</v>
      </c>
      <c r="H83" t="s">
        <v>1320</v>
      </c>
    </row>
    <row r="84" spans="1:8">
      <c r="A84" t="s">
        <v>1140</v>
      </c>
      <c r="C84">
        <v>77</v>
      </c>
      <c r="E84" t="s">
        <v>1248</v>
      </c>
      <c r="F84">
        <v>6</v>
      </c>
      <c r="G84">
        <v>79</v>
      </c>
      <c r="H84" t="s">
        <v>1320</v>
      </c>
    </row>
    <row r="85" spans="1:8">
      <c r="A85" t="s">
        <v>1148</v>
      </c>
      <c r="C85">
        <v>227</v>
      </c>
      <c r="E85" t="s">
        <v>1248</v>
      </c>
      <c r="F85">
        <v>6</v>
      </c>
      <c r="G85">
        <v>229</v>
      </c>
      <c r="H85" t="s">
        <v>1320</v>
      </c>
    </row>
    <row r="86" spans="1:8">
      <c r="A86" t="s">
        <v>1249</v>
      </c>
      <c r="C86">
        <v>541</v>
      </c>
      <c r="E86" t="s">
        <v>1248</v>
      </c>
      <c r="F86">
        <v>6</v>
      </c>
      <c r="G86">
        <v>543</v>
      </c>
      <c r="H86" t="s">
        <v>1320</v>
      </c>
    </row>
    <row r="87" spans="1:8">
      <c r="A87" t="s">
        <v>1136</v>
      </c>
      <c r="C87">
        <v>770</v>
      </c>
      <c r="E87" t="s">
        <v>1248</v>
      </c>
      <c r="F87">
        <v>6</v>
      </c>
      <c r="G87">
        <v>772</v>
      </c>
      <c r="H87" t="s">
        <v>1320</v>
      </c>
    </row>
    <row r="88" spans="1:8">
      <c r="A88" t="s">
        <v>1250</v>
      </c>
      <c r="C88">
        <v>2277</v>
      </c>
      <c r="E88" t="s">
        <v>1248</v>
      </c>
      <c r="F88">
        <v>6</v>
      </c>
      <c r="G88">
        <v>2279</v>
      </c>
      <c r="H88" t="s">
        <v>1320</v>
      </c>
    </row>
    <row r="89" spans="1:8">
      <c r="A89" t="s">
        <v>1251</v>
      </c>
      <c r="C89">
        <v>541</v>
      </c>
      <c r="E89" t="s">
        <v>1248</v>
      </c>
      <c r="F89">
        <v>6</v>
      </c>
      <c r="G89">
        <v>543</v>
      </c>
      <c r="H89" t="s">
        <v>1320</v>
      </c>
    </row>
    <row r="90" spans="1:8">
      <c r="A90" t="s">
        <v>1254</v>
      </c>
      <c r="C90">
        <v>341</v>
      </c>
      <c r="E90" t="s">
        <v>1248</v>
      </c>
      <c r="F90">
        <v>6</v>
      </c>
      <c r="G90">
        <v>343</v>
      </c>
      <c r="H90" t="s">
        <v>1320</v>
      </c>
    </row>
    <row r="91" spans="1:8">
      <c r="A91" t="s">
        <v>1253</v>
      </c>
      <c r="C91">
        <v>3719</v>
      </c>
      <c r="E91" t="s">
        <v>1248</v>
      </c>
      <c r="F91">
        <v>6</v>
      </c>
      <c r="G91">
        <v>3721</v>
      </c>
      <c r="H91" t="s">
        <v>1320</v>
      </c>
    </row>
    <row r="92" spans="1:8">
      <c r="A92" t="s">
        <v>1252</v>
      </c>
      <c r="C92">
        <v>391</v>
      </c>
      <c r="E92" t="s">
        <v>1248</v>
      </c>
      <c r="F92">
        <v>6</v>
      </c>
      <c r="G92">
        <v>393</v>
      </c>
      <c r="H92" t="s">
        <v>1320</v>
      </c>
    </row>
    <row r="93" spans="1:8">
      <c r="A93" t="s">
        <v>1255</v>
      </c>
      <c r="C93">
        <v>9219</v>
      </c>
      <c r="E93" t="s">
        <v>1248</v>
      </c>
      <c r="F93">
        <v>6</v>
      </c>
      <c r="G93">
        <v>9221</v>
      </c>
      <c r="H93" t="s">
        <v>1320</v>
      </c>
    </row>
    <row r="94" spans="1:8">
      <c r="A94" t="s">
        <v>1256</v>
      </c>
      <c r="C94">
        <v>11500</v>
      </c>
      <c r="E94" t="s">
        <v>1248</v>
      </c>
      <c r="F94">
        <v>6</v>
      </c>
      <c r="G94">
        <v>11500</v>
      </c>
      <c r="H94" t="s">
        <v>1320</v>
      </c>
    </row>
    <row r="95" spans="1:8">
      <c r="A95" t="s">
        <v>1257</v>
      </c>
      <c r="C95">
        <v>11500</v>
      </c>
      <c r="E95" t="s">
        <v>1248</v>
      </c>
      <c r="F95">
        <v>6</v>
      </c>
      <c r="G95">
        <v>11500</v>
      </c>
      <c r="H95" t="s">
        <v>1320</v>
      </c>
    </row>
    <row r="96" spans="1:8">
      <c r="A96" t="s">
        <v>1258</v>
      </c>
      <c r="C96">
        <v>10179</v>
      </c>
      <c r="E96" t="s">
        <v>1248</v>
      </c>
      <c r="F96">
        <v>6</v>
      </c>
      <c r="G96">
        <v>10181</v>
      </c>
      <c r="H96" t="s">
        <v>1320</v>
      </c>
    </row>
    <row r="97" spans="1:8">
      <c r="A97" t="s">
        <v>1259</v>
      </c>
      <c r="C97">
        <v>541</v>
      </c>
      <c r="E97" t="s">
        <v>1248</v>
      </c>
      <c r="F97">
        <v>6</v>
      </c>
      <c r="G97">
        <v>543</v>
      </c>
      <c r="H97" t="s">
        <v>1320</v>
      </c>
    </row>
    <row r="98" spans="1:8">
      <c r="A98" t="s">
        <v>1260</v>
      </c>
      <c r="C98">
        <v>11500</v>
      </c>
      <c r="E98" t="s">
        <v>1248</v>
      </c>
      <c r="F98">
        <v>6</v>
      </c>
      <c r="G98">
        <v>11500</v>
      </c>
      <c r="H98" t="s">
        <v>1320</v>
      </c>
    </row>
    <row r="99" spans="1:8">
      <c r="A99" t="s">
        <v>1261</v>
      </c>
      <c r="C99">
        <v>10364</v>
      </c>
      <c r="E99" t="s">
        <v>1248</v>
      </c>
      <c r="F99">
        <v>6</v>
      </c>
      <c r="G99">
        <v>10366</v>
      </c>
      <c r="H99" t="s">
        <v>1320</v>
      </c>
    </row>
    <row r="100" spans="1:8">
      <c r="A100" t="s">
        <v>1262</v>
      </c>
      <c r="C100">
        <v>541</v>
      </c>
      <c r="E100" t="s">
        <v>1248</v>
      </c>
      <c r="F100">
        <v>6</v>
      </c>
      <c r="G100">
        <v>543</v>
      </c>
      <c r="H100" t="s">
        <v>1320</v>
      </c>
    </row>
    <row r="101" spans="1:8">
      <c r="A101" t="s">
        <v>1263</v>
      </c>
      <c r="C101">
        <v>11500</v>
      </c>
      <c r="E101" t="s">
        <v>1248</v>
      </c>
      <c r="F101">
        <v>6</v>
      </c>
      <c r="G101">
        <v>11500</v>
      </c>
      <c r="H101" t="s">
        <v>1320</v>
      </c>
    </row>
    <row r="102" spans="1:8">
      <c r="A102" t="s">
        <v>1131</v>
      </c>
      <c r="C102">
        <v>6619</v>
      </c>
      <c r="E102" t="s">
        <v>1248</v>
      </c>
      <c r="F102">
        <v>6</v>
      </c>
      <c r="G102">
        <v>6621</v>
      </c>
      <c r="H102" t="s">
        <v>1320</v>
      </c>
    </row>
    <row r="103" spans="1:8">
      <c r="A103" t="s">
        <v>1132</v>
      </c>
      <c r="C103">
        <v>1627</v>
      </c>
      <c r="E103" t="s">
        <v>1248</v>
      </c>
      <c r="F103">
        <v>6</v>
      </c>
      <c r="G103">
        <v>1629</v>
      </c>
      <c r="H103" t="s">
        <v>1320</v>
      </c>
    </row>
    <row r="104" spans="1:8">
      <c r="A104" t="s">
        <v>1133</v>
      </c>
      <c r="C104">
        <v>541</v>
      </c>
      <c r="E104" t="s">
        <v>1248</v>
      </c>
      <c r="F104">
        <v>6</v>
      </c>
      <c r="G104">
        <v>543</v>
      </c>
      <c r="H104" t="s">
        <v>1320</v>
      </c>
    </row>
    <row r="105" spans="1:8">
      <c r="A105" t="s">
        <v>1134</v>
      </c>
      <c r="C105">
        <v>11500</v>
      </c>
      <c r="E105" t="s">
        <v>1248</v>
      </c>
      <c r="F105">
        <v>6</v>
      </c>
      <c r="G105">
        <v>11500</v>
      </c>
      <c r="H105" t="s">
        <v>1320</v>
      </c>
    </row>
    <row r="106" spans="1:8">
      <c r="A106" t="s">
        <v>1135</v>
      </c>
      <c r="C106">
        <v>3077</v>
      </c>
      <c r="E106" t="s">
        <v>1248</v>
      </c>
      <c r="F106">
        <v>6</v>
      </c>
      <c r="G106">
        <v>3079</v>
      </c>
      <c r="H106" t="s">
        <v>1320</v>
      </c>
    </row>
    <row r="107" spans="1:8">
      <c r="A107" t="s">
        <v>1137</v>
      </c>
      <c r="C107">
        <v>721</v>
      </c>
      <c r="E107" t="s">
        <v>1248</v>
      </c>
      <c r="F107">
        <v>6</v>
      </c>
      <c r="G107">
        <v>723</v>
      </c>
      <c r="H107" t="s">
        <v>1320</v>
      </c>
    </row>
    <row r="108" spans="1:8">
      <c r="A108" t="s">
        <v>1138</v>
      </c>
      <c r="C108">
        <v>1541</v>
      </c>
      <c r="E108" t="s">
        <v>1248</v>
      </c>
      <c r="F108">
        <v>6</v>
      </c>
      <c r="G108">
        <v>1543</v>
      </c>
      <c r="H108" t="s">
        <v>1320</v>
      </c>
    </row>
    <row r="109" spans="1:8">
      <c r="A109" t="s">
        <v>1139</v>
      </c>
      <c r="C109">
        <v>312</v>
      </c>
      <c r="E109" t="s">
        <v>1248</v>
      </c>
      <c r="F109">
        <v>6</v>
      </c>
      <c r="G109">
        <v>314</v>
      </c>
      <c r="H109" t="s">
        <v>1320</v>
      </c>
    </row>
    <row r="110" spans="1:8">
      <c r="A110" t="s">
        <v>1141</v>
      </c>
      <c r="C110">
        <v>3748</v>
      </c>
      <c r="E110" t="s">
        <v>1248</v>
      </c>
      <c r="F110">
        <v>6</v>
      </c>
      <c r="G110">
        <v>3750</v>
      </c>
      <c r="H110" t="s">
        <v>1320</v>
      </c>
    </row>
    <row r="111" spans="1:8">
      <c r="A111" t="s">
        <v>1142</v>
      </c>
      <c r="C111">
        <v>8691</v>
      </c>
      <c r="E111" t="s">
        <v>1248</v>
      </c>
      <c r="F111">
        <v>6</v>
      </c>
      <c r="G111">
        <v>8693</v>
      </c>
      <c r="H111" t="s">
        <v>1320</v>
      </c>
    </row>
    <row r="112" spans="1:8">
      <c r="A112" t="s">
        <v>1143</v>
      </c>
      <c r="C112">
        <v>2591</v>
      </c>
      <c r="E112" t="s">
        <v>1248</v>
      </c>
      <c r="F112">
        <v>6</v>
      </c>
      <c r="G112">
        <v>2593</v>
      </c>
      <c r="H112" t="s">
        <v>1320</v>
      </c>
    </row>
    <row r="113" spans="1:8">
      <c r="A113" t="s">
        <v>1144</v>
      </c>
      <c r="C113">
        <v>477</v>
      </c>
      <c r="E113" t="s">
        <v>1248</v>
      </c>
      <c r="F113">
        <v>6</v>
      </c>
      <c r="G113">
        <v>479</v>
      </c>
      <c r="H113" t="s">
        <v>1320</v>
      </c>
    </row>
    <row r="114" spans="1:8">
      <c r="A114" t="s">
        <v>1145</v>
      </c>
      <c r="C114">
        <v>483</v>
      </c>
      <c r="E114" t="s">
        <v>1248</v>
      </c>
      <c r="F114">
        <v>6</v>
      </c>
      <c r="G114">
        <v>485</v>
      </c>
      <c r="H114" t="s">
        <v>1320</v>
      </c>
    </row>
    <row r="115" spans="1:8">
      <c r="A115" t="s">
        <v>1146</v>
      </c>
      <c r="C115">
        <v>483</v>
      </c>
      <c r="E115" t="s">
        <v>1248</v>
      </c>
      <c r="F115">
        <v>6</v>
      </c>
      <c r="G115">
        <v>485</v>
      </c>
      <c r="H115" t="s">
        <v>1320</v>
      </c>
    </row>
    <row r="116" spans="1:8">
      <c r="A116" t="s">
        <v>1147</v>
      </c>
      <c r="C116">
        <v>533</v>
      </c>
      <c r="E116" t="s">
        <v>1248</v>
      </c>
      <c r="F116">
        <v>6</v>
      </c>
      <c r="G116">
        <v>535</v>
      </c>
      <c r="H116" t="s">
        <v>1320</v>
      </c>
    </row>
    <row r="117" spans="1:8">
      <c r="A117" t="s">
        <v>1149</v>
      </c>
      <c r="C117">
        <v>699</v>
      </c>
      <c r="E117" t="s">
        <v>1248</v>
      </c>
      <c r="F117">
        <v>6</v>
      </c>
      <c r="G117">
        <v>701</v>
      </c>
      <c r="H117" t="s">
        <v>1320</v>
      </c>
    </row>
    <row r="118" spans="1:8">
      <c r="A118" t="s">
        <v>1150</v>
      </c>
      <c r="C118">
        <v>2691</v>
      </c>
      <c r="E118" t="s">
        <v>1248</v>
      </c>
      <c r="F118">
        <v>6</v>
      </c>
      <c r="G118">
        <v>2693</v>
      </c>
      <c r="H118" t="s">
        <v>1320</v>
      </c>
    </row>
    <row r="119" spans="1:8">
      <c r="A119" t="s">
        <v>1151</v>
      </c>
      <c r="C119">
        <v>371</v>
      </c>
      <c r="E119" t="s">
        <v>1248</v>
      </c>
      <c r="F119">
        <v>6</v>
      </c>
      <c r="G119">
        <v>373</v>
      </c>
      <c r="H119" t="s">
        <v>1320</v>
      </c>
    </row>
    <row r="120" spans="1:8">
      <c r="A120" t="s">
        <v>1152</v>
      </c>
      <c r="C120">
        <v>533</v>
      </c>
      <c r="E120" t="s">
        <v>1248</v>
      </c>
      <c r="F120">
        <v>6</v>
      </c>
      <c r="G120">
        <v>535</v>
      </c>
      <c r="H120" t="s">
        <v>1320</v>
      </c>
    </row>
    <row r="121" spans="1:8">
      <c r="A121" t="s">
        <v>1264</v>
      </c>
      <c r="C121">
        <v>541</v>
      </c>
      <c r="E121" t="s">
        <v>1265</v>
      </c>
      <c r="F121">
        <v>6</v>
      </c>
      <c r="G121">
        <v>543</v>
      </c>
      <c r="H121" t="s">
        <v>1320</v>
      </c>
    </row>
    <row r="122" spans="1:8">
      <c r="A122" t="s">
        <v>1266</v>
      </c>
      <c r="C122">
        <v>11500</v>
      </c>
      <c r="E122" t="s">
        <v>1265</v>
      </c>
      <c r="F122">
        <v>6</v>
      </c>
      <c r="G122">
        <v>11500</v>
      </c>
      <c r="H122" t="s">
        <v>1320</v>
      </c>
    </row>
    <row r="123" spans="1:8">
      <c r="A123" t="s">
        <v>1267</v>
      </c>
      <c r="C123">
        <v>5331</v>
      </c>
      <c r="E123" t="s">
        <v>1265</v>
      </c>
      <c r="F123">
        <v>6</v>
      </c>
      <c r="G123">
        <v>5333</v>
      </c>
      <c r="H123" t="s">
        <v>1320</v>
      </c>
    </row>
    <row r="124" spans="1:8">
      <c r="A124" t="s">
        <v>1270</v>
      </c>
      <c r="C124">
        <v>388</v>
      </c>
      <c r="E124" t="s">
        <v>1271</v>
      </c>
      <c r="F124">
        <v>8</v>
      </c>
      <c r="G124">
        <v>390</v>
      </c>
      <c r="H124" t="s">
        <v>1320</v>
      </c>
    </row>
    <row r="125" spans="1:8">
      <c r="A125" t="s">
        <v>1272</v>
      </c>
      <c r="C125">
        <v>11500</v>
      </c>
      <c r="E125" t="s">
        <v>1271</v>
      </c>
      <c r="F125">
        <v>8</v>
      </c>
      <c r="G125">
        <v>11500</v>
      </c>
      <c r="H125" t="s">
        <v>1320</v>
      </c>
    </row>
    <row r="126" spans="1:8">
      <c r="A126" t="s">
        <v>1273</v>
      </c>
      <c r="C126">
        <v>4848</v>
      </c>
      <c r="E126" t="s">
        <v>1271</v>
      </c>
      <c r="F126">
        <v>8</v>
      </c>
      <c r="G126">
        <v>4850</v>
      </c>
      <c r="H126" t="s">
        <v>1320</v>
      </c>
    </row>
    <row r="127" spans="1:8">
      <c r="A127" t="s">
        <v>1274</v>
      </c>
      <c r="C127">
        <v>388</v>
      </c>
      <c r="E127" t="s">
        <v>1271</v>
      </c>
      <c r="F127">
        <v>8</v>
      </c>
      <c r="G127">
        <v>390</v>
      </c>
      <c r="H127" t="s">
        <v>1320</v>
      </c>
    </row>
    <row r="128" spans="1:8">
      <c r="A128" t="s">
        <v>1275</v>
      </c>
      <c r="C128">
        <v>388</v>
      </c>
      <c r="E128" t="s">
        <v>1271</v>
      </c>
      <c r="F128">
        <v>8</v>
      </c>
      <c r="G128">
        <v>390</v>
      </c>
      <c r="H128" t="s">
        <v>1320</v>
      </c>
    </row>
    <row r="129" spans="1:8">
      <c r="A129" t="s">
        <v>1276</v>
      </c>
      <c r="C129">
        <v>11500</v>
      </c>
      <c r="E129" t="s">
        <v>1271</v>
      </c>
      <c r="F129">
        <v>8</v>
      </c>
      <c r="G129">
        <v>11500</v>
      </c>
      <c r="H129" t="s">
        <v>1320</v>
      </c>
    </row>
    <row r="130" spans="1:8">
      <c r="A130" t="s">
        <v>1277</v>
      </c>
      <c r="C130">
        <v>4808</v>
      </c>
      <c r="E130" t="s">
        <v>1271</v>
      </c>
      <c r="F130">
        <v>8</v>
      </c>
      <c r="G130">
        <v>4810</v>
      </c>
      <c r="H130" t="s">
        <v>1320</v>
      </c>
    </row>
    <row r="131" spans="1:8">
      <c r="A131" t="s">
        <v>1278</v>
      </c>
      <c r="C131">
        <v>388</v>
      </c>
      <c r="E131" t="s">
        <v>1271</v>
      </c>
      <c r="F131">
        <v>8</v>
      </c>
      <c r="G131">
        <v>390</v>
      </c>
      <c r="H131" t="s">
        <v>1320</v>
      </c>
    </row>
    <row r="132" spans="1:8">
      <c r="A132" t="s">
        <v>1279</v>
      </c>
      <c r="C132">
        <v>388</v>
      </c>
      <c r="E132" t="s">
        <v>1271</v>
      </c>
      <c r="F132">
        <v>8</v>
      </c>
      <c r="G132">
        <v>390</v>
      </c>
      <c r="H132" t="s">
        <v>1320</v>
      </c>
    </row>
    <row r="133" spans="1:8">
      <c r="A133" t="s">
        <v>1280</v>
      </c>
      <c r="C133">
        <v>9488</v>
      </c>
      <c r="E133" t="s">
        <v>1271</v>
      </c>
      <c r="F133">
        <v>8</v>
      </c>
      <c r="G133">
        <v>9490</v>
      </c>
      <c r="H133" t="s">
        <v>1320</v>
      </c>
    </row>
    <row r="134" spans="1:8">
      <c r="A134" t="s">
        <v>1281</v>
      </c>
      <c r="C134">
        <v>388</v>
      </c>
      <c r="E134" t="s">
        <v>1271</v>
      </c>
      <c r="F134">
        <v>8</v>
      </c>
      <c r="G134">
        <v>390</v>
      </c>
      <c r="H134" t="s">
        <v>1320</v>
      </c>
    </row>
    <row r="135" spans="1:8">
      <c r="A135" t="s">
        <v>1282</v>
      </c>
      <c r="C135">
        <v>2488</v>
      </c>
      <c r="E135" t="s">
        <v>1271</v>
      </c>
      <c r="F135">
        <v>8</v>
      </c>
      <c r="G135">
        <v>2490</v>
      </c>
      <c r="H135" t="s">
        <v>1320</v>
      </c>
    </row>
    <row r="136" spans="1:8">
      <c r="A136" t="s">
        <v>1283</v>
      </c>
      <c r="C136">
        <v>11500</v>
      </c>
      <c r="E136" t="s">
        <v>1271</v>
      </c>
      <c r="F136">
        <v>8</v>
      </c>
      <c r="G136">
        <v>11500</v>
      </c>
      <c r="H136" t="s">
        <v>1320</v>
      </c>
    </row>
    <row r="137" spans="1:8">
      <c r="A137" t="s">
        <v>1284</v>
      </c>
      <c r="C137">
        <v>2288</v>
      </c>
      <c r="E137" t="s">
        <v>1271</v>
      </c>
      <c r="F137">
        <v>8</v>
      </c>
      <c r="G137">
        <v>2290</v>
      </c>
      <c r="H137" t="s">
        <v>1320</v>
      </c>
    </row>
    <row r="138" spans="1:8">
      <c r="A138" t="s">
        <v>1285</v>
      </c>
      <c r="C138">
        <v>1655</v>
      </c>
      <c r="E138" t="s">
        <v>1271</v>
      </c>
      <c r="F138">
        <v>8</v>
      </c>
      <c r="G138">
        <v>1657</v>
      </c>
      <c r="H138" t="s">
        <v>1320</v>
      </c>
    </row>
    <row r="139" spans="1:8">
      <c r="A139" t="s">
        <v>1286</v>
      </c>
      <c r="C139">
        <v>188</v>
      </c>
      <c r="E139" t="s">
        <v>1271</v>
      </c>
      <c r="F139">
        <v>8</v>
      </c>
      <c r="G139">
        <v>190</v>
      </c>
      <c r="H139" t="s">
        <v>1320</v>
      </c>
    </row>
    <row r="140" spans="1:8">
      <c r="A140" t="s">
        <v>1287</v>
      </c>
      <c r="C140">
        <v>11500</v>
      </c>
      <c r="E140" t="s">
        <v>1271</v>
      </c>
      <c r="F140">
        <v>8</v>
      </c>
      <c r="G140">
        <v>11500</v>
      </c>
      <c r="H140" t="s">
        <v>1320</v>
      </c>
    </row>
    <row r="141" spans="1:8">
      <c r="A141" t="s">
        <v>1288</v>
      </c>
      <c r="C141">
        <v>11500</v>
      </c>
      <c r="E141" t="s">
        <v>1271</v>
      </c>
      <c r="F141">
        <v>8</v>
      </c>
      <c r="G141">
        <v>11500</v>
      </c>
      <c r="H141" t="s">
        <v>1320</v>
      </c>
    </row>
    <row r="142" spans="1:8">
      <c r="A142" t="s">
        <v>1289</v>
      </c>
      <c r="C142">
        <v>388</v>
      </c>
      <c r="E142" t="s">
        <v>1271</v>
      </c>
      <c r="F142">
        <v>8</v>
      </c>
      <c r="G142">
        <v>390</v>
      </c>
      <c r="H142" t="s">
        <v>1320</v>
      </c>
    </row>
    <row r="143" spans="1:8">
      <c r="A143" t="s">
        <v>1290</v>
      </c>
      <c r="C143">
        <v>8958</v>
      </c>
      <c r="E143" t="s">
        <v>1271</v>
      </c>
      <c r="F143">
        <v>8</v>
      </c>
      <c r="G143">
        <v>8960</v>
      </c>
      <c r="H143" t="s">
        <v>1320</v>
      </c>
    </row>
    <row r="144" spans="1:8">
      <c r="A144" t="s">
        <v>1291</v>
      </c>
      <c r="C144">
        <v>11500</v>
      </c>
      <c r="E144" t="s">
        <v>1271</v>
      </c>
      <c r="F144">
        <v>8</v>
      </c>
      <c r="G144">
        <v>11500</v>
      </c>
      <c r="H144" t="s">
        <v>1320</v>
      </c>
    </row>
    <row r="145" spans="1:8">
      <c r="A145" t="s">
        <v>1292</v>
      </c>
      <c r="C145">
        <v>2188</v>
      </c>
      <c r="E145" t="s">
        <v>1271</v>
      </c>
      <c r="F145">
        <v>8</v>
      </c>
      <c r="G145">
        <v>2190</v>
      </c>
      <c r="H145" t="s">
        <v>1320</v>
      </c>
    </row>
    <row r="146" spans="1:8">
      <c r="A146" t="s">
        <v>1293</v>
      </c>
      <c r="C146">
        <v>438</v>
      </c>
      <c r="E146" t="s">
        <v>1271</v>
      </c>
      <c r="F146">
        <v>8</v>
      </c>
      <c r="G146">
        <v>440</v>
      </c>
      <c r="H146" t="s">
        <v>1320</v>
      </c>
    </row>
    <row r="147" spans="1:8">
      <c r="A147" t="s">
        <v>1294</v>
      </c>
      <c r="C147">
        <v>388</v>
      </c>
      <c r="E147" t="s">
        <v>1271</v>
      </c>
      <c r="F147">
        <v>8</v>
      </c>
      <c r="G147">
        <v>390</v>
      </c>
      <c r="H147" t="s">
        <v>1320</v>
      </c>
    </row>
    <row r="148" spans="1:8">
      <c r="A148" t="s">
        <v>1295</v>
      </c>
      <c r="C148">
        <v>11500</v>
      </c>
      <c r="E148" t="s">
        <v>1271</v>
      </c>
      <c r="F148">
        <v>8</v>
      </c>
      <c r="G148">
        <v>11500</v>
      </c>
      <c r="H148" t="s">
        <v>1320</v>
      </c>
    </row>
    <row r="149" spans="1:8">
      <c r="A149" t="s">
        <v>1296</v>
      </c>
      <c r="C149">
        <v>980</v>
      </c>
      <c r="E149" t="s">
        <v>1271</v>
      </c>
      <c r="F149">
        <v>8</v>
      </c>
      <c r="G149">
        <v>982</v>
      </c>
      <c r="H149" t="s">
        <v>1320</v>
      </c>
    </row>
    <row r="150" spans="1:8">
      <c r="A150" t="s">
        <v>1297</v>
      </c>
      <c r="C150">
        <v>188</v>
      </c>
      <c r="E150" t="s">
        <v>1271</v>
      </c>
      <c r="F150">
        <v>8</v>
      </c>
      <c r="G150">
        <v>190</v>
      </c>
      <c r="H150" t="s">
        <v>1320</v>
      </c>
    </row>
    <row r="151" spans="1:8">
      <c r="A151" t="s">
        <v>1298</v>
      </c>
      <c r="C151">
        <v>11500</v>
      </c>
      <c r="E151" t="s">
        <v>1271</v>
      </c>
      <c r="F151">
        <v>8</v>
      </c>
      <c r="G151">
        <v>11500</v>
      </c>
      <c r="H151" t="s">
        <v>1320</v>
      </c>
    </row>
    <row r="152" spans="1:8">
      <c r="A152" t="s">
        <v>1299</v>
      </c>
      <c r="C152">
        <v>10598</v>
      </c>
      <c r="E152" t="s">
        <v>1271</v>
      </c>
      <c r="F152">
        <v>8</v>
      </c>
      <c r="G152">
        <v>10600</v>
      </c>
      <c r="H152" t="s">
        <v>1320</v>
      </c>
    </row>
    <row r="153" spans="1:8">
      <c r="A153" t="s">
        <v>1300</v>
      </c>
      <c r="C153">
        <v>388</v>
      </c>
      <c r="E153" t="s">
        <v>1271</v>
      </c>
      <c r="F153">
        <v>8</v>
      </c>
      <c r="G153">
        <v>390</v>
      </c>
      <c r="H153" t="s">
        <v>1320</v>
      </c>
    </row>
    <row r="154" spans="1:8">
      <c r="A154" t="s">
        <v>1301</v>
      </c>
      <c r="C154">
        <v>188</v>
      </c>
      <c r="E154" t="s">
        <v>1271</v>
      </c>
      <c r="F154">
        <v>8</v>
      </c>
      <c r="G154">
        <v>190</v>
      </c>
      <c r="H154" t="s">
        <v>1320</v>
      </c>
    </row>
    <row r="155" spans="1:8">
      <c r="A155" t="s">
        <v>1302</v>
      </c>
      <c r="C155">
        <v>11500</v>
      </c>
      <c r="E155" t="s">
        <v>1271</v>
      </c>
      <c r="F155">
        <v>8</v>
      </c>
      <c r="G155">
        <v>11500</v>
      </c>
      <c r="H155" t="s">
        <v>1320</v>
      </c>
    </row>
    <row r="156" spans="1:8">
      <c r="A156" t="s">
        <v>1303</v>
      </c>
      <c r="C156">
        <v>10618</v>
      </c>
      <c r="E156" t="s">
        <v>1271</v>
      </c>
      <c r="F156">
        <v>8</v>
      </c>
      <c r="G156">
        <v>10620</v>
      </c>
      <c r="H156" t="s">
        <v>1320</v>
      </c>
    </row>
    <row r="157" spans="1:8">
      <c r="A157" t="s">
        <v>1304</v>
      </c>
      <c r="C157">
        <v>388</v>
      </c>
      <c r="E157" t="s">
        <v>1271</v>
      </c>
      <c r="F157">
        <v>8</v>
      </c>
      <c r="G157">
        <v>390</v>
      </c>
      <c r="H157" t="s">
        <v>1320</v>
      </c>
    </row>
    <row r="158" spans="1:8">
      <c r="A158" t="s">
        <v>1155</v>
      </c>
      <c r="C158">
        <v>4246</v>
      </c>
      <c r="E158" t="s">
        <v>1307</v>
      </c>
      <c r="F158">
        <v>10</v>
      </c>
      <c r="G158">
        <v>4248</v>
      </c>
      <c r="H158" t="s">
        <v>1320</v>
      </c>
    </row>
    <row r="159" spans="1:8">
      <c r="A159" t="s">
        <v>1156</v>
      </c>
      <c r="C159">
        <v>298</v>
      </c>
      <c r="E159" t="s">
        <v>1307</v>
      </c>
      <c r="F159">
        <v>10</v>
      </c>
      <c r="G159">
        <v>300</v>
      </c>
      <c r="H159" t="s">
        <v>1320</v>
      </c>
    </row>
    <row r="160" spans="1:8">
      <c r="A160" t="s">
        <v>1157</v>
      </c>
      <c r="C160">
        <v>4411</v>
      </c>
      <c r="E160" t="s">
        <v>1307</v>
      </c>
      <c r="F160">
        <v>10</v>
      </c>
      <c r="G160">
        <v>4413</v>
      </c>
      <c r="H160" t="s">
        <v>1320</v>
      </c>
    </row>
    <row r="161" spans="1:8">
      <c r="A161" t="s">
        <v>1158</v>
      </c>
      <c r="C161">
        <v>298</v>
      </c>
      <c r="E161" t="s">
        <v>1307</v>
      </c>
      <c r="F161">
        <v>10</v>
      </c>
      <c r="G161">
        <v>300</v>
      </c>
      <c r="H161" t="s">
        <v>1320</v>
      </c>
    </row>
    <row r="162" spans="1:8">
      <c r="A162" t="s">
        <v>1159</v>
      </c>
      <c r="C162">
        <v>4411</v>
      </c>
      <c r="E162" t="s">
        <v>1307</v>
      </c>
      <c r="F162">
        <v>10</v>
      </c>
      <c r="G162">
        <v>4413</v>
      </c>
      <c r="H162" t="s">
        <v>1320</v>
      </c>
    </row>
    <row r="163" spans="1:8">
      <c r="A163" t="s">
        <v>1160</v>
      </c>
      <c r="C163">
        <v>298</v>
      </c>
      <c r="E163" t="s">
        <v>1307</v>
      </c>
      <c r="F163">
        <v>10</v>
      </c>
      <c r="G163">
        <v>300</v>
      </c>
      <c r="H163" t="s">
        <v>1320</v>
      </c>
    </row>
    <row r="164" spans="1:8">
      <c r="A164" t="s">
        <v>1164</v>
      </c>
      <c r="C164">
        <v>11500</v>
      </c>
      <c r="E164" t="s">
        <v>1309</v>
      </c>
      <c r="F164">
        <v>4</v>
      </c>
      <c r="G164">
        <v>11500</v>
      </c>
      <c r="H164" t="s">
        <v>1320</v>
      </c>
    </row>
    <row r="165" spans="1:8">
      <c r="A165" t="s">
        <v>1165</v>
      </c>
      <c r="C165">
        <v>693</v>
      </c>
      <c r="E165" t="s">
        <v>1309</v>
      </c>
      <c r="F165">
        <v>4</v>
      </c>
      <c r="G165">
        <v>695</v>
      </c>
      <c r="H165" t="s">
        <v>1320</v>
      </c>
    </row>
    <row r="166" spans="1:8">
      <c r="A166" t="s">
        <v>1166</v>
      </c>
      <c r="C166">
        <v>693</v>
      </c>
      <c r="E166" t="s">
        <v>1309</v>
      </c>
      <c r="F166">
        <v>4</v>
      </c>
      <c r="G166">
        <v>695</v>
      </c>
      <c r="H166" t="s">
        <v>1320</v>
      </c>
    </row>
    <row r="167" spans="1:8">
      <c r="A167" t="s">
        <v>1167</v>
      </c>
      <c r="C167">
        <v>11500</v>
      </c>
      <c r="E167" t="s">
        <v>1309</v>
      </c>
      <c r="F167">
        <v>4</v>
      </c>
      <c r="G167">
        <v>11500</v>
      </c>
      <c r="H167" t="s">
        <v>1320</v>
      </c>
    </row>
    <row r="168" spans="1:8">
      <c r="A168" t="s">
        <v>1168</v>
      </c>
      <c r="C168">
        <v>11500</v>
      </c>
      <c r="E168" t="s">
        <v>1309</v>
      </c>
      <c r="F168">
        <v>4</v>
      </c>
      <c r="G168">
        <v>11500</v>
      </c>
      <c r="H168" t="s">
        <v>1320</v>
      </c>
    </row>
    <row r="169" spans="1:8">
      <c r="A169" t="s">
        <v>1169</v>
      </c>
      <c r="C169">
        <v>693</v>
      </c>
      <c r="E169" t="s">
        <v>1309</v>
      </c>
      <c r="F169">
        <v>4</v>
      </c>
      <c r="G169">
        <v>695</v>
      </c>
      <c r="H169" t="s">
        <v>1320</v>
      </c>
    </row>
    <row r="170" spans="1:8">
      <c r="A170" t="s">
        <v>1170</v>
      </c>
      <c r="C170">
        <v>3263</v>
      </c>
      <c r="E170" t="s">
        <v>1309</v>
      </c>
      <c r="F170">
        <v>4</v>
      </c>
      <c r="G170">
        <v>3265</v>
      </c>
      <c r="H170" t="s">
        <v>1320</v>
      </c>
    </row>
    <row r="171" spans="1:8">
      <c r="A171" t="s">
        <v>1173</v>
      </c>
      <c r="C171">
        <v>170</v>
      </c>
      <c r="E171" t="s">
        <v>1311</v>
      </c>
      <c r="F171">
        <v>6</v>
      </c>
      <c r="G171">
        <v>172</v>
      </c>
      <c r="H171" t="s">
        <v>1320</v>
      </c>
    </row>
    <row r="172" spans="1:8">
      <c r="A172" t="s">
        <v>1175</v>
      </c>
      <c r="C172">
        <v>1441</v>
      </c>
      <c r="E172" t="s">
        <v>1311</v>
      </c>
      <c r="F172">
        <v>6</v>
      </c>
      <c r="G172">
        <v>1443</v>
      </c>
      <c r="H172" t="s">
        <v>1320</v>
      </c>
    </row>
    <row r="173" spans="1:8">
      <c r="A173" t="s">
        <v>1178</v>
      </c>
      <c r="C173">
        <v>961</v>
      </c>
      <c r="E173" t="s">
        <v>1311</v>
      </c>
      <c r="F173">
        <v>6</v>
      </c>
      <c r="G173">
        <v>963</v>
      </c>
      <c r="H173" t="s">
        <v>1320</v>
      </c>
    </row>
    <row r="174" spans="1:8">
      <c r="A174" t="s">
        <v>1174</v>
      </c>
      <c r="C174">
        <v>3287</v>
      </c>
      <c r="E174" t="s">
        <v>1311</v>
      </c>
      <c r="F174">
        <v>6</v>
      </c>
      <c r="G174">
        <v>3289</v>
      </c>
      <c r="H174" t="s">
        <v>1320</v>
      </c>
    </row>
    <row r="175" spans="1:8">
      <c r="A175" t="s">
        <v>1176</v>
      </c>
      <c r="C175">
        <v>11500</v>
      </c>
      <c r="E175" t="s">
        <v>1311</v>
      </c>
      <c r="F175">
        <v>6</v>
      </c>
      <c r="G175">
        <v>11500</v>
      </c>
      <c r="H175" t="s">
        <v>1320</v>
      </c>
    </row>
    <row r="176" spans="1:8">
      <c r="A176" t="s">
        <v>1177</v>
      </c>
      <c r="C176">
        <v>11500</v>
      </c>
      <c r="E176" t="s">
        <v>1311</v>
      </c>
      <c r="F176">
        <v>6</v>
      </c>
      <c r="G176">
        <v>11500</v>
      </c>
      <c r="H176" t="s">
        <v>1320</v>
      </c>
    </row>
    <row r="177" spans="1:8">
      <c r="A177" t="s">
        <v>1179</v>
      </c>
      <c r="C177">
        <v>4593</v>
      </c>
      <c r="E177" t="s">
        <v>1311</v>
      </c>
      <c r="F177">
        <v>6</v>
      </c>
      <c r="G177">
        <v>4595</v>
      </c>
      <c r="H177" t="s">
        <v>1320</v>
      </c>
    </row>
    <row r="178" spans="1:8">
      <c r="A178" t="s">
        <v>1180</v>
      </c>
      <c r="C178">
        <v>727</v>
      </c>
      <c r="E178" t="s">
        <v>1311</v>
      </c>
      <c r="F178">
        <v>6</v>
      </c>
      <c r="G178">
        <v>729</v>
      </c>
      <c r="H178" t="s">
        <v>1320</v>
      </c>
    </row>
    <row r="179" spans="1:8">
      <c r="A179" t="s">
        <v>1313</v>
      </c>
      <c r="C179">
        <v>990</v>
      </c>
      <c r="E179" t="s">
        <v>1184</v>
      </c>
      <c r="F179">
        <v>2</v>
      </c>
      <c r="G179">
        <v>992</v>
      </c>
      <c r="H179" t="s">
        <v>1320</v>
      </c>
    </row>
    <row r="180" spans="1:8">
      <c r="A180" t="s">
        <v>1183</v>
      </c>
      <c r="C180">
        <v>606</v>
      </c>
      <c r="E180" t="s">
        <v>1184</v>
      </c>
      <c r="F180">
        <v>2</v>
      </c>
      <c r="G180">
        <v>608</v>
      </c>
      <c r="H180" t="s">
        <v>1320</v>
      </c>
    </row>
    <row r="181" spans="1:8">
      <c r="A181" t="s">
        <v>1185</v>
      </c>
      <c r="C181">
        <v>2156</v>
      </c>
      <c r="E181" t="s">
        <v>1184</v>
      </c>
      <c r="F181">
        <v>2</v>
      </c>
      <c r="G181">
        <v>2158</v>
      </c>
      <c r="H181" t="s">
        <v>1320</v>
      </c>
    </row>
    <row r="182" spans="1:8">
      <c r="A182" t="s">
        <v>1186</v>
      </c>
      <c r="C182">
        <v>2706</v>
      </c>
      <c r="E182" t="s">
        <v>1184</v>
      </c>
      <c r="F182">
        <v>2</v>
      </c>
      <c r="G182">
        <v>2708</v>
      </c>
      <c r="H182" t="s">
        <v>1320</v>
      </c>
    </row>
    <row r="183" spans="1:8">
      <c r="A183" t="s">
        <v>1315</v>
      </c>
      <c r="C183">
        <v>632</v>
      </c>
      <c r="E183" t="s">
        <v>1316</v>
      </c>
      <c r="F183">
        <v>4</v>
      </c>
      <c r="G183">
        <v>634</v>
      </c>
      <c r="H183" t="s">
        <v>1320</v>
      </c>
    </row>
    <row r="184" spans="1:8">
      <c r="A184" t="s">
        <v>1317</v>
      </c>
      <c r="C184">
        <v>582</v>
      </c>
      <c r="E184" t="s">
        <v>1316</v>
      </c>
      <c r="F184">
        <v>4</v>
      </c>
      <c r="G184">
        <v>584</v>
      </c>
      <c r="H184" t="s">
        <v>1320</v>
      </c>
    </row>
    <row r="185" spans="1:8">
      <c r="A185" t="s">
        <v>1326</v>
      </c>
      <c r="C185">
        <v>7596</v>
      </c>
      <c r="E185" t="s">
        <v>1208</v>
      </c>
      <c r="F185">
        <v>10</v>
      </c>
      <c r="G185">
        <v>7598</v>
      </c>
      <c r="H185" t="s">
        <v>1422</v>
      </c>
    </row>
    <row r="186" spans="1:8">
      <c r="A186" t="s">
        <v>1330</v>
      </c>
      <c r="C186">
        <v>191</v>
      </c>
      <c r="E186" t="s">
        <v>1226</v>
      </c>
      <c r="F186">
        <v>4</v>
      </c>
      <c r="G186">
        <v>193</v>
      </c>
      <c r="H186" t="s">
        <v>1422</v>
      </c>
    </row>
    <row r="187" spans="1:8">
      <c r="A187" t="s">
        <v>1331</v>
      </c>
      <c r="C187">
        <v>133</v>
      </c>
      <c r="E187" t="s">
        <v>1226</v>
      </c>
      <c r="F187">
        <v>4</v>
      </c>
      <c r="G187">
        <v>135</v>
      </c>
      <c r="H187" t="s">
        <v>1422</v>
      </c>
    </row>
    <row r="188" spans="1:8">
      <c r="A188" t="s">
        <v>1332</v>
      </c>
      <c r="C188">
        <v>298</v>
      </c>
      <c r="E188" t="s">
        <v>1226</v>
      </c>
      <c r="F188">
        <v>4</v>
      </c>
      <c r="G188">
        <v>300</v>
      </c>
      <c r="H188" t="s">
        <v>1422</v>
      </c>
    </row>
    <row r="189" spans="1:8">
      <c r="A189" t="s">
        <v>1333</v>
      </c>
      <c r="C189">
        <v>181</v>
      </c>
      <c r="E189" t="s">
        <v>1226</v>
      </c>
      <c r="F189">
        <v>4</v>
      </c>
      <c r="G189">
        <v>183</v>
      </c>
      <c r="H189" t="s">
        <v>1422</v>
      </c>
    </row>
    <row r="190" spans="1:8">
      <c r="A190" t="s">
        <v>1334</v>
      </c>
      <c r="C190">
        <v>285</v>
      </c>
      <c r="E190" t="s">
        <v>1226</v>
      </c>
      <c r="F190">
        <v>4</v>
      </c>
      <c r="G190">
        <v>287</v>
      </c>
      <c r="H190" t="s">
        <v>1422</v>
      </c>
    </row>
    <row r="191" spans="1:8">
      <c r="A191" t="s">
        <v>1335</v>
      </c>
      <c r="C191">
        <v>640</v>
      </c>
      <c r="E191" t="s">
        <v>1226</v>
      </c>
      <c r="F191">
        <v>4</v>
      </c>
      <c r="G191">
        <v>642</v>
      </c>
      <c r="H191" t="s">
        <v>1422</v>
      </c>
    </row>
    <row r="192" spans="1:8">
      <c r="A192" t="s">
        <v>1336</v>
      </c>
      <c r="C192">
        <v>596</v>
      </c>
      <c r="E192" t="s">
        <v>1226</v>
      </c>
      <c r="F192">
        <v>4</v>
      </c>
      <c r="G192">
        <v>598</v>
      </c>
      <c r="H192" t="s">
        <v>1422</v>
      </c>
    </row>
    <row r="193" spans="1:8">
      <c r="A193" t="s">
        <v>1337</v>
      </c>
      <c r="C193">
        <v>1138</v>
      </c>
      <c r="E193" t="s">
        <v>1226</v>
      </c>
      <c r="F193">
        <v>4</v>
      </c>
      <c r="G193">
        <v>1140</v>
      </c>
      <c r="H193" t="s">
        <v>1422</v>
      </c>
    </row>
    <row r="194" spans="1:8">
      <c r="A194" t="s">
        <v>1338</v>
      </c>
      <c r="C194">
        <v>567</v>
      </c>
      <c r="E194" t="s">
        <v>1226</v>
      </c>
      <c r="F194">
        <v>4</v>
      </c>
      <c r="G194">
        <v>569</v>
      </c>
      <c r="H194" t="s">
        <v>1422</v>
      </c>
    </row>
    <row r="195" spans="1:8">
      <c r="A195" t="s">
        <v>1339</v>
      </c>
      <c r="C195">
        <v>1236</v>
      </c>
      <c r="E195" t="s">
        <v>1226</v>
      </c>
      <c r="F195">
        <v>4</v>
      </c>
      <c r="G195">
        <v>1238</v>
      </c>
      <c r="H195" t="s">
        <v>1422</v>
      </c>
    </row>
    <row r="196" spans="1:8">
      <c r="A196" t="s">
        <v>1340</v>
      </c>
      <c r="C196">
        <v>1478</v>
      </c>
      <c r="E196" t="s">
        <v>1226</v>
      </c>
      <c r="F196">
        <v>4</v>
      </c>
      <c r="G196">
        <v>1480</v>
      </c>
      <c r="H196" t="s">
        <v>1422</v>
      </c>
    </row>
    <row r="197" spans="1:8">
      <c r="A197" t="s">
        <v>1341</v>
      </c>
      <c r="C197">
        <v>1138</v>
      </c>
      <c r="E197" t="s">
        <v>1226</v>
      </c>
      <c r="F197">
        <v>4</v>
      </c>
      <c r="G197">
        <v>1140</v>
      </c>
      <c r="H197" t="s">
        <v>1422</v>
      </c>
    </row>
    <row r="198" spans="1:8">
      <c r="A198" t="s">
        <v>1342</v>
      </c>
      <c r="C198">
        <v>567</v>
      </c>
      <c r="E198" t="s">
        <v>1226</v>
      </c>
      <c r="F198">
        <v>4</v>
      </c>
      <c r="G198">
        <v>569</v>
      </c>
      <c r="H198" t="s">
        <v>1422</v>
      </c>
    </row>
    <row r="199" spans="1:8">
      <c r="A199" t="s">
        <v>1343</v>
      </c>
      <c r="C199">
        <v>1236</v>
      </c>
      <c r="E199" t="s">
        <v>1226</v>
      </c>
      <c r="F199">
        <v>4</v>
      </c>
      <c r="G199">
        <v>1238</v>
      </c>
      <c r="H199" t="s">
        <v>1422</v>
      </c>
    </row>
    <row r="200" spans="1:8">
      <c r="A200" t="s">
        <v>1344</v>
      </c>
      <c r="C200">
        <v>1138</v>
      </c>
      <c r="E200" t="s">
        <v>1226</v>
      </c>
      <c r="F200">
        <v>4</v>
      </c>
      <c r="G200">
        <v>1140</v>
      </c>
      <c r="H200" t="s">
        <v>1422</v>
      </c>
    </row>
    <row r="201" spans="1:8">
      <c r="A201" t="s">
        <v>1345</v>
      </c>
      <c r="C201">
        <v>567</v>
      </c>
      <c r="E201" t="s">
        <v>1226</v>
      </c>
      <c r="F201">
        <v>4</v>
      </c>
      <c r="G201">
        <v>569</v>
      </c>
      <c r="H201" t="s">
        <v>1422</v>
      </c>
    </row>
    <row r="202" spans="1:8">
      <c r="A202" t="s">
        <v>1346</v>
      </c>
      <c r="C202">
        <v>1236</v>
      </c>
      <c r="E202" t="s">
        <v>1226</v>
      </c>
      <c r="F202">
        <v>4</v>
      </c>
      <c r="G202">
        <v>1238</v>
      </c>
      <c r="H202" t="s">
        <v>1422</v>
      </c>
    </row>
    <row r="203" spans="1:8">
      <c r="A203" t="s">
        <v>1347</v>
      </c>
      <c r="C203">
        <v>1478</v>
      </c>
      <c r="E203" t="s">
        <v>1226</v>
      </c>
      <c r="F203">
        <v>4</v>
      </c>
      <c r="G203">
        <v>1480</v>
      </c>
      <c r="H203" t="s">
        <v>1422</v>
      </c>
    </row>
    <row r="204" spans="1:8">
      <c r="A204" t="s">
        <v>1348</v>
      </c>
      <c r="C204">
        <v>1478</v>
      </c>
      <c r="E204" t="s">
        <v>1226</v>
      </c>
      <c r="F204">
        <v>4</v>
      </c>
      <c r="G204">
        <v>1480</v>
      </c>
      <c r="H204" t="s">
        <v>1422</v>
      </c>
    </row>
    <row r="205" spans="1:8">
      <c r="A205" t="s">
        <v>1349</v>
      </c>
      <c r="C205">
        <v>1138</v>
      </c>
      <c r="E205" t="s">
        <v>1226</v>
      </c>
      <c r="F205">
        <v>4</v>
      </c>
      <c r="G205">
        <v>1140</v>
      </c>
      <c r="H205" t="s">
        <v>1422</v>
      </c>
    </row>
    <row r="206" spans="1:8">
      <c r="A206" t="s">
        <v>1350</v>
      </c>
      <c r="C206">
        <v>567</v>
      </c>
      <c r="E206" t="s">
        <v>1226</v>
      </c>
      <c r="F206">
        <v>4</v>
      </c>
      <c r="G206">
        <v>569</v>
      </c>
      <c r="H206" t="s">
        <v>1422</v>
      </c>
    </row>
    <row r="207" spans="1:8">
      <c r="A207" t="s">
        <v>1351</v>
      </c>
      <c r="C207">
        <v>1236</v>
      </c>
      <c r="E207" t="s">
        <v>1226</v>
      </c>
      <c r="F207">
        <v>4</v>
      </c>
      <c r="G207">
        <v>1238</v>
      </c>
      <c r="H207" t="s">
        <v>1422</v>
      </c>
    </row>
    <row r="208" spans="1:8">
      <c r="A208" t="s">
        <v>1353</v>
      </c>
      <c r="C208">
        <v>11500</v>
      </c>
      <c r="E208" t="s">
        <v>1248</v>
      </c>
      <c r="F208">
        <v>6</v>
      </c>
      <c r="G208">
        <v>11500</v>
      </c>
      <c r="H208" t="s">
        <v>1422</v>
      </c>
    </row>
    <row r="209" spans="1:8">
      <c r="A209" t="s">
        <v>1354</v>
      </c>
      <c r="C209">
        <v>763</v>
      </c>
      <c r="E209" t="s">
        <v>1248</v>
      </c>
      <c r="F209">
        <v>6</v>
      </c>
      <c r="G209">
        <v>765</v>
      </c>
      <c r="H209" t="s">
        <v>1422</v>
      </c>
    </row>
    <row r="210" spans="1:8">
      <c r="A210" t="s">
        <v>1355</v>
      </c>
      <c r="C210">
        <v>1284</v>
      </c>
      <c r="E210" t="s">
        <v>1248</v>
      </c>
      <c r="F210">
        <v>6</v>
      </c>
      <c r="G210">
        <v>1286</v>
      </c>
      <c r="H210" t="s">
        <v>1422</v>
      </c>
    </row>
    <row r="211" spans="1:8">
      <c r="A211" t="s">
        <v>1356</v>
      </c>
      <c r="C211">
        <v>11500</v>
      </c>
      <c r="E211" t="s">
        <v>1248</v>
      </c>
      <c r="F211">
        <v>6</v>
      </c>
      <c r="G211">
        <v>11500</v>
      </c>
      <c r="H211" t="s">
        <v>1422</v>
      </c>
    </row>
    <row r="212" spans="1:8">
      <c r="A212" t="s">
        <v>1357</v>
      </c>
      <c r="C212">
        <v>441</v>
      </c>
      <c r="E212" t="s">
        <v>1248</v>
      </c>
      <c r="F212">
        <v>6</v>
      </c>
      <c r="G212">
        <v>443</v>
      </c>
      <c r="H212" t="s">
        <v>1422</v>
      </c>
    </row>
    <row r="213" spans="1:8">
      <c r="A213" t="s">
        <v>1358</v>
      </c>
      <c r="C213">
        <v>11500</v>
      </c>
      <c r="E213" t="s">
        <v>1248</v>
      </c>
      <c r="F213">
        <v>6</v>
      </c>
      <c r="G213">
        <v>11500</v>
      </c>
      <c r="H213" t="s">
        <v>1422</v>
      </c>
    </row>
    <row r="214" spans="1:8">
      <c r="A214" t="s">
        <v>1359</v>
      </c>
      <c r="C214">
        <v>7462</v>
      </c>
      <c r="E214" t="s">
        <v>1248</v>
      </c>
      <c r="F214">
        <v>6</v>
      </c>
      <c r="G214">
        <v>7464</v>
      </c>
      <c r="H214" t="s">
        <v>1422</v>
      </c>
    </row>
    <row r="215" spans="1:8">
      <c r="A215" t="s">
        <v>1360</v>
      </c>
      <c r="C215">
        <v>541</v>
      </c>
      <c r="E215" t="s">
        <v>1248</v>
      </c>
      <c r="F215">
        <v>6</v>
      </c>
      <c r="G215">
        <v>543</v>
      </c>
      <c r="H215" t="s">
        <v>1422</v>
      </c>
    </row>
    <row r="216" spans="1:8">
      <c r="A216" t="s">
        <v>1361</v>
      </c>
      <c r="C216">
        <v>10487</v>
      </c>
      <c r="E216" t="s">
        <v>1248</v>
      </c>
      <c r="F216">
        <v>6</v>
      </c>
      <c r="G216">
        <v>10489</v>
      </c>
      <c r="H216" t="s">
        <v>1422</v>
      </c>
    </row>
    <row r="217" spans="1:8">
      <c r="A217" t="s">
        <v>1362</v>
      </c>
      <c r="C217">
        <v>11500</v>
      </c>
      <c r="E217" t="s">
        <v>1248</v>
      </c>
      <c r="F217">
        <v>6</v>
      </c>
      <c r="G217">
        <v>11500</v>
      </c>
      <c r="H217" t="s">
        <v>1422</v>
      </c>
    </row>
    <row r="218" spans="1:8">
      <c r="A218" t="s">
        <v>1363</v>
      </c>
      <c r="C218">
        <v>11500</v>
      </c>
      <c r="E218" t="s">
        <v>1248</v>
      </c>
      <c r="F218">
        <v>6</v>
      </c>
      <c r="G218">
        <v>11500</v>
      </c>
      <c r="H218" t="s">
        <v>1422</v>
      </c>
    </row>
    <row r="219" spans="1:8">
      <c r="A219" t="s">
        <v>1364</v>
      </c>
      <c r="C219">
        <v>541</v>
      </c>
      <c r="E219" t="s">
        <v>1248</v>
      </c>
      <c r="F219">
        <v>6</v>
      </c>
      <c r="G219">
        <v>543</v>
      </c>
      <c r="H219" t="s">
        <v>1422</v>
      </c>
    </row>
    <row r="220" spans="1:8">
      <c r="A220" t="s">
        <v>1365</v>
      </c>
      <c r="C220">
        <v>6864</v>
      </c>
      <c r="E220" t="s">
        <v>1248</v>
      </c>
      <c r="F220">
        <v>6</v>
      </c>
      <c r="G220">
        <v>6866</v>
      </c>
      <c r="H220" t="s">
        <v>1422</v>
      </c>
    </row>
    <row r="221" spans="1:8">
      <c r="A221" t="s">
        <v>1366</v>
      </c>
      <c r="C221">
        <v>9541</v>
      </c>
      <c r="E221" t="s">
        <v>1248</v>
      </c>
      <c r="F221">
        <v>6</v>
      </c>
      <c r="G221">
        <v>9543</v>
      </c>
      <c r="H221" t="s">
        <v>1422</v>
      </c>
    </row>
    <row r="222" spans="1:8">
      <c r="A222" t="s">
        <v>1367</v>
      </c>
      <c r="C222">
        <v>2771</v>
      </c>
      <c r="E222" t="s">
        <v>1248</v>
      </c>
      <c r="F222">
        <v>6</v>
      </c>
      <c r="G222">
        <v>2773</v>
      </c>
      <c r="H222" t="s">
        <v>1422</v>
      </c>
    </row>
    <row r="223" spans="1:8">
      <c r="A223" t="s">
        <v>1368</v>
      </c>
      <c r="C223">
        <v>602</v>
      </c>
      <c r="E223" t="s">
        <v>1248</v>
      </c>
      <c r="F223">
        <v>6</v>
      </c>
      <c r="G223">
        <v>604</v>
      </c>
      <c r="H223" t="s">
        <v>1422</v>
      </c>
    </row>
    <row r="224" spans="1:8">
      <c r="A224" t="s">
        <v>1370</v>
      </c>
      <c r="C224">
        <v>1998</v>
      </c>
      <c r="E224" t="s">
        <v>1427</v>
      </c>
      <c r="F224">
        <v>8</v>
      </c>
      <c r="G224">
        <v>2000</v>
      </c>
      <c r="H224" t="s">
        <v>1422</v>
      </c>
    </row>
    <row r="225" spans="1:8">
      <c r="A225" t="s">
        <v>1373</v>
      </c>
      <c r="C225">
        <v>1744</v>
      </c>
      <c r="E225" t="s">
        <v>1426</v>
      </c>
      <c r="F225">
        <v>8</v>
      </c>
      <c r="G225">
        <v>1746</v>
      </c>
      <c r="H225" t="s">
        <v>1422</v>
      </c>
    </row>
    <row r="226" spans="1:8">
      <c r="A226" t="s">
        <v>1374</v>
      </c>
      <c r="C226">
        <v>782</v>
      </c>
      <c r="E226" t="s">
        <v>1426</v>
      </c>
      <c r="F226">
        <v>8</v>
      </c>
      <c r="G226">
        <v>784</v>
      </c>
      <c r="H226" t="s">
        <v>1422</v>
      </c>
    </row>
    <row r="227" spans="1:8">
      <c r="A227" t="s">
        <v>1375</v>
      </c>
      <c r="C227">
        <v>1744</v>
      </c>
      <c r="E227" t="s">
        <v>1426</v>
      </c>
      <c r="F227">
        <v>8</v>
      </c>
      <c r="G227">
        <v>1746</v>
      </c>
      <c r="H227" t="s">
        <v>1422</v>
      </c>
    </row>
    <row r="228" spans="1:8">
      <c r="A228" t="s">
        <v>1376</v>
      </c>
      <c r="C228">
        <v>432</v>
      </c>
      <c r="E228" t="s">
        <v>1426</v>
      </c>
      <c r="F228">
        <v>8</v>
      </c>
      <c r="G228">
        <v>434</v>
      </c>
      <c r="H228" t="s">
        <v>1422</v>
      </c>
    </row>
    <row r="229" spans="1:8">
      <c r="A229" t="s">
        <v>1377</v>
      </c>
      <c r="C229">
        <v>1744</v>
      </c>
      <c r="E229" t="s">
        <v>1426</v>
      </c>
      <c r="F229">
        <v>8</v>
      </c>
      <c r="G229">
        <v>1746</v>
      </c>
      <c r="H229" t="s">
        <v>1422</v>
      </c>
    </row>
    <row r="230" spans="1:8">
      <c r="A230" t="s">
        <v>1378</v>
      </c>
      <c r="C230">
        <v>432</v>
      </c>
      <c r="E230" t="s">
        <v>1426</v>
      </c>
      <c r="F230">
        <v>8</v>
      </c>
      <c r="G230">
        <v>434</v>
      </c>
      <c r="H230" t="s">
        <v>1422</v>
      </c>
    </row>
    <row r="231" spans="1:8">
      <c r="A231" t="s">
        <v>1379</v>
      </c>
      <c r="C231">
        <v>1744</v>
      </c>
      <c r="E231" t="s">
        <v>1426</v>
      </c>
      <c r="F231">
        <v>8</v>
      </c>
      <c r="G231">
        <v>1746</v>
      </c>
      <c r="H231" t="s">
        <v>1422</v>
      </c>
    </row>
    <row r="232" spans="1:8">
      <c r="A232" t="s">
        <v>1380</v>
      </c>
      <c r="C232">
        <v>432</v>
      </c>
      <c r="E232" t="s">
        <v>1426</v>
      </c>
      <c r="F232">
        <v>8</v>
      </c>
      <c r="G232">
        <v>434</v>
      </c>
      <c r="H232" t="s">
        <v>1422</v>
      </c>
    </row>
    <row r="233" spans="1:8">
      <c r="A233" t="s">
        <v>1383</v>
      </c>
      <c r="C233">
        <v>693</v>
      </c>
      <c r="E233" t="s">
        <v>1309</v>
      </c>
      <c r="F233">
        <v>4</v>
      </c>
      <c r="G233">
        <v>695</v>
      </c>
      <c r="H233" t="s">
        <v>1422</v>
      </c>
    </row>
    <row r="234" spans="1:8">
      <c r="A234" t="s">
        <v>1384</v>
      </c>
      <c r="C234">
        <v>11500</v>
      </c>
      <c r="E234" t="s">
        <v>1309</v>
      </c>
      <c r="F234">
        <v>4</v>
      </c>
      <c r="G234">
        <v>11500</v>
      </c>
      <c r="H234" t="s">
        <v>1422</v>
      </c>
    </row>
    <row r="235" spans="1:8">
      <c r="A235" t="s">
        <v>1386</v>
      </c>
      <c r="C235">
        <v>641</v>
      </c>
      <c r="E235" t="s">
        <v>1311</v>
      </c>
      <c r="F235">
        <v>6</v>
      </c>
      <c r="G235">
        <v>643</v>
      </c>
      <c r="H235" t="s">
        <v>1422</v>
      </c>
    </row>
    <row r="236" spans="1:8">
      <c r="A236" t="s">
        <v>1387</v>
      </c>
      <c r="C236">
        <v>8060</v>
      </c>
      <c r="E236" t="s">
        <v>1311</v>
      </c>
      <c r="F236">
        <v>6</v>
      </c>
      <c r="G236">
        <v>8062</v>
      </c>
      <c r="H236" t="s">
        <v>1422</v>
      </c>
    </row>
    <row r="237" spans="1:8">
      <c r="A237" t="s">
        <v>1388</v>
      </c>
      <c r="C237">
        <v>1919</v>
      </c>
      <c r="E237" t="s">
        <v>1311</v>
      </c>
      <c r="F237">
        <v>6</v>
      </c>
      <c r="G237">
        <v>1921</v>
      </c>
      <c r="H237" t="s">
        <v>1422</v>
      </c>
    </row>
    <row r="238" spans="1:8">
      <c r="A238" t="s">
        <v>1389</v>
      </c>
      <c r="C238">
        <v>2841</v>
      </c>
      <c r="E238" t="s">
        <v>1311</v>
      </c>
      <c r="F238">
        <v>6</v>
      </c>
      <c r="G238">
        <v>2843</v>
      </c>
      <c r="H238" t="s">
        <v>1422</v>
      </c>
    </row>
    <row r="239" spans="1:8">
      <c r="A239" t="s">
        <v>1391</v>
      </c>
      <c r="C239">
        <v>285</v>
      </c>
      <c r="E239" t="s">
        <v>1425</v>
      </c>
      <c r="F239">
        <v>3</v>
      </c>
      <c r="G239">
        <v>287</v>
      </c>
      <c r="H239" t="s">
        <v>1422</v>
      </c>
    </row>
    <row r="240" spans="1:8">
      <c r="A240" t="s">
        <v>1392</v>
      </c>
      <c r="C240">
        <v>1818</v>
      </c>
      <c r="E240" t="s">
        <v>1425</v>
      </c>
      <c r="F240">
        <v>3</v>
      </c>
      <c r="G240">
        <v>1820</v>
      </c>
      <c r="H240" t="s">
        <v>1422</v>
      </c>
    </row>
    <row r="241" spans="1:8">
      <c r="A241" t="s">
        <v>1395</v>
      </c>
      <c r="C241">
        <v>498</v>
      </c>
      <c r="E241" t="s">
        <v>1316</v>
      </c>
      <c r="F241">
        <v>4</v>
      </c>
      <c r="G241">
        <v>500</v>
      </c>
      <c r="H241" t="s">
        <v>1422</v>
      </c>
    </row>
    <row r="242" spans="1:8">
      <c r="A242" t="s">
        <v>1396</v>
      </c>
      <c r="C242">
        <v>2906</v>
      </c>
      <c r="E242" t="s">
        <v>1316</v>
      </c>
      <c r="F242">
        <v>4</v>
      </c>
      <c r="G242">
        <v>2908</v>
      </c>
      <c r="H242" t="s">
        <v>1422</v>
      </c>
    </row>
    <row r="243" spans="1:8">
      <c r="A243" t="s">
        <v>1397</v>
      </c>
      <c r="C243">
        <v>1493</v>
      </c>
      <c r="E243" t="s">
        <v>1316</v>
      </c>
      <c r="F243">
        <v>4</v>
      </c>
      <c r="G243">
        <v>1495</v>
      </c>
      <c r="H243" t="s">
        <v>1422</v>
      </c>
    </row>
    <row r="244" spans="1:8">
      <c r="A244" t="s">
        <v>1398</v>
      </c>
      <c r="C244">
        <v>148</v>
      </c>
      <c r="E244" t="s">
        <v>1316</v>
      </c>
      <c r="F244">
        <v>4</v>
      </c>
      <c r="G244">
        <v>150</v>
      </c>
      <c r="H244" t="s">
        <v>1422</v>
      </c>
    </row>
    <row r="245" spans="1:8">
      <c r="A245" t="s">
        <v>1399</v>
      </c>
      <c r="C245">
        <v>148</v>
      </c>
      <c r="E245" t="s">
        <v>1316</v>
      </c>
      <c r="F245">
        <v>4</v>
      </c>
      <c r="G245">
        <v>150</v>
      </c>
      <c r="H245" t="s">
        <v>1422</v>
      </c>
    </row>
    <row r="246" spans="1:8">
      <c r="A246" t="s">
        <v>1400</v>
      </c>
      <c r="C246">
        <v>148</v>
      </c>
      <c r="E246" t="s">
        <v>1316</v>
      </c>
      <c r="F246">
        <v>4</v>
      </c>
      <c r="G246">
        <v>150</v>
      </c>
      <c r="H246" t="s">
        <v>1422</v>
      </c>
    </row>
    <row r="247" spans="1:8">
      <c r="A247" t="s">
        <v>1401</v>
      </c>
      <c r="C247">
        <v>148</v>
      </c>
      <c r="E247" t="s">
        <v>1316</v>
      </c>
      <c r="F247">
        <v>4</v>
      </c>
      <c r="G247">
        <v>150</v>
      </c>
      <c r="H247" t="s">
        <v>1422</v>
      </c>
    </row>
    <row r="248" spans="1:8">
      <c r="A248" t="s">
        <v>1403</v>
      </c>
      <c r="C248">
        <v>3714</v>
      </c>
      <c r="E248" t="s">
        <v>1424</v>
      </c>
      <c r="F248">
        <v>28</v>
      </c>
      <c r="G248">
        <v>3716</v>
      </c>
      <c r="H248" t="s">
        <v>1422</v>
      </c>
    </row>
    <row r="249" spans="1:8">
      <c r="A249" t="s">
        <v>1404</v>
      </c>
      <c r="C249">
        <v>8207</v>
      </c>
      <c r="E249" t="s">
        <v>1424</v>
      </c>
      <c r="F249">
        <v>28</v>
      </c>
      <c r="G249">
        <v>8209</v>
      </c>
      <c r="H249" t="s">
        <v>1422</v>
      </c>
    </row>
    <row r="250" spans="1:8">
      <c r="A250" t="s">
        <v>1405</v>
      </c>
      <c r="C250">
        <v>1857</v>
      </c>
      <c r="E250" t="s">
        <v>1424</v>
      </c>
      <c r="F250">
        <v>28</v>
      </c>
      <c r="G250">
        <v>1859</v>
      </c>
      <c r="H250" t="s">
        <v>1422</v>
      </c>
    </row>
    <row r="251" spans="1:8">
      <c r="A251" t="s">
        <v>1406</v>
      </c>
      <c r="C251">
        <v>3057</v>
      </c>
      <c r="E251" t="s">
        <v>1424</v>
      </c>
      <c r="F251">
        <v>28</v>
      </c>
      <c r="G251">
        <v>3059</v>
      </c>
      <c r="H251" t="s">
        <v>1422</v>
      </c>
    </row>
    <row r="252" spans="1:8">
      <c r="A252" t="s">
        <v>1407</v>
      </c>
      <c r="C252">
        <v>11500</v>
      </c>
      <c r="E252" t="s">
        <v>1424</v>
      </c>
      <c r="F252">
        <v>28</v>
      </c>
      <c r="G252">
        <v>11500</v>
      </c>
      <c r="H252" t="s">
        <v>1422</v>
      </c>
    </row>
    <row r="253" spans="1:8">
      <c r="A253" t="s">
        <v>1408</v>
      </c>
      <c r="C253">
        <v>11500</v>
      </c>
      <c r="E253" t="s">
        <v>1424</v>
      </c>
      <c r="F253">
        <v>28</v>
      </c>
      <c r="G253">
        <v>11500</v>
      </c>
      <c r="H253" t="s">
        <v>1422</v>
      </c>
    </row>
    <row r="254" spans="1:8">
      <c r="A254" t="s">
        <v>1412</v>
      </c>
      <c r="C254">
        <v>11500</v>
      </c>
      <c r="E254" t="s">
        <v>1423</v>
      </c>
      <c r="F254">
        <v>30</v>
      </c>
      <c r="G254">
        <v>11500</v>
      </c>
      <c r="H254" t="s">
        <v>1422</v>
      </c>
    </row>
    <row r="255" spans="1:8">
      <c r="A255" t="s">
        <v>1413</v>
      </c>
      <c r="C255">
        <v>11500</v>
      </c>
      <c r="E255" t="s">
        <v>1423</v>
      </c>
      <c r="F255">
        <v>30</v>
      </c>
      <c r="G255">
        <v>11500</v>
      </c>
      <c r="H255" t="s">
        <v>1422</v>
      </c>
    </row>
    <row r="256" spans="1:8">
      <c r="A256" t="s">
        <v>1417</v>
      </c>
      <c r="C256">
        <v>1478</v>
      </c>
      <c r="E256" t="s">
        <v>1418</v>
      </c>
      <c r="F256">
        <v>76</v>
      </c>
      <c r="G256">
        <v>1480</v>
      </c>
      <c r="H256" t="s">
        <v>1422</v>
      </c>
    </row>
    <row r="257" spans="1:8">
      <c r="A257" t="s">
        <v>1428</v>
      </c>
      <c r="C257">
        <v>11500</v>
      </c>
      <c r="E257" t="s">
        <v>1208</v>
      </c>
      <c r="F257">
        <v>10</v>
      </c>
      <c r="G257">
        <v>11500</v>
      </c>
      <c r="H257" t="s">
        <v>1656</v>
      </c>
    </row>
    <row r="258" spans="1:8">
      <c r="A258" t="s">
        <v>1429</v>
      </c>
      <c r="C258">
        <v>2816</v>
      </c>
      <c r="E258" t="s">
        <v>1208</v>
      </c>
      <c r="F258">
        <v>10</v>
      </c>
      <c r="G258">
        <v>2818</v>
      </c>
      <c r="H258" t="s">
        <v>1656</v>
      </c>
    </row>
    <row r="259" spans="1:8">
      <c r="A259" t="s">
        <v>1430</v>
      </c>
      <c r="C259">
        <v>2816</v>
      </c>
      <c r="E259" t="s">
        <v>1208</v>
      </c>
      <c r="F259">
        <v>10</v>
      </c>
      <c r="G259">
        <v>2818</v>
      </c>
      <c r="H259" t="s">
        <v>1656</v>
      </c>
    </row>
    <row r="260" spans="1:8">
      <c r="A260" t="s">
        <v>1431</v>
      </c>
      <c r="C260">
        <v>2816</v>
      </c>
      <c r="E260" t="s">
        <v>1208</v>
      </c>
      <c r="F260">
        <v>10</v>
      </c>
      <c r="G260">
        <v>2818</v>
      </c>
      <c r="H260" t="s">
        <v>1656</v>
      </c>
    </row>
    <row r="261" spans="1:8">
      <c r="A261" t="s">
        <v>1432</v>
      </c>
      <c r="C261">
        <v>2816</v>
      </c>
      <c r="E261" t="s">
        <v>1208</v>
      </c>
      <c r="F261">
        <v>10</v>
      </c>
      <c r="G261">
        <v>2818</v>
      </c>
      <c r="H261" t="s">
        <v>1656</v>
      </c>
    </row>
    <row r="262" spans="1:8">
      <c r="A262" t="s">
        <v>1433</v>
      </c>
      <c r="C262">
        <v>2816</v>
      </c>
      <c r="E262" t="s">
        <v>1208</v>
      </c>
      <c r="F262">
        <v>10</v>
      </c>
      <c r="G262">
        <v>2818</v>
      </c>
      <c r="H262" t="s">
        <v>1656</v>
      </c>
    </row>
    <row r="263" spans="1:8">
      <c r="A263" t="s">
        <v>1434</v>
      </c>
      <c r="C263">
        <v>2650</v>
      </c>
      <c r="E263" t="s">
        <v>1208</v>
      </c>
      <c r="F263">
        <v>10</v>
      </c>
      <c r="G263">
        <v>2652</v>
      </c>
      <c r="H263" t="s">
        <v>1656</v>
      </c>
    </row>
    <row r="264" spans="1:8">
      <c r="A264" t="s">
        <v>1435</v>
      </c>
      <c r="C264">
        <v>2065</v>
      </c>
      <c r="E264" t="s">
        <v>1208</v>
      </c>
      <c r="F264">
        <v>10</v>
      </c>
      <c r="G264">
        <v>2067</v>
      </c>
      <c r="H264" t="s">
        <v>1656</v>
      </c>
    </row>
    <row r="265" spans="1:8">
      <c r="A265" t="s">
        <v>1438</v>
      </c>
      <c r="C265">
        <v>11500</v>
      </c>
      <c r="E265" t="s">
        <v>1216</v>
      </c>
      <c r="F265">
        <v>12</v>
      </c>
      <c r="G265">
        <v>11500</v>
      </c>
      <c r="H265" t="s">
        <v>1656</v>
      </c>
    </row>
    <row r="266" spans="1:8">
      <c r="A266" t="s">
        <v>1439</v>
      </c>
      <c r="C266">
        <v>11500</v>
      </c>
      <c r="E266" t="s">
        <v>1216</v>
      </c>
      <c r="F266">
        <v>12</v>
      </c>
      <c r="G266">
        <v>11500</v>
      </c>
      <c r="H266" t="s">
        <v>1656</v>
      </c>
    </row>
    <row r="267" spans="1:8">
      <c r="A267" t="s">
        <v>1440</v>
      </c>
      <c r="C267">
        <v>11500</v>
      </c>
      <c r="E267" t="s">
        <v>1216</v>
      </c>
      <c r="F267">
        <v>12</v>
      </c>
      <c r="G267">
        <v>11500</v>
      </c>
      <c r="H267" t="s">
        <v>1656</v>
      </c>
    </row>
    <row r="268" spans="1:8">
      <c r="A268" t="s">
        <v>1441</v>
      </c>
      <c r="C268">
        <v>11500</v>
      </c>
      <c r="E268" t="s">
        <v>1216</v>
      </c>
      <c r="F268">
        <v>12</v>
      </c>
      <c r="G268">
        <v>11500</v>
      </c>
      <c r="H268" t="s">
        <v>1656</v>
      </c>
    </row>
    <row r="269" spans="1:8">
      <c r="A269" t="s">
        <v>1442</v>
      </c>
      <c r="C269">
        <v>11500</v>
      </c>
      <c r="E269" t="s">
        <v>1216</v>
      </c>
      <c r="F269">
        <v>12</v>
      </c>
      <c r="G269">
        <v>11500</v>
      </c>
      <c r="H269" t="s">
        <v>1656</v>
      </c>
    </row>
    <row r="270" spans="1:8">
      <c r="A270" t="s">
        <v>1443</v>
      </c>
      <c r="C270">
        <v>11500</v>
      </c>
      <c r="E270" t="s">
        <v>1216</v>
      </c>
      <c r="F270">
        <v>12</v>
      </c>
      <c r="G270">
        <v>11500</v>
      </c>
      <c r="H270" t="s">
        <v>1656</v>
      </c>
    </row>
    <row r="271" spans="1:8">
      <c r="A271" t="s">
        <v>1437</v>
      </c>
      <c r="C271">
        <v>419</v>
      </c>
      <c r="E271" t="s">
        <v>1216</v>
      </c>
      <c r="F271">
        <v>12</v>
      </c>
      <c r="G271">
        <v>421</v>
      </c>
      <c r="H271" t="s">
        <v>1656</v>
      </c>
    </row>
    <row r="272" spans="1:8">
      <c r="A272" t="s">
        <v>1445</v>
      </c>
      <c r="C272">
        <v>419</v>
      </c>
      <c r="E272" t="s">
        <v>1216</v>
      </c>
      <c r="F272">
        <v>12</v>
      </c>
      <c r="G272">
        <v>421</v>
      </c>
      <c r="H272" t="s">
        <v>1656</v>
      </c>
    </row>
    <row r="273" spans="1:8">
      <c r="A273" t="s">
        <v>1446</v>
      </c>
      <c r="C273">
        <v>2571</v>
      </c>
      <c r="E273" t="s">
        <v>1216</v>
      </c>
      <c r="F273">
        <v>12</v>
      </c>
      <c r="G273">
        <v>2573</v>
      </c>
      <c r="H273" t="s">
        <v>1656</v>
      </c>
    </row>
    <row r="274" spans="1:8">
      <c r="A274" t="s">
        <v>1447</v>
      </c>
      <c r="C274">
        <v>242</v>
      </c>
      <c r="E274" t="s">
        <v>1216</v>
      </c>
      <c r="F274">
        <v>12</v>
      </c>
      <c r="G274">
        <v>244</v>
      </c>
      <c r="H274" t="s">
        <v>1656</v>
      </c>
    </row>
    <row r="275" spans="1:8">
      <c r="A275" t="s">
        <v>1448</v>
      </c>
      <c r="C275">
        <v>202</v>
      </c>
      <c r="E275" t="s">
        <v>1216</v>
      </c>
      <c r="F275">
        <v>12</v>
      </c>
      <c r="G275">
        <v>204</v>
      </c>
      <c r="H275" t="s">
        <v>1656</v>
      </c>
    </row>
    <row r="276" spans="1:8">
      <c r="A276" t="s">
        <v>1449</v>
      </c>
      <c r="C276">
        <v>242</v>
      </c>
      <c r="E276" t="s">
        <v>1216</v>
      </c>
      <c r="F276">
        <v>12</v>
      </c>
      <c r="G276">
        <v>244</v>
      </c>
      <c r="H276" t="s">
        <v>1656</v>
      </c>
    </row>
    <row r="277" spans="1:8">
      <c r="A277" t="s">
        <v>1450</v>
      </c>
      <c r="C277">
        <v>2376</v>
      </c>
      <c r="E277" t="s">
        <v>1216</v>
      </c>
      <c r="F277">
        <v>12</v>
      </c>
      <c r="G277">
        <v>2378</v>
      </c>
      <c r="H277" t="s">
        <v>1656</v>
      </c>
    </row>
    <row r="278" spans="1:8">
      <c r="A278" t="s">
        <v>1451</v>
      </c>
      <c r="C278">
        <v>305</v>
      </c>
      <c r="E278" t="s">
        <v>1216</v>
      </c>
      <c r="F278">
        <v>12</v>
      </c>
      <c r="G278">
        <v>307</v>
      </c>
      <c r="H278" t="s">
        <v>1656</v>
      </c>
    </row>
    <row r="279" spans="1:8">
      <c r="A279" t="s">
        <v>1452</v>
      </c>
      <c r="C279">
        <v>2376</v>
      </c>
      <c r="E279" t="s">
        <v>1216</v>
      </c>
      <c r="F279">
        <v>12</v>
      </c>
      <c r="G279">
        <v>2378</v>
      </c>
      <c r="H279" t="s">
        <v>1656</v>
      </c>
    </row>
    <row r="280" spans="1:8">
      <c r="A280" t="s">
        <v>1453</v>
      </c>
      <c r="C280">
        <v>305</v>
      </c>
      <c r="E280" t="s">
        <v>1216</v>
      </c>
      <c r="F280">
        <v>12</v>
      </c>
      <c r="G280">
        <v>307</v>
      </c>
      <c r="H280" t="s">
        <v>1656</v>
      </c>
    </row>
    <row r="281" spans="1:8">
      <c r="A281" t="s">
        <v>1454</v>
      </c>
      <c r="C281">
        <v>2376</v>
      </c>
      <c r="E281" t="s">
        <v>1216</v>
      </c>
      <c r="F281">
        <v>12</v>
      </c>
      <c r="G281">
        <v>2378</v>
      </c>
      <c r="H281" t="s">
        <v>1656</v>
      </c>
    </row>
    <row r="282" spans="1:8">
      <c r="A282" t="s">
        <v>1455</v>
      </c>
      <c r="C282">
        <v>305</v>
      </c>
      <c r="E282" t="s">
        <v>1216</v>
      </c>
      <c r="F282">
        <v>12</v>
      </c>
      <c r="G282">
        <v>307</v>
      </c>
      <c r="H282" t="s">
        <v>1656</v>
      </c>
    </row>
    <row r="283" spans="1:8">
      <c r="A283" t="s">
        <v>1456</v>
      </c>
      <c r="C283">
        <v>305</v>
      </c>
      <c r="E283" t="s">
        <v>1216</v>
      </c>
      <c r="F283">
        <v>12</v>
      </c>
      <c r="G283">
        <v>307</v>
      </c>
      <c r="H283" t="s">
        <v>1656</v>
      </c>
    </row>
    <row r="284" spans="1:8">
      <c r="A284" t="s">
        <v>1457</v>
      </c>
      <c r="C284">
        <v>5833</v>
      </c>
      <c r="E284" t="s">
        <v>1226</v>
      </c>
      <c r="F284">
        <v>4</v>
      </c>
      <c r="G284">
        <v>5835</v>
      </c>
      <c r="H284" t="s">
        <v>1656</v>
      </c>
    </row>
    <row r="285" spans="1:8">
      <c r="A285" t="s">
        <v>1458</v>
      </c>
      <c r="C285">
        <v>4593</v>
      </c>
      <c r="E285" t="s">
        <v>1226</v>
      </c>
      <c r="F285">
        <v>4</v>
      </c>
      <c r="G285">
        <v>4595</v>
      </c>
      <c r="H285" t="s">
        <v>1656</v>
      </c>
    </row>
    <row r="286" spans="1:8">
      <c r="A286" t="s">
        <v>1459</v>
      </c>
      <c r="C286">
        <v>6943</v>
      </c>
      <c r="E286" t="s">
        <v>1226</v>
      </c>
      <c r="F286">
        <v>4</v>
      </c>
      <c r="G286">
        <v>6945</v>
      </c>
      <c r="H286" t="s">
        <v>1656</v>
      </c>
    </row>
    <row r="287" spans="1:8">
      <c r="A287" t="s">
        <v>1460</v>
      </c>
      <c r="C287">
        <v>3293</v>
      </c>
      <c r="E287" t="s">
        <v>1226</v>
      </c>
      <c r="F287">
        <v>4</v>
      </c>
      <c r="G287">
        <v>3295</v>
      </c>
      <c r="H287" t="s">
        <v>1656</v>
      </c>
    </row>
    <row r="288" spans="1:8">
      <c r="A288" t="s">
        <v>1461</v>
      </c>
      <c r="C288">
        <v>10916</v>
      </c>
      <c r="E288" t="s">
        <v>1226</v>
      </c>
      <c r="F288">
        <v>4</v>
      </c>
      <c r="G288">
        <v>10918</v>
      </c>
      <c r="H288" t="s">
        <v>1656</v>
      </c>
    </row>
    <row r="289" spans="1:8">
      <c r="A289" t="s">
        <v>1462</v>
      </c>
      <c r="C289">
        <v>5998</v>
      </c>
      <c r="E289" t="s">
        <v>1226</v>
      </c>
      <c r="F289">
        <v>4</v>
      </c>
      <c r="G289">
        <v>6000</v>
      </c>
      <c r="H289" t="s">
        <v>1656</v>
      </c>
    </row>
    <row r="290" spans="1:8">
      <c r="A290" t="s">
        <v>1463</v>
      </c>
      <c r="C290">
        <v>11500</v>
      </c>
      <c r="E290" t="s">
        <v>1226</v>
      </c>
      <c r="F290">
        <v>4</v>
      </c>
      <c r="G290">
        <v>11500</v>
      </c>
      <c r="H290" t="s">
        <v>1656</v>
      </c>
    </row>
    <row r="291" spans="1:8">
      <c r="A291" t="s">
        <v>1464</v>
      </c>
      <c r="C291">
        <v>5063</v>
      </c>
      <c r="E291" t="s">
        <v>1226</v>
      </c>
      <c r="F291">
        <v>4</v>
      </c>
      <c r="G291">
        <v>5065</v>
      </c>
      <c r="H291" t="s">
        <v>1656</v>
      </c>
    </row>
    <row r="292" spans="1:8">
      <c r="A292" t="s">
        <v>1465</v>
      </c>
      <c r="C292">
        <v>112</v>
      </c>
      <c r="E292" t="s">
        <v>1226</v>
      </c>
      <c r="F292">
        <v>4</v>
      </c>
      <c r="G292">
        <v>114</v>
      </c>
      <c r="H292" t="s">
        <v>1656</v>
      </c>
    </row>
    <row r="293" spans="1:8">
      <c r="A293" t="s">
        <v>1466</v>
      </c>
      <c r="C293">
        <v>342</v>
      </c>
      <c r="E293" t="s">
        <v>1226</v>
      </c>
      <c r="F293">
        <v>4</v>
      </c>
      <c r="G293">
        <v>344</v>
      </c>
      <c r="H293" t="s">
        <v>1656</v>
      </c>
    </row>
    <row r="294" spans="1:8">
      <c r="A294" t="s">
        <v>1467</v>
      </c>
      <c r="C294">
        <v>2801</v>
      </c>
      <c r="E294" t="s">
        <v>1226</v>
      </c>
      <c r="F294">
        <v>4</v>
      </c>
      <c r="G294">
        <v>2803</v>
      </c>
      <c r="H294" t="s">
        <v>1656</v>
      </c>
    </row>
    <row r="295" spans="1:8">
      <c r="A295" t="s">
        <v>1468</v>
      </c>
      <c r="C295">
        <v>189</v>
      </c>
      <c r="E295" t="s">
        <v>1226</v>
      </c>
      <c r="F295">
        <v>4</v>
      </c>
      <c r="G295">
        <v>191</v>
      </c>
      <c r="H295" t="s">
        <v>1656</v>
      </c>
    </row>
    <row r="296" spans="1:8">
      <c r="A296" t="s">
        <v>1469</v>
      </c>
      <c r="C296">
        <v>189</v>
      </c>
      <c r="E296" t="s">
        <v>1226</v>
      </c>
      <c r="F296">
        <v>4</v>
      </c>
      <c r="G296">
        <v>191</v>
      </c>
      <c r="H296" t="s">
        <v>1656</v>
      </c>
    </row>
    <row r="297" spans="1:8">
      <c r="A297" t="s">
        <v>1470</v>
      </c>
      <c r="C297">
        <v>11500</v>
      </c>
      <c r="E297" t="s">
        <v>1226</v>
      </c>
      <c r="F297">
        <v>4</v>
      </c>
      <c r="G297">
        <v>11500</v>
      </c>
      <c r="H297" t="s">
        <v>1656</v>
      </c>
    </row>
    <row r="298" spans="1:8">
      <c r="A298" t="s">
        <v>1471</v>
      </c>
      <c r="C298">
        <v>1193</v>
      </c>
      <c r="E298" t="s">
        <v>1226</v>
      </c>
      <c r="F298">
        <v>4</v>
      </c>
      <c r="G298">
        <v>1195</v>
      </c>
      <c r="H298" t="s">
        <v>1656</v>
      </c>
    </row>
    <row r="299" spans="1:8">
      <c r="A299" t="s">
        <v>1472</v>
      </c>
      <c r="C299">
        <v>11017</v>
      </c>
      <c r="E299" t="s">
        <v>1226</v>
      </c>
      <c r="F299">
        <v>4</v>
      </c>
      <c r="G299">
        <v>11019</v>
      </c>
      <c r="H299" t="s">
        <v>1656</v>
      </c>
    </row>
    <row r="300" spans="1:8">
      <c r="A300" t="s">
        <v>1473</v>
      </c>
      <c r="C300">
        <v>1693</v>
      </c>
      <c r="E300" t="s">
        <v>1226</v>
      </c>
      <c r="F300">
        <v>4</v>
      </c>
      <c r="G300">
        <v>1695</v>
      </c>
      <c r="H300" t="s">
        <v>1656</v>
      </c>
    </row>
    <row r="301" spans="1:8">
      <c r="A301" t="s">
        <v>1474</v>
      </c>
      <c r="C301">
        <v>8743</v>
      </c>
      <c r="E301" t="s">
        <v>1226</v>
      </c>
      <c r="F301">
        <v>4</v>
      </c>
      <c r="G301">
        <v>8745</v>
      </c>
      <c r="H301" t="s">
        <v>1656</v>
      </c>
    </row>
    <row r="302" spans="1:8">
      <c r="A302" t="s">
        <v>1475</v>
      </c>
      <c r="C302">
        <v>1793</v>
      </c>
      <c r="E302" t="s">
        <v>1226</v>
      </c>
      <c r="F302">
        <v>4</v>
      </c>
      <c r="G302">
        <v>1795</v>
      </c>
      <c r="H302" t="s">
        <v>1656</v>
      </c>
    </row>
    <row r="303" spans="1:8">
      <c r="A303" t="s">
        <v>1479</v>
      </c>
      <c r="C303">
        <v>2741</v>
      </c>
      <c r="E303" t="s">
        <v>1248</v>
      </c>
      <c r="F303">
        <v>6</v>
      </c>
      <c r="G303">
        <v>2743</v>
      </c>
      <c r="H303" t="s">
        <v>1656</v>
      </c>
    </row>
    <row r="304" spans="1:8">
      <c r="A304" t="s">
        <v>1480</v>
      </c>
      <c r="C304">
        <v>1541</v>
      </c>
      <c r="E304" t="s">
        <v>1248</v>
      </c>
      <c r="F304">
        <v>6</v>
      </c>
      <c r="G304">
        <v>1543</v>
      </c>
      <c r="H304" t="s">
        <v>1656</v>
      </c>
    </row>
    <row r="305" spans="1:8">
      <c r="A305" t="s">
        <v>1481</v>
      </c>
      <c r="C305">
        <v>11500</v>
      </c>
      <c r="E305" t="s">
        <v>1248</v>
      </c>
      <c r="F305">
        <v>6</v>
      </c>
      <c r="G305">
        <v>11500</v>
      </c>
      <c r="H305" t="s">
        <v>1656</v>
      </c>
    </row>
    <row r="306" spans="1:8">
      <c r="A306" t="s">
        <v>1482</v>
      </c>
      <c r="C306">
        <v>3266</v>
      </c>
      <c r="E306" t="s">
        <v>1248</v>
      </c>
      <c r="F306">
        <v>6</v>
      </c>
      <c r="G306">
        <v>3268</v>
      </c>
      <c r="H306" t="s">
        <v>1656</v>
      </c>
    </row>
    <row r="307" spans="1:8">
      <c r="A307" t="s">
        <v>1483</v>
      </c>
      <c r="C307">
        <v>11500</v>
      </c>
      <c r="E307" t="s">
        <v>1248</v>
      </c>
      <c r="F307">
        <v>6</v>
      </c>
      <c r="G307">
        <v>11500</v>
      </c>
      <c r="H307" t="s">
        <v>1656</v>
      </c>
    </row>
    <row r="308" spans="1:8">
      <c r="A308" t="s">
        <v>1484</v>
      </c>
      <c r="C308">
        <v>691</v>
      </c>
      <c r="E308" t="s">
        <v>1248</v>
      </c>
      <c r="F308">
        <v>6</v>
      </c>
      <c r="G308">
        <v>693</v>
      </c>
      <c r="H308" t="s">
        <v>1656</v>
      </c>
    </row>
    <row r="309" spans="1:8">
      <c r="A309" t="s">
        <v>1485</v>
      </c>
      <c r="C309">
        <v>2236</v>
      </c>
      <c r="E309" t="s">
        <v>1248</v>
      </c>
      <c r="F309">
        <v>6</v>
      </c>
      <c r="G309">
        <v>2238</v>
      </c>
      <c r="H309" t="s">
        <v>1656</v>
      </c>
    </row>
    <row r="310" spans="1:8">
      <c r="A310" t="s">
        <v>1486</v>
      </c>
      <c r="C310">
        <v>4277</v>
      </c>
      <c r="E310" t="s">
        <v>1248</v>
      </c>
      <c r="F310">
        <v>6</v>
      </c>
      <c r="G310">
        <v>4279</v>
      </c>
      <c r="H310" t="s">
        <v>1656</v>
      </c>
    </row>
    <row r="311" spans="1:8">
      <c r="A311" t="s">
        <v>1487</v>
      </c>
      <c r="C311">
        <v>327</v>
      </c>
      <c r="E311" t="s">
        <v>1248</v>
      </c>
      <c r="F311">
        <v>6</v>
      </c>
      <c r="G311">
        <v>329</v>
      </c>
      <c r="H311" t="s">
        <v>1656</v>
      </c>
    </row>
    <row r="312" spans="1:8">
      <c r="A312" t="s">
        <v>1488</v>
      </c>
      <c r="C312">
        <v>971</v>
      </c>
      <c r="E312" t="s">
        <v>1248</v>
      </c>
      <c r="F312">
        <v>6</v>
      </c>
      <c r="G312">
        <v>973</v>
      </c>
      <c r="H312" t="s">
        <v>1656</v>
      </c>
    </row>
    <row r="313" spans="1:8">
      <c r="A313" t="s">
        <v>1489</v>
      </c>
      <c r="C313">
        <v>298</v>
      </c>
      <c r="E313" t="s">
        <v>1248</v>
      </c>
      <c r="F313">
        <v>6</v>
      </c>
      <c r="G313">
        <v>300</v>
      </c>
      <c r="H313" t="s">
        <v>1656</v>
      </c>
    </row>
    <row r="314" spans="1:8">
      <c r="A314" t="s">
        <v>1477</v>
      </c>
      <c r="C314">
        <v>1057</v>
      </c>
      <c r="E314" t="s">
        <v>1248</v>
      </c>
      <c r="F314">
        <v>6</v>
      </c>
      <c r="G314">
        <v>1059</v>
      </c>
      <c r="H314" t="s">
        <v>1656</v>
      </c>
    </row>
    <row r="315" spans="1:8">
      <c r="A315" t="s">
        <v>1490</v>
      </c>
      <c r="C315">
        <v>298</v>
      </c>
      <c r="E315" t="s">
        <v>1248</v>
      </c>
      <c r="F315">
        <v>6</v>
      </c>
      <c r="G315">
        <v>300</v>
      </c>
      <c r="H315" t="s">
        <v>1656</v>
      </c>
    </row>
    <row r="316" spans="1:8">
      <c r="A316" t="s">
        <v>1491</v>
      </c>
      <c r="C316">
        <v>406</v>
      </c>
      <c r="E316" t="s">
        <v>1248</v>
      </c>
      <c r="F316">
        <v>6</v>
      </c>
      <c r="G316">
        <v>408</v>
      </c>
      <c r="H316" t="s">
        <v>1656</v>
      </c>
    </row>
    <row r="317" spans="1:8">
      <c r="A317" t="s">
        <v>1492</v>
      </c>
      <c r="C317">
        <v>1041</v>
      </c>
      <c r="E317" t="s">
        <v>1248</v>
      </c>
      <c r="F317">
        <v>6</v>
      </c>
      <c r="G317">
        <v>1043</v>
      </c>
      <c r="H317" t="s">
        <v>1656</v>
      </c>
    </row>
    <row r="318" spans="1:8">
      <c r="A318" t="s">
        <v>1493</v>
      </c>
      <c r="C318">
        <v>2884</v>
      </c>
      <c r="E318" t="s">
        <v>1248</v>
      </c>
      <c r="F318">
        <v>6</v>
      </c>
      <c r="G318">
        <v>2886</v>
      </c>
      <c r="H318" t="s">
        <v>1656</v>
      </c>
    </row>
    <row r="319" spans="1:8">
      <c r="A319" t="s">
        <v>1494</v>
      </c>
      <c r="C319">
        <v>298</v>
      </c>
      <c r="E319" t="s">
        <v>1248</v>
      </c>
      <c r="F319">
        <v>6</v>
      </c>
      <c r="G319">
        <v>300</v>
      </c>
      <c r="H319" t="s">
        <v>1656</v>
      </c>
    </row>
    <row r="320" spans="1:8">
      <c r="A320" t="s">
        <v>1495</v>
      </c>
      <c r="C320">
        <v>377</v>
      </c>
      <c r="E320" t="s">
        <v>1248</v>
      </c>
      <c r="F320">
        <v>6</v>
      </c>
      <c r="G320">
        <v>379</v>
      </c>
      <c r="H320" t="s">
        <v>1656</v>
      </c>
    </row>
    <row r="321" spans="1:8">
      <c r="A321" t="s">
        <v>1496</v>
      </c>
      <c r="C321">
        <v>2798</v>
      </c>
      <c r="E321" t="s">
        <v>1248</v>
      </c>
      <c r="F321">
        <v>6</v>
      </c>
      <c r="G321">
        <v>2800</v>
      </c>
      <c r="H321" t="s">
        <v>1656</v>
      </c>
    </row>
    <row r="322" spans="1:8">
      <c r="A322" t="s">
        <v>1497</v>
      </c>
      <c r="C322">
        <v>298</v>
      </c>
      <c r="E322" t="s">
        <v>1248</v>
      </c>
      <c r="F322">
        <v>6</v>
      </c>
      <c r="G322">
        <v>300</v>
      </c>
      <c r="H322" t="s">
        <v>1656</v>
      </c>
    </row>
    <row r="323" spans="1:8">
      <c r="A323" t="s">
        <v>1498</v>
      </c>
      <c r="C323">
        <v>891</v>
      </c>
      <c r="E323" t="s">
        <v>1248</v>
      </c>
      <c r="F323">
        <v>6</v>
      </c>
      <c r="G323">
        <v>893</v>
      </c>
      <c r="H323" t="s">
        <v>1656</v>
      </c>
    </row>
    <row r="324" spans="1:8">
      <c r="A324" t="s">
        <v>1499</v>
      </c>
      <c r="C324">
        <v>6755</v>
      </c>
      <c r="E324" t="s">
        <v>1248</v>
      </c>
      <c r="F324">
        <v>6</v>
      </c>
      <c r="G324">
        <v>6757</v>
      </c>
      <c r="H324" t="s">
        <v>1656</v>
      </c>
    </row>
    <row r="325" spans="1:8">
      <c r="A325" t="s">
        <v>1500</v>
      </c>
      <c r="C325">
        <v>10994</v>
      </c>
      <c r="E325" t="s">
        <v>1248</v>
      </c>
      <c r="F325">
        <v>6</v>
      </c>
      <c r="G325">
        <v>10996</v>
      </c>
      <c r="H325" t="s">
        <v>1656</v>
      </c>
    </row>
    <row r="326" spans="1:8">
      <c r="A326" t="s">
        <v>1501</v>
      </c>
      <c r="C326">
        <v>1541</v>
      </c>
      <c r="E326" t="s">
        <v>1248</v>
      </c>
      <c r="F326">
        <v>6</v>
      </c>
      <c r="G326">
        <v>1543</v>
      </c>
      <c r="H326" t="s">
        <v>1656</v>
      </c>
    </row>
    <row r="327" spans="1:8">
      <c r="A327" t="s">
        <v>1502</v>
      </c>
      <c r="C327">
        <v>11500</v>
      </c>
      <c r="E327" t="s">
        <v>1248</v>
      </c>
      <c r="F327">
        <v>6</v>
      </c>
      <c r="G327">
        <v>11500</v>
      </c>
      <c r="H327" t="s">
        <v>1656</v>
      </c>
    </row>
    <row r="328" spans="1:8">
      <c r="A328" t="s">
        <v>1503</v>
      </c>
      <c r="C328">
        <v>691</v>
      </c>
      <c r="E328" t="s">
        <v>1248</v>
      </c>
      <c r="F328">
        <v>6</v>
      </c>
      <c r="G328">
        <v>693</v>
      </c>
      <c r="H328" t="s">
        <v>1656</v>
      </c>
    </row>
    <row r="329" spans="1:8">
      <c r="A329" t="s">
        <v>1504</v>
      </c>
      <c r="C329">
        <v>1241</v>
      </c>
      <c r="E329" t="s">
        <v>1248</v>
      </c>
      <c r="F329">
        <v>6</v>
      </c>
      <c r="G329">
        <v>1243</v>
      </c>
      <c r="H329" t="s">
        <v>1656</v>
      </c>
    </row>
    <row r="330" spans="1:8">
      <c r="A330" t="s">
        <v>1505</v>
      </c>
      <c r="C330">
        <v>1541</v>
      </c>
      <c r="E330" t="s">
        <v>1248</v>
      </c>
      <c r="F330">
        <v>6</v>
      </c>
      <c r="G330">
        <v>1543</v>
      </c>
      <c r="H330" t="s">
        <v>1656</v>
      </c>
    </row>
    <row r="331" spans="1:8">
      <c r="A331" t="s">
        <v>1506</v>
      </c>
      <c r="C331">
        <v>2310</v>
      </c>
      <c r="E331" t="s">
        <v>1248</v>
      </c>
      <c r="F331">
        <v>6</v>
      </c>
      <c r="G331">
        <v>2312</v>
      </c>
      <c r="H331" t="s">
        <v>1656</v>
      </c>
    </row>
    <row r="332" spans="1:8">
      <c r="A332" t="s">
        <v>1507</v>
      </c>
      <c r="C332">
        <v>11500</v>
      </c>
      <c r="E332" t="s">
        <v>1248</v>
      </c>
      <c r="F332">
        <v>6</v>
      </c>
      <c r="G332">
        <v>11500</v>
      </c>
      <c r="H332" t="s">
        <v>1656</v>
      </c>
    </row>
    <row r="333" spans="1:8">
      <c r="A333" t="s">
        <v>1508</v>
      </c>
      <c r="C333">
        <v>501</v>
      </c>
      <c r="E333" t="s">
        <v>1427</v>
      </c>
      <c r="F333">
        <v>8</v>
      </c>
      <c r="G333">
        <v>503</v>
      </c>
      <c r="H333" t="s">
        <v>1656</v>
      </c>
    </row>
    <row r="334" spans="1:8">
      <c r="A334" t="s">
        <v>1509</v>
      </c>
      <c r="C334">
        <v>1038</v>
      </c>
      <c r="E334" t="s">
        <v>1427</v>
      </c>
      <c r="F334">
        <v>8</v>
      </c>
      <c r="G334">
        <v>1040</v>
      </c>
      <c r="H334" t="s">
        <v>1656</v>
      </c>
    </row>
    <row r="335" spans="1:8">
      <c r="A335" t="s">
        <v>1510</v>
      </c>
      <c r="C335">
        <v>218</v>
      </c>
      <c r="E335" t="s">
        <v>1427</v>
      </c>
      <c r="F335">
        <v>8</v>
      </c>
      <c r="G335">
        <v>220</v>
      </c>
      <c r="H335" t="s">
        <v>1656</v>
      </c>
    </row>
    <row r="336" spans="1:8">
      <c r="A336" t="s">
        <v>1511</v>
      </c>
      <c r="C336">
        <v>501</v>
      </c>
      <c r="E336" t="s">
        <v>1427</v>
      </c>
      <c r="F336">
        <v>8</v>
      </c>
      <c r="G336">
        <v>503</v>
      </c>
      <c r="H336" t="s">
        <v>1656</v>
      </c>
    </row>
    <row r="337" spans="1:8">
      <c r="A337" t="s">
        <v>1512</v>
      </c>
      <c r="C337">
        <v>1038</v>
      </c>
      <c r="E337" t="s">
        <v>1427</v>
      </c>
      <c r="F337">
        <v>8</v>
      </c>
      <c r="G337">
        <v>1040</v>
      </c>
      <c r="H337" t="s">
        <v>1656</v>
      </c>
    </row>
    <row r="338" spans="1:8">
      <c r="A338" t="s">
        <v>1513</v>
      </c>
      <c r="C338">
        <v>218</v>
      </c>
      <c r="E338" t="s">
        <v>1427</v>
      </c>
      <c r="F338">
        <v>8</v>
      </c>
      <c r="G338">
        <v>220</v>
      </c>
      <c r="H338" t="s">
        <v>1656</v>
      </c>
    </row>
    <row r="339" spans="1:8">
      <c r="A339" t="s">
        <v>1514</v>
      </c>
      <c r="C339">
        <v>501</v>
      </c>
      <c r="E339" t="s">
        <v>1427</v>
      </c>
      <c r="F339">
        <v>8</v>
      </c>
      <c r="G339">
        <v>503</v>
      </c>
      <c r="H339" t="s">
        <v>1656</v>
      </c>
    </row>
    <row r="340" spans="1:8">
      <c r="A340" t="s">
        <v>1515</v>
      </c>
      <c r="C340">
        <v>1038</v>
      </c>
      <c r="E340" t="s">
        <v>1427</v>
      </c>
      <c r="F340">
        <v>8</v>
      </c>
      <c r="G340">
        <v>1040</v>
      </c>
      <c r="H340" t="s">
        <v>1656</v>
      </c>
    </row>
    <row r="341" spans="1:8">
      <c r="A341" t="s">
        <v>1516</v>
      </c>
      <c r="C341">
        <v>218</v>
      </c>
      <c r="E341" t="s">
        <v>1427</v>
      </c>
      <c r="F341">
        <v>8</v>
      </c>
      <c r="G341">
        <v>220</v>
      </c>
      <c r="H341" t="s">
        <v>1656</v>
      </c>
    </row>
    <row r="342" spans="1:8">
      <c r="A342" t="s">
        <v>1517</v>
      </c>
      <c r="C342">
        <v>501</v>
      </c>
      <c r="E342" t="s">
        <v>1427</v>
      </c>
      <c r="F342">
        <v>8</v>
      </c>
      <c r="G342">
        <v>503</v>
      </c>
      <c r="H342" t="s">
        <v>1656</v>
      </c>
    </row>
    <row r="343" spans="1:8">
      <c r="A343" t="s">
        <v>1518</v>
      </c>
      <c r="C343">
        <v>1038</v>
      </c>
      <c r="E343" t="s">
        <v>1427</v>
      </c>
      <c r="F343">
        <v>8</v>
      </c>
      <c r="G343">
        <v>1040</v>
      </c>
      <c r="H343" t="s">
        <v>1656</v>
      </c>
    </row>
    <row r="344" spans="1:8">
      <c r="A344" t="s">
        <v>1519</v>
      </c>
      <c r="C344">
        <v>218</v>
      </c>
      <c r="E344" t="s">
        <v>1427</v>
      </c>
      <c r="F344">
        <v>8</v>
      </c>
      <c r="G344">
        <v>220</v>
      </c>
      <c r="H344" t="s">
        <v>1656</v>
      </c>
    </row>
    <row r="345" spans="1:8">
      <c r="A345" t="s">
        <v>1520</v>
      </c>
      <c r="C345">
        <v>1515</v>
      </c>
      <c r="E345" t="s">
        <v>1427</v>
      </c>
      <c r="F345">
        <v>8</v>
      </c>
      <c r="G345">
        <v>1517</v>
      </c>
      <c r="H345" t="s">
        <v>1656</v>
      </c>
    </row>
    <row r="346" spans="1:8">
      <c r="A346" t="s">
        <v>1521</v>
      </c>
      <c r="C346">
        <v>115</v>
      </c>
      <c r="E346" t="s">
        <v>1427</v>
      </c>
      <c r="F346">
        <v>8</v>
      </c>
      <c r="G346">
        <v>117</v>
      </c>
      <c r="H346" t="s">
        <v>1656</v>
      </c>
    </row>
    <row r="347" spans="1:8">
      <c r="A347" t="s">
        <v>1522</v>
      </c>
      <c r="C347">
        <v>806</v>
      </c>
      <c r="E347" t="s">
        <v>1427</v>
      </c>
      <c r="F347">
        <v>8</v>
      </c>
      <c r="G347">
        <v>808</v>
      </c>
      <c r="H347" t="s">
        <v>1656</v>
      </c>
    </row>
    <row r="348" spans="1:8">
      <c r="A348" t="s">
        <v>1523</v>
      </c>
      <c r="C348">
        <v>298</v>
      </c>
      <c r="E348" t="s">
        <v>1427</v>
      </c>
      <c r="F348">
        <v>8</v>
      </c>
      <c r="G348">
        <v>300</v>
      </c>
      <c r="H348" t="s">
        <v>1656</v>
      </c>
    </row>
    <row r="349" spans="1:8">
      <c r="A349" t="s">
        <v>1524</v>
      </c>
      <c r="C349">
        <v>933</v>
      </c>
      <c r="E349" t="s">
        <v>1427</v>
      </c>
      <c r="F349">
        <v>8</v>
      </c>
      <c r="G349">
        <v>935</v>
      </c>
      <c r="H349" t="s">
        <v>1656</v>
      </c>
    </row>
    <row r="350" spans="1:8">
      <c r="A350" t="s">
        <v>1525</v>
      </c>
      <c r="C350">
        <v>298</v>
      </c>
      <c r="E350" t="s">
        <v>1427</v>
      </c>
      <c r="F350">
        <v>8</v>
      </c>
      <c r="G350">
        <v>300</v>
      </c>
      <c r="H350" t="s">
        <v>1656</v>
      </c>
    </row>
    <row r="351" spans="1:8">
      <c r="A351" t="s">
        <v>1526</v>
      </c>
      <c r="C351">
        <v>3138</v>
      </c>
      <c r="E351" t="s">
        <v>1427</v>
      </c>
      <c r="F351">
        <v>8</v>
      </c>
      <c r="G351">
        <v>3140</v>
      </c>
      <c r="H351" t="s">
        <v>1656</v>
      </c>
    </row>
    <row r="352" spans="1:8">
      <c r="A352" t="s">
        <v>1527</v>
      </c>
      <c r="C352">
        <v>523</v>
      </c>
      <c r="E352" t="s">
        <v>1427</v>
      </c>
      <c r="F352">
        <v>8</v>
      </c>
      <c r="G352">
        <v>525</v>
      </c>
      <c r="H352" t="s">
        <v>1656</v>
      </c>
    </row>
    <row r="353" spans="1:8">
      <c r="A353" t="s">
        <v>1528</v>
      </c>
      <c r="C353">
        <v>1238</v>
      </c>
      <c r="E353" t="s">
        <v>1427</v>
      </c>
      <c r="F353">
        <v>8</v>
      </c>
      <c r="G353">
        <v>1240</v>
      </c>
      <c r="H353" t="s">
        <v>1656</v>
      </c>
    </row>
    <row r="354" spans="1:8">
      <c r="A354" t="s">
        <v>1529</v>
      </c>
      <c r="C354">
        <v>11500</v>
      </c>
      <c r="E354" t="s">
        <v>1427</v>
      </c>
      <c r="F354">
        <v>8</v>
      </c>
      <c r="G354">
        <v>11500</v>
      </c>
      <c r="H354" t="s">
        <v>1656</v>
      </c>
    </row>
    <row r="355" spans="1:8">
      <c r="A355" t="s">
        <v>1530</v>
      </c>
      <c r="C355">
        <v>11500</v>
      </c>
      <c r="E355" t="s">
        <v>1427</v>
      </c>
      <c r="F355">
        <v>8</v>
      </c>
      <c r="G355">
        <v>11500</v>
      </c>
      <c r="H355" t="s">
        <v>1656</v>
      </c>
    </row>
    <row r="356" spans="1:8">
      <c r="A356" t="s">
        <v>1532</v>
      </c>
      <c r="C356">
        <v>2493</v>
      </c>
      <c r="E356" t="s">
        <v>1426</v>
      </c>
      <c r="F356">
        <v>8</v>
      </c>
      <c r="G356">
        <v>2495</v>
      </c>
      <c r="H356" t="s">
        <v>1656</v>
      </c>
    </row>
    <row r="357" spans="1:8">
      <c r="A357" t="s">
        <v>1533</v>
      </c>
      <c r="C357">
        <v>315</v>
      </c>
      <c r="E357" t="s">
        <v>1426</v>
      </c>
      <c r="F357">
        <v>8</v>
      </c>
      <c r="G357">
        <v>317</v>
      </c>
      <c r="H357" t="s">
        <v>1656</v>
      </c>
    </row>
    <row r="358" spans="1:8">
      <c r="A358" t="s">
        <v>1534</v>
      </c>
      <c r="C358">
        <v>2493</v>
      </c>
      <c r="E358" t="s">
        <v>1426</v>
      </c>
      <c r="F358">
        <v>8</v>
      </c>
      <c r="G358">
        <v>2495</v>
      </c>
      <c r="H358" t="s">
        <v>1656</v>
      </c>
    </row>
    <row r="359" spans="1:8">
      <c r="A359" t="s">
        <v>1535</v>
      </c>
      <c r="C359">
        <v>315</v>
      </c>
      <c r="E359" t="s">
        <v>1426</v>
      </c>
      <c r="F359">
        <v>8</v>
      </c>
      <c r="G359">
        <v>317</v>
      </c>
      <c r="H359" t="s">
        <v>1656</v>
      </c>
    </row>
    <row r="360" spans="1:8">
      <c r="A360" t="s">
        <v>1536</v>
      </c>
      <c r="C360">
        <v>2493</v>
      </c>
      <c r="E360" t="s">
        <v>1426</v>
      </c>
      <c r="F360">
        <v>8</v>
      </c>
      <c r="G360">
        <v>2495</v>
      </c>
      <c r="H360" t="s">
        <v>1656</v>
      </c>
    </row>
    <row r="361" spans="1:8">
      <c r="A361" t="s">
        <v>1537</v>
      </c>
      <c r="C361">
        <v>315</v>
      </c>
      <c r="E361" t="s">
        <v>1426</v>
      </c>
      <c r="F361">
        <v>8</v>
      </c>
      <c r="G361">
        <v>317</v>
      </c>
      <c r="H361" t="s">
        <v>1656</v>
      </c>
    </row>
    <row r="362" spans="1:8">
      <c r="A362" t="s">
        <v>1538</v>
      </c>
      <c r="C362">
        <v>683</v>
      </c>
      <c r="E362" t="s">
        <v>1426</v>
      </c>
      <c r="F362">
        <v>8</v>
      </c>
      <c r="G362">
        <v>685</v>
      </c>
      <c r="H362" t="s">
        <v>1656</v>
      </c>
    </row>
    <row r="363" spans="1:8">
      <c r="A363" t="s">
        <v>1539</v>
      </c>
      <c r="C363">
        <v>315</v>
      </c>
      <c r="E363" t="s">
        <v>1426</v>
      </c>
      <c r="F363">
        <v>8</v>
      </c>
      <c r="G363">
        <v>317</v>
      </c>
      <c r="H363" t="s">
        <v>1656</v>
      </c>
    </row>
    <row r="364" spans="1:8">
      <c r="A364" t="s">
        <v>1541</v>
      </c>
      <c r="C364">
        <v>11500</v>
      </c>
      <c r="E364" t="s">
        <v>1307</v>
      </c>
      <c r="F364">
        <v>10</v>
      </c>
      <c r="G364">
        <v>11500</v>
      </c>
      <c r="H364" t="s">
        <v>1656</v>
      </c>
    </row>
    <row r="365" spans="1:8">
      <c r="A365" t="s">
        <v>1542</v>
      </c>
      <c r="C365">
        <v>336</v>
      </c>
      <c r="E365" t="s">
        <v>1307</v>
      </c>
      <c r="F365">
        <v>10</v>
      </c>
      <c r="G365">
        <v>338</v>
      </c>
      <c r="H365" t="s">
        <v>1656</v>
      </c>
    </row>
    <row r="366" spans="1:8">
      <c r="A366" t="s">
        <v>1543</v>
      </c>
      <c r="C366">
        <v>4629</v>
      </c>
      <c r="E366" t="s">
        <v>1307</v>
      </c>
      <c r="F366">
        <v>10</v>
      </c>
      <c r="G366">
        <v>4631</v>
      </c>
      <c r="H366" t="s">
        <v>1656</v>
      </c>
    </row>
    <row r="367" spans="1:8">
      <c r="A367" t="s">
        <v>1544</v>
      </c>
      <c r="C367">
        <v>3779</v>
      </c>
      <c r="E367" t="s">
        <v>1307</v>
      </c>
      <c r="F367">
        <v>10</v>
      </c>
      <c r="G367">
        <v>3781</v>
      </c>
      <c r="H367" t="s">
        <v>1656</v>
      </c>
    </row>
    <row r="368" spans="1:8">
      <c r="A368" t="s">
        <v>1545</v>
      </c>
      <c r="C368">
        <v>973</v>
      </c>
      <c r="E368" t="s">
        <v>1307</v>
      </c>
      <c r="F368">
        <v>10</v>
      </c>
      <c r="G368">
        <v>975</v>
      </c>
      <c r="H368" t="s">
        <v>1656</v>
      </c>
    </row>
    <row r="369" spans="1:8">
      <c r="A369" t="s">
        <v>1547</v>
      </c>
      <c r="C369">
        <v>398</v>
      </c>
      <c r="E369" t="s">
        <v>1657</v>
      </c>
      <c r="F369">
        <v>12</v>
      </c>
      <c r="G369">
        <v>400</v>
      </c>
      <c r="H369" t="s">
        <v>1656</v>
      </c>
    </row>
    <row r="370" spans="1:8">
      <c r="A370" t="s">
        <v>1548</v>
      </c>
      <c r="C370">
        <v>11500</v>
      </c>
      <c r="E370" t="s">
        <v>1657</v>
      </c>
      <c r="F370">
        <v>12</v>
      </c>
      <c r="G370">
        <v>11500</v>
      </c>
      <c r="H370" t="s">
        <v>1656</v>
      </c>
    </row>
    <row r="371" spans="1:8">
      <c r="A371" t="s">
        <v>1549</v>
      </c>
      <c r="C371">
        <v>11500</v>
      </c>
      <c r="E371" t="s">
        <v>1657</v>
      </c>
      <c r="F371">
        <v>12</v>
      </c>
      <c r="G371">
        <v>11500</v>
      </c>
      <c r="H371" t="s">
        <v>1656</v>
      </c>
    </row>
    <row r="372" spans="1:8">
      <c r="A372" t="s">
        <v>1550</v>
      </c>
      <c r="C372">
        <v>183</v>
      </c>
      <c r="E372" t="s">
        <v>1657</v>
      </c>
      <c r="F372">
        <v>12</v>
      </c>
      <c r="G372">
        <v>185</v>
      </c>
      <c r="H372" t="s">
        <v>1656</v>
      </c>
    </row>
    <row r="373" spans="1:8">
      <c r="A373" t="s">
        <v>1553</v>
      </c>
      <c r="C373">
        <v>936</v>
      </c>
      <c r="E373" t="s">
        <v>1309</v>
      </c>
      <c r="F373">
        <v>4</v>
      </c>
      <c r="G373">
        <v>938</v>
      </c>
      <c r="H373" t="s">
        <v>1656</v>
      </c>
    </row>
    <row r="374" spans="1:8">
      <c r="A374" t="s">
        <v>1554</v>
      </c>
      <c r="C374">
        <v>2689</v>
      </c>
      <c r="E374" t="s">
        <v>1309</v>
      </c>
      <c r="F374">
        <v>4</v>
      </c>
      <c r="G374">
        <v>2691</v>
      </c>
      <c r="H374" t="s">
        <v>1656</v>
      </c>
    </row>
    <row r="375" spans="1:8">
      <c r="A375" t="s">
        <v>1555</v>
      </c>
      <c r="C375">
        <v>815</v>
      </c>
      <c r="E375" t="s">
        <v>1309</v>
      </c>
      <c r="F375">
        <v>4</v>
      </c>
      <c r="G375">
        <v>817</v>
      </c>
      <c r="H375" t="s">
        <v>1656</v>
      </c>
    </row>
    <row r="376" spans="1:8">
      <c r="A376" t="s">
        <v>1556</v>
      </c>
      <c r="C376">
        <v>2639</v>
      </c>
      <c r="E376" t="s">
        <v>1309</v>
      </c>
      <c r="F376">
        <v>4</v>
      </c>
      <c r="G376">
        <v>2641</v>
      </c>
      <c r="H376" t="s">
        <v>1656</v>
      </c>
    </row>
    <row r="377" spans="1:8">
      <c r="A377" t="s">
        <v>1557</v>
      </c>
      <c r="C377">
        <v>1116</v>
      </c>
      <c r="E377" t="s">
        <v>1309</v>
      </c>
      <c r="F377">
        <v>4</v>
      </c>
      <c r="G377">
        <v>1118</v>
      </c>
      <c r="H377" t="s">
        <v>1656</v>
      </c>
    </row>
    <row r="378" spans="1:8">
      <c r="A378" t="s">
        <v>1558</v>
      </c>
      <c r="C378">
        <v>2043</v>
      </c>
      <c r="E378" t="s">
        <v>1309</v>
      </c>
      <c r="F378">
        <v>4</v>
      </c>
      <c r="G378">
        <v>2045</v>
      </c>
      <c r="H378" t="s">
        <v>1656</v>
      </c>
    </row>
    <row r="379" spans="1:8">
      <c r="A379" t="s">
        <v>1560</v>
      </c>
      <c r="C379">
        <v>502</v>
      </c>
      <c r="E379" t="s">
        <v>1311</v>
      </c>
      <c r="F379">
        <v>6</v>
      </c>
      <c r="G379">
        <v>504</v>
      </c>
      <c r="H379" t="s">
        <v>1656</v>
      </c>
    </row>
    <row r="380" spans="1:8">
      <c r="A380" t="s">
        <v>1561</v>
      </c>
      <c r="C380">
        <v>1065</v>
      </c>
      <c r="E380" t="s">
        <v>1311</v>
      </c>
      <c r="F380">
        <v>6</v>
      </c>
      <c r="G380">
        <v>1067</v>
      </c>
      <c r="H380" t="s">
        <v>1656</v>
      </c>
    </row>
    <row r="381" spans="1:8">
      <c r="A381" t="s">
        <v>1562</v>
      </c>
      <c r="C381">
        <v>11500</v>
      </c>
      <c r="E381" t="s">
        <v>1311</v>
      </c>
      <c r="F381">
        <v>6</v>
      </c>
      <c r="G381">
        <v>11500</v>
      </c>
      <c r="H381" t="s">
        <v>1656</v>
      </c>
    </row>
    <row r="382" spans="1:8">
      <c r="A382" t="s">
        <v>1563</v>
      </c>
      <c r="C382">
        <v>641</v>
      </c>
      <c r="E382" t="s">
        <v>1311</v>
      </c>
      <c r="F382">
        <v>6</v>
      </c>
      <c r="G382">
        <v>643</v>
      </c>
      <c r="H382" t="s">
        <v>1656</v>
      </c>
    </row>
    <row r="383" spans="1:8">
      <c r="A383" t="s">
        <v>1564</v>
      </c>
      <c r="C383">
        <v>4995</v>
      </c>
      <c r="E383" t="s">
        <v>1311</v>
      </c>
      <c r="F383">
        <v>6</v>
      </c>
      <c r="G383">
        <v>4997</v>
      </c>
      <c r="H383" t="s">
        <v>1656</v>
      </c>
    </row>
    <row r="384" spans="1:8">
      <c r="A384" t="s">
        <v>1565</v>
      </c>
      <c r="C384">
        <v>641</v>
      </c>
      <c r="E384" t="s">
        <v>1311</v>
      </c>
      <c r="F384">
        <v>6</v>
      </c>
      <c r="G384">
        <v>643</v>
      </c>
      <c r="H384" t="s">
        <v>1656</v>
      </c>
    </row>
    <row r="385" spans="1:8">
      <c r="A385" t="s">
        <v>1566</v>
      </c>
      <c r="C385">
        <v>11500</v>
      </c>
      <c r="E385" t="s">
        <v>1311</v>
      </c>
      <c r="F385">
        <v>6</v>
      </c>
      <c r="G385">
        <v>11500</v>
      </c>
      <c r="H385" t="s">
        <v>1656</v>
      </c>
    </row>
    <row r="386" spans="1:8">
      <c r="A386" t="s">
        <v>1567</v>
      </c>
      <c r="C386">
        <v>11500</v>
      </c>
      <c r="E386" t="s">
        <v>1311</v>
      </c>
      <c r="F386">
        <v>6</v>
      </c>
      <c r="G386">
        <v>11500</v>
      </c>
      <c r="H386" t="s">
        <v>1656</v>
      </c>
    </row>
    <row r="387" spans="1:8">
      <c r="A387" t="s">
        <v>1568</v>
      </c>
      <c r="C387">
        <v>1091</v>
      </c>
      <c r="E387" t="s">
        <v>1311</v>
      </c>
      <c r="F387">
        <v>6</v>
      </c>
      <c r="G387">
        <v>1093</v>
      </c>
      <c r="H387" t="s">
        <v>1656</v>
      </c>
    </row>
    <row r="388" spans="1:8">
      <c r="A388" t="s">
        <v>1569</v>
      </c>
      <c r="C388">
        <v>1547</v>
      </c>
      <c r="E388" t="s">
        <v>1311</v>
      </c>
      <c r="F388">
        <v>6</v>
      </c>
      <c r="G388">
        <v>1549</v>
      </c>
      <c r="H388" t="s">
        <v>1656</v>
      </c>
    </row>
    <row r="389" spans="1:8">
      <c r="A389" t="s">
        <v>1570</v>
      </c>
      <c r="C389">
        <v>205</v>
      </c>
      <c r="E389" t="s">
        <v>1311</v>
      </c>
      <c r="F389">
        <v>6</v>
      </c>
      <c r="G389">
        <v>207</v>
      </c>
      <c r="H389" t="s">
        <v>1656</v>
      </c>
    </row>
    <row r="390" spans="1:8">
      <c r="A390" t="s">
        <v>1571</v>
      </c>
      <c r="C390">
        <v>117</v>
      </c>
      <c r="E390" t="s">
        <v>1311</v>
      </c>
      <c r="F390">
        <v>6</v>
      </c>
      <c r="G390">
        <v>119</v>
      </c>
      <c r="H390" t="s">
        <v>1656</v>
      </c>
    </row>
    <row r="391" spans="1:8">
      <c r="A391" t="s">
        <v>1572</v>
      </c>
      <c r="C391">
        <v>1176</v>
      </c>
      <c r="E391" t="s">
        <v>1311</v>
      </c>
      <c r="F391">
        <v>6</v>
      </c>
      <c r="G391">
        <v>1178</v>
      </c>
      <c r="H391" t="s">
        <v>1656</v>
      </c>
    </row>
    <row r="392" spans="1:8">
      <c r="A392" t="s">
        <v>1573</v>
      </c>
      <c r="C392">
        <v>205</v>
      </c>
      <c r="E392" t="s">
        <v>1311</v>
      </c>
      <c r="F392">
        <v>6</v>
      </c>
      <c r="G392">
        <v>207</v>
      </c>
      <c r="H392" t="s">
        <v>1656</v>
      </c>
    </row>
    <row r="393" spans="1:8">
      <c r="A393" t="s">
        <v>1574</v>
      </c>
      <c r="C393">
        <v>272</v>
      </c>
      <c r="E393" t="s">
        <v>1311</v>
      </c>
      <c r="F393">
        <v>6</v>
      </c>
      <c r="G393">
        <v>274</v>
      </c>
      <c r="H393" t="s">
        <v>1656</v>
      </c>
    </row>
    <row r="394" spans="1:8">
      <c r="A394" t="s">
        <v>1575</v>
      </c>
      <c r="C394">
        <v>2682</v>
      </c>
      <c r="E394" t="s">
        <v>1311</v>
      </c>
      <c r="F394">
        <v>6</v>
      </c>
      <c r="G394">
        <v>2684</v>
      </c>
      <c r="H394" t="s">
        <v>1656</v>
      </c>
    </row>
    <row r="395" spans="1:8">
      <c r="A395" t="s">
        <v>1576</v>
      </c>
      <c r="C395">
        <v>298</v>
      </c>
      <c r="E395" t="s">
        <v>1311</v>
      </c>
      <c r="F395">
        <v>6</v>
      </c>
      <c r="G395">
        <v>300</v>
      </c>
      <c r="H395" t="s">
        <v>1656</v>
      </c>
    </row>
    <row r="396" spans="1:8">
      <c r="A396" t="s">
        <v>1577</v>
      </c>
      <c r="C396">
        <v>2682</v>
      </c>
      <c r="E396" t="s">
        <v>1311</v>
      </c>
      <c r="F396">
        <v>6</v>
      </c>
      <c r="G396">
        <v>2684</v>
      </c>
      <c r="H396" t="s">
        <v>1656</v>
      </c>
    </row>
    <row r="397" spans="1:8">
      <c r="A397" t="s">
        <v>1578</v>
      </c>
      <c r="C397">
        <v>10378</v>
      </c>
      <c r="E397" t="s">
        <v>1311</v>
      </c>
      <c r="F397">
        <v>6</v>
      </c>
      <c r="G397">
        <v>10380</v>
      </c>
      <c r="H397" t="s">
        <v>1656</v>
      </c>
    </row>
    <row r="398" spans="1:8">
      <c r="A398" t="s">
        <v>1579</v>
      </c>
      <c r="C398">
        <v>9353</v>
      </c>
      <c r="E398" t="s">
        <v>1311</v>
      </c>
      <c r="F398">
        <v>6</v>
      </c>
      <c r="G398">
        <v>9355</v>
      </c>
      <c r="H398" t="s">
        <v>1656</v>
      </c>
    </row>
    <row r="399" spans="1:8">
      <c r="A399" t="s">
        <v>1580</v>
      </c>
      <c r="C399">
        <v>6321</v>
      </c>
      <c r="E399" t="s">
        <v>1311</v>
      </c>
      <c r="F399">
        <v>6</v>
      </c>
      <c r="G399">
        <v>6323</v>
      </c>
      <c r="H399" t="s">
        <v>1656</v>
      </c>
    </row>
    <row r="400" spans="1:8">
      <c r="A400" t="s">
        <v>1581</v>
      </c>
      <c r="C400">
        <v>591</v>
      </c>
      <c r="E400" t="s">
        <v>1311</v>
      </c>
      <c r="F400">
        <v>6</v>
      </c>
      <c r="G400">
        <v>593</v>
      </c>
      <c r="H400" t="s">
        <v>1656</v>
      </c>
    </row>
    <row r="401" spans="1:8">
      <c r="A401" t="s">
        <v>1582</v>
      </c>
      <c r="C401">
        <v>5723</v>
      </c>
      <c r="E401" t="s">
        <v>1311</v>
      </c>
      <c r="F401">
        <v>6</v>
      </c>
      <c r="G401">
        <v>5725</v>
      </c>
      <c r="H401" t="s">
        <v>1656</v>
      </c>
    </row>
    <row r="402" spans="1:8">
      <c r="A402" t="s">
        <v>1583</v>
      </c>
      <c r="C402">
        <v>1391</v>
      </c>
      <c r="E402" t="s">
        <v>1311</v>
      </c>
      <c r="F402">
        <v>6</v>
      </c>
      <c r="G402">
        <v>1393</v>
      </c>
      <c r="H402" t="s">
        <v>1656</v>
      </c>
    </row>
    <row r="403" spans="1:8">
      <c r="A403" t="s">
        <v>1584</v>
      </c>
      <c r="C403">
        <v>1279</v>
      </c>
      <c r="E403" t="s">
        <v>1311</v>
      </c>
      <c r="F403">
        <v>6</v>
      </c>
      <c r="G403">
        <v>1281</v>
      </c>
      <c r="H403" t="s">
        <v>1656</v>
      </c>
    </row>
    <row r="404" spans="1:8">
      <c r="A404" t="s">
        <v>1585</v>
      </c>
      <c r="C404">
        <v>198</v>
      </c>
      <c r="E404" t="s">
        <v>1311</v>
      </c>
      <c r="F404">
        <v>6</v>
      </c>
      <c r="G404">
        <v>200</v>
      </c>
      <c r="H404" t="s">
        <v>1656</v>
      </c>
    </row>
    <row r="405" spans="1:8">
      <c r="A405" t="s">
        <v>1586</v>
      </c>
      <c r="C405">
        <v>109</v>
      </c>
      <c r="E405" t="s">
        <v>1311</v>
      </c>
      <c r="F405">
        <v>6</v>
      </c>
      <c r="G405">
        <v>111</v>
      </c>
      <c r="H405" t="s">
        <v>1656</v>
      </c>
    </row>
    <row r="406" spans="1:8">
      <c r="A406" t="s">
        <v>1587</v>
      </c>
      <c r="C406">
        <v>1194</v>
      </c>
      <c r="E406" t="s">
        <v>1311</v>
      </c>
      <c r="F406">
        <v>6</v>
      </c>
      <c r="G406">
        <v>1196</v>
      </c>
      <c r="H406" t="s">
        <v>1656</v>
      </c>
    </row>
    <row r="407" spans="1:8">
      <c r="A407" t="s">
        <v>1588</v>
      </c>
      <c r="C407">
        <v>198</v>
      </c>
      <c r="E407" t="s">
        <v>1311</v>
      </c>
      <c r="F407">
        <v>6</v>
      </c>
      <c r="G407">
        <v>200</v>
      </c>
      <c r="H407" t="s">
        <v>1656</v>
      </c>
    </row>
    <row r="408" spans="1:8">
      <c r="A408" t="s">
        <v>1589</v>
      </c>
      <c r="C408">
        <v>871</v>
      </c>
      <c r="E408" t="s">
        <v>1311</v>
      </c>
      <c r="F408">
        <v>6</v>
      </c>
      <c r="G408">
        <v>873</v>
      </c>
      <c r="H408" t="s">
        <v>1656</v>
      </c>
    </row>
    <row r="409" spans="1:8">
      <c r="A409" t="s">
        <v>1590</v>
      </c>
      <c r="C409">
        <v>3923</v>
      </c>
      <c r="E409" t="s">
        <v>1311</v>
      </c>
      <c r="F409">
        <v>6</v>
      </c>
      <c r="G409">
        <v>3925</v>
      </c>
      <c r="H409" t="s">
        <v>1656</v>
      </c>
    </row>
    <row r="410" spans="1:8">
      <c r="A410" t="s">
        <v>1591</v>
      </c>
      <c r="C410">
        <v>1111</v>
      </c>
      <c r="E410" t="s">
        <v>1311</v>
      </c>
      <c r="F410">
        <v>6</v>
      </c>
      <c r="G410">
        <v>1113</v>
      </c>
      <c r="H410" t="s">
        <v>1656</v>
      </c>
    </row>
    <row r="411" spans="1:8">
      <c r="A411" t="s">
        <v>1592</v>
      </c>
      <c r="C411">
        <v>198</v>
      </c>
      <c r="E411" t="s">
        <v>1311</v>
      </c>
      <c r="F411">
        <v>6</v>
      </c>
      <c r="G411">
        <v>200</v>
      </c>
      <c r="H411" t="s">
        <v>1656</v>
      </c>
    </row>
    <row r="412" spans="1:8">
      <c r="A412" t="s">
        <v>1593</v>
      </c>
      <c r="C412">
        <v>109</v>
      </c>
      <c r="E412" t="s">
        <v>1311</v>
      </c>
      <c r="F412">
        <v>6</v>
      </c>
      <c r="G412">
        <v>111</v>
      </c>
      <c r="H412" t="s">
        <v>1656</v>
      </c>
    </row>
    <row r="413" spans="1:8">
      <c r="A413" t="s">
        <v>1594</v>
      </c>
      <c r="C413">
        <v>1194</v>
      </c>
      <c r="E413" t="s">
        <v>1311</v>
      </c>
      <c r="F413">
        <v>6</v>
      </c>
      <c r="G413">
        <v>1196</v>
      </c>
      <c r="H413" t="s">
        <v>1656</v>
      </c>
    </row>
    <row r="414" spans="1:8">
      <c r="A414" t="s">
        <v>1595</v>
      </c>
      <c r="C414">
        <v>198</v>
      </c>
      <c r="E414" t="s">
        <v>1311</v>
      </c>
      <c r="F414">
        <v>6</v>
      </c>
      <c r="G414">
        <v>200</v>
      </c>
      <c r="H414" t="s">
        <v>1656</v>
      </c>
    </row>
    <row r="415" spans="1:8">
      <c r="A415" t="s">
        <v>1596</v>
      </c>
      <c r="C415">
        <v>1151</v>
      </c>
      <c r="E415" t="s">
        <v>1311</v>
      </c>
      <c r="F415">
        <v>6</v>
      </c>
      <c r="G415">
        <v>1153</v>
      </c>
      <c r="H415" t="s">
        <v>1656</v>
      </c>
    </row>
    <row r="416" spans="1:8">
      <c r="A416" t="s">
        <v>1597</v>
      </c>
      <c r="C416">
        <v>2123</v>
      </c>
      <c r="E416" t="s">
        <v>1311</v>
      </c>
      <c r="F416">
        <v>6</v>
      </c>
      <c r="G416">
        <v>2125</v>
      </c>
      <c r="H416" t="s">
        <v>1656</v>
      </c>
    </row>
    <row r="417" spans="1:8">
      <c r="A417" t="s">
        <v>1598</v>
      </c>
      <c r="C417">
        <v>831</v>
      </c>
      <c r="E417" t="s">
        <v>1311</v>
      </c>
      <c r="F417">
        <v>6</v>
      </c>
      <c r="G417">
        <v>833</v>
      </c>
      <c r="H417" t="s">
        <v>1656</v>
      </c>
    </row>
    <row r="418" spans="1:8">
      <c r="A418" t="s">
        <v>1599</v>
      </c>
      <c r="C418">
        <v>198</v>
      </c>
      <c r="E418" t="s">
        <v>1311</v>
      </c>
      <c r="F418">
        <v>6</v>
      </c>
      <c r="G418">
        <v>200</v>
      </c>
      <c r="H418" t="s">
        <v>1656</v>
      </c>
    </row>
    <row r="419" spans="1:8">
      <c r="A419" t="s">
        <v>1600</v>
      </c>
      <c r="C419">
        <v>109</v>
      </c>
      <c r="E419" t="s">
        <v>1311</v>
      </c>
      <c r="F419">
        <v>6</v>
      </c>
      <c r="G419">
        <v>111</v>
      </c>
      <c r="H419" t="s">
        <v>1656</v>
      </c>
    </row>
    <row r="420" spans="1:8">
      <c r="A420" t="s">
        <v>1601</v>
      </c>
      <c r="C420">
        <v>1194</v>
      </c>
      <c r="E420" t="s">
        <v>1311</v>
      </c>
      <c r="F420">
        <v>6</v>
      </c>
      <c r="G420">
        <v>1196</v>
      </c>
      <c r="H420" t="s">
        <v>1656</v>
      </c>
    </row>
    <row r="421" spans="1:8">
      <c r="A421" t="s">
        <v>1602</v>
      </c>
      <c r="C421">
        <v>198</v>
      </c>
      <c r="E421" t="s">
        <v>1311</v>
      </c>
      <c r="F421">
        <v>6</v>
      </c>
      <c r="G421">
        <v>200</v>
      </c>
      <c r="H421" t="s">
        <v>1656</v>
      </c>
    </row>
    <row r="422" spans="1:8">
      <c r="A422" t="s">
        <v>1603</v>
      </c>
      <c r="C422">
        <v>1431</v>
      </c>
      <c r="E422" t="s">
        <v>1311</v>
      </c>
      <c r="F422">
        <v>6</v>
      </c>
      <c r="G422">
        <v>1433</v>
      </c>
      <c r="H422" t="s">
        <v>1656</v>
      </c>
    </row>
    <row r="423" spans="1:8">
      <c r="A423" t="s">
        <v>1604</v>
      </c>
      <c r="C423">
        <v>323</v>
      </c>
      <c r="E423" t="s">
        <v>1311</v>
      </c>
      <c r="F423">
        <v>6</v>
      </c>
      <c r="G423">
        <v>325</v>
      </c>
      <c r="H423" t="s">
        <v>1656</v>
      </c>
    </row>
    <row r="424" spans="1:8">
      <c r="A424" t="s">
        <v>1605</v>
      </c>
      <c r="C424">
        <v>551</v>
      </c>
      <c r="E424" t="s">
        <v>1311</v>
      </c>
      <c r="F424">
        <v>6</v>
      </c>
      <c r="G424">
        <v>553</v>
      </c>
      <c r="H424" t="s">
        <v>1656</v>
      </c>
    </row>
    <row r="425" spans="1:8">
      <c r="A425" t="s">
        <v>1606</v>
      </c>
      <c r="C425">
        <v>1279</v>
      </c>
      <c r="E425" t="s">
        <v>1311</v>
      </c>
      <c r="F425">
        <v>6</v>
      </c>
      <c r="G425">
        <v>1281</v>
      </c>
      <c r="H425" t="s">
        <v>1656</v>
      </c>
    </row>
    <row r="426" spans="1:8">
      <c r="A426" t="s">
        <v>1607</v>
      </c>
      <c r="C426">
        <v>198</v>
      </c>
      <c r="E426" t="s">
        <v>1311</v>
      </c>
      <c r="F426">
        <v>6</v>
      </c>
      <c r="G426">
        <v>200</v>
      </c>
      <c r="H426" t="s">
        <v>1656</v>
      </c>
    </row>
    <row r="427" spans="1:8">
      <c r="A427" t="s">
        <v>1608</v>
      </c>
      <c r="C427">
        <v>109</v>
      </c>
      <c r="E427" t="s">
        <v>1311</v>
      </c>
      <c r="F427">
        <v>6</v>
      </c>
      <c r="G427">
        <v>111</v>
      </c>
      <c r="H427" t="s">
        <v>1656</v>
      </c>
    </row>
    <row r="428" spans="1:8">
      <c r="A428" t="s">
        <v>1609</v>
      </c>
      <c r="C428">
        <v>1194</v>
      </c>
      <c r="E428" t="s">
        <v>1311</v>
      </c>
      <c r="F428">
        <v>6</v>
      </c>
      <c r="G428">
        <v>1196</v>
      </c>
      <c r="H428" t="s">
        <v>1656</v>
      </c>
    </row>
    <row r="429" spans="1:8">
      <c r="A429" t="s">
        <v>1610</v>
      </c>
      <c r="C429">
        <v>198</v>
      </c>
      <c r="E429" t="s">
        <v>1311</v>
      </c>
      <c r="F429">
        <v>6</v>
      </c>
      <c r="G429">
        <v>200</v>
      </c>
      <c r="H429" t="s">
        <v>1656</v>
      </c>
    </row>
    <row r="430" spans="1:8">
      <c r="A430" t="s">
        <v>1624</v>
      </c>
      <c r="C430">
        <v>11500</v>
      </c>
      <c r="E430" t="s">
        <v>1658</v>
      </c>
      <c r="F430">
        <v>8</v>
      </c>
      <c r="G430">
        <v>11500</v>
      </c>
      <c r="H430" t="s">
        <v>1656</v>
      </c>
    </row>
    <row r="431" spans="1:8">
      <c r="A431" t="s">
        <v>1616</v>
      </c>
      <c r="C431">
        <v>438</v>
      </c>
      <c r="E431" t="s">
        <v>1658</v>
      </c>
      <c r="F431">
        <v>8</v>
      </c>
      <c r="G431">
        <v>440</v>
      </c>
      <c r="H431" t="s">
        <v>1656</v>
      </c>
    </row>
    <row r="432" spans="1:8">
      <c r="A432" t="s">
        <v>1617</v>
      </c>
      <c r="C432">
        <v>1914</v>
      </c>
      <c r="E432" t="s">
        <v>1658</v>
      </c>
      <c r="F432">
        <v>8</v>
      </c>
      <c r="G432">
        <v>1916</v>
      </c>
      <c r="H432" t="s">
        <v>1656</v>
      </c>
    </row>
    <row r="433" spans="1:8">
      <c r="A433" t="s">
        <v>1625</v>
      </c>
      <c r="C433">
        <v>4911</v>
      </c>
      <c r="E433" t="s">
        <v>1658</v>
      </c>
      <c r="F433">
        <v>8</v>
      </c>
      <c r="G433">
        <v>4913</v>
      </c>
      <c r="H433" t="s">
        <v>1656</v>
      </c>
    </row>
    <row r="434" spans="1:8">
      <c r="A434" t="s">
        <v>1626</v>
      </c>
      <c r="C434">
        <v>10377</v>
      </c>
      <c r="E434" t="s">
        <v>1658</v>
      </c>
      <c r="F434">
        <v>8</v>
      </c>
      <c r="G434">
        <v>10379</v>
      </c>
      <c r="H434" t="s">
        <v>1656</v>
      </c>
    </row>
    <row r="435" spans="1:8">
      <c r="A435" t="s">
        <v>1618</v>
      </c>
      <c r="C435">
        <v>602</v>
      </c>
      <c r="E435" t="s">
        <v>1658</v>
      </c>
      <c r="F435">
        <v>8</v>
      </c>
      <c r="G435">
        <v>604</v>
      </c>
      <c r="H435" t="s">
        <v>1656</v>
      </c>
    </row>
    <row r="436" spans="1:8">
      <c r="A436" t="s">
        <v>1627</v>
      </c>
      <c r="C436">
        <v>1915</v>
      </c>
      <c r="E436" t="s">
        <v>1658</v>
      </c>
      <c r="F436">
        <v>8</v>
      </c>
      <c r="G436">
        <v>1917</v>
      </c>
      <c r="H436" t="s">
        <v>1656</v>
      </c>
    </row>
    <row r="437" spans="1:8">
      <c r="A437" t="s">
        <v>1615</v>
      </c>
      <c r="C437">
        <v>227</v>
      </c>
      <c r="E437" t="s">
        <v>1658</v>
      </c>
      <c r="F437">
        <v>8</v>
      </c>
      <c r="G437">
        <v>229</v>
      </c>
      <c r="H437" t="s">
        <v>1656</v>
      </c>
    </row>
    <row r="438" spans="1:8">
      <c r="A438" t="s">
        <v>1619</v>
      </c>
      <c r="C438">
        <v>982</v>
      </c>
      <c r="E438" t="s">
        <v>1658</v>
      </c>
      <c r="F438">
        <v>8</v>
      </c>
      <c r="G438">
        <v>984</v>
      </c>
      <c r="H438" t="s">
        <v>1656</v>
      </c>
    </row>
    <row r="439" spans="1:8">
      <c r="A439" t="s">
        <v>1620</v>
      </c>
      <c r="C439">
        <v>1109</v>
      </c>
      <c r="E439" t="s">
        <v>1658</v>
      </c>
      <c r="F439">
        <v>8</v>
      </c>
      <c r="G439">
        <v>1111</v>
      </c>
      <c r="H439" t="s">
        <v>1656</v>
      </c>
    </row>
    <row r="440" spans="1:8">
      <c r="A440" t="s">
        <v>1612</v>
      </c>
      <c r="C440">
        <v>198</v>
      </c>
      <c r="E440" t="s">
        <v>1658</v>
      </c>
      <c r="F440">
        <v>8</v>
      </c>
      <c r="G440">
        <v>200</v>
      </c>
      <c r="H440" t="s">
        <v>1656</v>
      </c>
    </row>
    <row r="441" spans="1:8">
      <c r="A441" t="s">
        <v>1621</v>
      </c>
      <c r="C441">
        <v>914</v>
      </c>
      <c r="E441" t="s">
        <v>1658</v>
      </c>
      <c r="F441">
        <v>8</v>
      </c>
      <c r="G441">
        <v>916</v>
      </c>
      <c r="H441" t="s">
        <v>1656</v>
      </c>
    </row>
    <row r="442" spans="1:8">
      <c r="A442" t="s">
        <v>1628</v>
      </c>
      <c r="C442">
        <v>4596</v>
      </c>
      <c r="E442" t="s">
        <v>1658</v>
      </c>
      <c r="F442">
        <v>8</v>
      </c>
      <c r="G442">
        <v>4598</v>
      </c>
      <c r="H442" t="s">
        <v>1656</v>
      </c>
    </row>
    <row r="443" spans="1:8">
      <c r="A443" t="s">
        <v>1629</v>
      </c>
      <c r="C443">
        <v>6633</v>
      </c>
      <c r="E443" t="s">
        <v>1658</v>
      </c>
      <c r="F443">
        <v>8</v>
      </c>
      <c r="G443">
        <v>6635</v>
      </c>
      <c r="H443" t="s">
        <v>1656</v>
      </c>
    </row>
    <row r="444" spans="1:8">
      <c r="A444" t="s">
        <v>1622</v>
      </c>
      <c r="C444">
        <v>239</v>
      </c>
      <c r="E444" t="s">
        <v>1658</v>
      </c>
      <c r="F444">
        <v>8</v>
      </c>
      <c r="G444">
        <v>241</v>
      </c>
      <c r="H444" t="s">
        <v>1656</v>
      </c>
    </row>
    <row r="445" spans="1:8">
      <c r="A445" t="s">
        <v>1630</v>
      </c>
      <c r="C445">
        <v>2546</v>
      </c>
      <c r="E445" t="s">
        <v>1658</v>
      </c>
      <c r="F445">
        <v>8</v>
      </c>
      <c r="G445">
        <v>2548</v>
      </c>
      <c r="H445" t="s">
        <v>1656</v>
      </c>
    </row>
    <row r="446" spans="1:8">
      <c r="A446" t="s">
        <v>1623</v>
      </c>
      <c r="C446">
        <v>298</v>
      </c>
      <c r="E446" t="s">
        <v>1658</v>
      </c>
      <c r="F446">
        <v>8</v>
      </c>
      <c r="G446">
        <v>300</v>
      </c>
      <c r="H446" t="s">
        <v>1656</v>
      </c>
    </row>
    <row r="447" spans="1:8">
      <c r="A447" t="s">
        <v>1631</v>
      </c>
      <c r="C447">
        <v>2546</v>
      </c>
      <c r="E447" t="s">
        <v>1658</v>
      </c>
      <c r="F447">
        <v>8</v>
      </c>
      <c r="G447">
        <v>2548</v>
      </c>
      <c r="H447" t="s">
        <v>1656</v>
      </c>
    </row>
    <row r="448" spans="1:8">
      <c r="A448" t="s">
        <v>1632</v>
      </c>
      <c r="C448">
        <v>298</v>
      </c>
      <c r="E448" t="s">
        <v>1658</v>
      </c>
      <c r="F448">
        <v>8</v>
      </c>
      <c r="G448">
        <v>300</v>
      </c>
      <c r="H448" t="s">
        <v>1656</v>
      </c>
    </row>
    <row r="449" spans="1:8">
      <c r="A449" t="s">
        <v>1634</v>
      </c>
      <c r="C449">
        <v>11500</v>
      </c>
      <c r="E449" t="s">
        <v>1659</v>
      </c>
      <c r="F449">
        <v>30</v>
      </c>
      <c r="G449">
        <v>11500</v>
      </c>
      <c r="H449" t="s">
        <v>1656</v>
      </c>
    </row>
    <row r="450" spans="1:8">
      <c r="A450" t="s">
        <v>1635</v>
      </c>
      <c r="C450">
        <v>5498</v>
      </c>
      <c r="E450" t="s">
        <v>1659</v>
      </c>
      <c r="F450">
        <v>30</v>
      </c>
      <c r="G450">
        <v>5500</v>
      </c>
      <c r="H450" t="s">
        <v>1656</v>
      </c>
    </row>
    <row r="451" spans="1:8">
      <c r="A451" t="s">
        <v>1636</v>
      </c>
      <c r="C451">
        <v>6257</v>
      </c>
      <c r="E451" t="s">
        <v>1659</v>
      </c>
      <c r="F451">
        <v>30</v>
      </c>
      <c r="G451">
        <v>6259</v>
      </c>
      <c r="H451" t="s">
        <v>1656</v>
      </c>
    </row>
    <row r="452" spans="1:8">
      <c r="A452" t="s">
        <v>1637</v>
      </c>
      <c r="C452">
        <v>214</v>
      </c>
      <c r="E452" t="s">
        <v>1659</v>
      </c>
      <c r="F452">
        <v>30</v>
      </c>
      <c r="G452">
        <v>216</v>
      </c>
      <c r="H452" t="s">
        <v>1656</v>
      </c>
    </row>
    <row r="453" spans="1:8">
      <c r="A453" t="s">
        <v>1638</v>
      </c>
      <c r="C453">
        <v>11500</v>
      </c>
      <c r="E453" t="s">
        <v>1659</v>
      </c>
      <c r="F453">
        <v>30</v>
      </c>
      <c r="G453">
        <v>11500</v>
      </c>
      <c r="H453" t="s">
        <v>1656</v>
      </c>
    </row>
    <row r="454" spans="1:8">
      <c r="A454" t="s">
        <v>1639</v>
      </c>
      <c r="C454">
        <v>11500</v>
      </c>
      <c r="E454" t="s">
        <v>1659</v>
      </c>
      <c r="F454">
        <v>30</v>
      </c>
      <c r="G454">
        <v>11500</v>
      </c>
      <c r="H454" t="s">
        <v>1656</v>
      </c>
    </row>
    <row r="455" spans="1:8">
      <c r="A455" t="s">
        <v>1643</v>
      </c>
      <c r="C455">
        <v>798</v>
      </c>
      <c r="E455" t="s">
        <v>1660</v>
      </c>
      <c r="F455">
        <v>42</v>
      </c>
      <c r="G455">
        <v>800</v>
      </c>
      <c r="H455" t="s">
        <v>1656</v>
      </c>
    </row>
    <row r="456" spans="1:8">
      <c r="A456" t="s">
        <v>1644</v>
      </c>
      <c r="C456">
        <v>1870</v>
      </c>
      <c r="E456" t="s">
        <v>1660</v>
      </c>
      <c r="F456">
        <v>42</v>
      </c>
      <c r="G456">
        <v>1872</v>
      </c>
      <c r="H456" t="s">
        <v>1656</v>
      </c>
    </row>
    <row r="457" spans="1:8">
      <c r="A457" t="s">
        <v>1645</v>
      </c>
      <c r="C457">
        <v>7932</v>
      </c>
      <c r="E457" t="s">
        <v>1660</v>
      </c>
      <c r="F457">
        <v>42</v>
      </c>
      <c r="G457">
        <v>7934</v>
      </c>
      <c r="H457" t="s">
        <v>1656</v>
      </c>
    </row>
    <row r="458" spans="1:8">
      <c r="A458" t="s">
        <v>1646</v>
      </c>
      <c r="C458">
        <v>2997</v>
      </c>
      <c r="E458" t="s">
        <v>1660</v>
      </c>
      <c r="F458">
        <v>42</v>
      </c>
      <c r="G458">
        <v>2999</v>
      </c>
      <c r="H458" t="s">
        <v>1656</v>
      </c>
    </row>
    <row r="459" spans="1:8">
      <c r="A459" t="s">
        <v>1647</v>
      </c>
      <c r="C459">
        <v>495</v>
      </c>
      <c r="E459" t="s">
        <v>1660</v>
      </c>
      <c r="F459">
        <v>42</v>
      </c>
      <c r="G459">
        <v>497</v>
      </c>
      <c r="H459" t="s">
        <v>1656</v>
      </c>
    </row>
    <row r="460" spans="1:8">
      <c r="A460" t="s">
        <v>1651</v>
      </c>
      <c r="C460">
        <v>11500</v>
      </c>
      <c r="E460" t="s">
        <v>1652</v>
      </c>
      <c r="F460">
        <v>40</v>
      </c>
      <c r="G460">
        <v>11500</v>
      </c>
      <c r="H460" t="s">
        <v>1656</v>
      </c>
    </row>
    <row r="461" spans="1:8">
      <c r="A461" t="s">
        <v>1664</v>
      </c>
      <c r="C461">
        <v>401</v>
      </c>
      <c r="E461" t="s">
        <v>1208</v>
      </c>
      <c r="F461">
        <v>10</v>
      </c>
      <c r="G461">
        <v>403</v>
      </c>
      <c r="H461" t="s">
        <v>1855</v>
      </c>
    </row>
    <row r="462" spans="1:8">
      <c r="A462" t="s">
        <v>1665</v>
      </c>
      <c r="C462">
        <v>1936</v>
      </c>
      <c r="E462" t="s">
        <v>1208</v>
      </c>
      <c r="F462">
        <v>10</v>
      </c>
      <c r="G462">
        <v>1938</v>
      </c>
      <c r="H462" t="s">
        <v>1855</v>
      </c>
    </row>
    <row r="463" spans="1:8">
      <c r="A463" t="s">
        <v>1666</v>
      </c>
      <c r="C463">
        <v>5736</v>
      </c>
      <c r="E463" t="s">
        <v>1208</v>
      </c>
      <c r="F463">
        <v>10</v>
      </c>
      <c r="G463">
        <v>5738</v>
      </c>
      <c r="H463" t="s">
        <v>1855</v>
      </c>
    </row>
    <row r="464" spans="1:8">
      <c r="A464" t="s">
        <v>1667</v>
      </c>
      <c r="C464">
        <v>3736</v>
      </c>
      <c r="E464" t="s">
        <v>1208</v>
      </c>
      <c r="F464">
        <v>10</v>
      </c>
      <c r="G464">
        <v>3738</v>
      </c>
      <c r="H464" t="s">
        <v>1855</v>
      </c>
    </row>
    <row r="465" spans="1:8">
      <c r="A465" t="s">
        <v>1668</v>
      </c>
      <c r="C465">
        <v>1453</v>
      </c>
      <c r="E465" t="s">
        <v>1208</v>
      </c>
      <c r="F465">
        <v>10</v>
      </c>
      <c r="G465">
        <v>1455</v>
      </c>
      <c r="H465" t="s">
        <v>1855</v>
      </c>
    </row>
    <row r="466" spans="1:8">
      <c r="A466" t="s">
        <v>1669</v>
      </c>
      <c r="C466">
        <v>490</v>
      </c>
      <c r="E466" t="s">
        <v>1208</v>
      </c>
      <c r="F466">
        <v>10</v>
      </c>
      <c r="G466">
        <v>492</v>
      </c>
      <c r="H466" t="s">
        <v>1855</v>
      </c>
    </row>
    <row r="467" spans="1:8">
      <c r="A467" t="s">
        <v>1670</v>
      </c>
      <c r="C467">
        <v>1600</v>
      </c>
      <c r="E467" t="s">
        <v>1208</v>
      </c>
      <c r="F467">
        <v>10</v>
      </c>
      <c r="G467">
        <v>1602</v>
      </c>
      <c r="H467" t="s">
        <v>1855</v>
      </c>
    </row>
    <row r="468" spans="1:8">
      <c r="A468" t="s">
        <v>1671</v>
      </c>
      <c r="C468">
        <v>6056</v>
      </c>
      <c r="E468" t="s">
        <v>1208</v>
      </c>
      <c r="F468">
        <v>10</v>
      </c>
      <c r="G468">
        <v>6058</v>
      </c>
      <c r="H468" t="s">
        <v>1855</v>
      </c>
    </row>
    <row r="469" spans="1:8">
      <c r="A469" t="s">
        <v>1672</v>
      </c>
      <c r="C469">
        <v>1936</v>
      </c>
      <c r="E469" t="s">
        <v>1208</v>
      </c>
      <c r="F469">
        <v>10</v>
      </c>
      <c r="G469">
        <v>1938</v>
      </c>
      <c r="H469" t="s">
        <v>1855</v>
      </c>
    </row>
    <row r="470" spans="1:8">
      <c r="A470" t="s">
        <v>1673</v>
      </c>
      <c r="C470">
        <v>886</v>
      </c>
      <c r="E470" t="s">
        <v>1208</v>
      </c>
      <c r="F470">
        <v>10</v>
      </c>
      <c r="G470">
        <v>888</v>
      </c>
      <c r="H470" t="s">
        <v>1855</v>
      </c>
    </row>
    <row r="471" spans="1:8">
      <c r="A471" t="s">
        <v>1674</v>
      </c>
      <c r="C471">
        <v>7799</v>
      </c>
      <c r="E471" t="s">
        <v>1208</v>
      </c>
      <c r="F471">
        <v>10</v>
      </c>
      <c r="G471">
        <v>7801</v>
      </c>
      <c r="H471" t="s">
        <v>1855</v>
      </c>
    </row>
    <row r="472" spans="1:8">
      <c r="A472" t="s">
        <v>1675</v>
      </c>
      <c r="C472">
        <v>736</v>
      </c>
      <c r="E472" t="s">
        <v>1208</v>
      </c>
      <c r="F472">
        <v>10</v>
      </c>
      <c r="G472">
        <v>738</v>
      </c>
      <c r="H472" t="s">
        <v>1855</v>
      </c>
    </row>
    <row r="473" spans="1:8">
      <c r="A473" t="s">
        <v>1676</v>
      </c>
      <c r="C473">
        <v>5936</v>
      </c>
      <c r="E473" t="s">
        <v>1208</v>
      </c>
      <c r="F473">
        <v>10</v>
      </c>
      <c r="G473">
        <v>5938</v>
      </c>
      <c r="H473" t="s">
        <v>1855</v>
      </c>
    </row>
    <row r="474" spans="1:8">
      <c r="A474" t="s">
        <v>1677</v>
      </c>
      <c r="C474">
        <v>2036</v>
      </c>
      <c r="E474" t="s">
        <v>1208</v>
      </c>
      <c r="F474">
        <v>10</v>
      </c>
      <c r="G474">
        <v>2038</v>
      </c>
      <c r="H474" t="s">
        <v>1855</v>
      </c>
    </row>
    <row r="475" spans="1:8">
      <c r="A475" t="s">
        <v>1678</v>
      </c>
      <c r="C475">
        <v>5836</v>
      </c>
      <c r="E475" t="s">
        <v>1208</v>
      </c>
      <c r="F475">
        <v>10</v>
      </c>
      <c r="G475">
        <v>5838</v>
      </c>
      <c r="H475" t="s">
        <v>1855</v>
      </c>
    </row>
    <row r="476" spans="1:8">
      <c r="A476" t="s">
        <v>1679</v>
      </c>
      <c r="C476">
        <v>736</v>
      </c>
      <c r="E476" t="s">
        <v>1208</v>
      </c>
      <c r="F476">
        <v>10</v>
      </c>
      <c r="G476">
        <v>738</v>
      </c>
      <c r="H476" t="s">
        <v>1855</v>
      </c>
    </row>
    <row r="477" spans="1:8">
      <c r="A477" t="s">
        <v>1680</v>
      </c>
      <c r="C477">
        <v>11500</v>
      </c>
      <c r="E477" t="s">
        <v>1208</v>
      </c>
      <c r="F477">
        <v>10</v>
      </c>
      <c r="G477">
        <v>11500</v>
      </c>
      <c r="H477" t="s">
        <v>1855</v>
      </c>
    </row>
    <row r="478" spans="1:8">
      <c r="A478" t="s">
        <v>1681</v>
      </c>
      <c r="C478">
        <v>236</v>
      </c>
      <c r="E478" t="s">
        <v>1208</v>
      </c>
      <c r="F478">
        <v>10</v>
      </c>
      <c r="G478">
        <v>238</v>
      </c>
      <c r="H478" t="s">
        <v>1855</v>
      </c>
    </row>
    <row r="479" spans="1:8">
      <c r="A479" t="s">
        <v>1682</v>
      </c>
      <c r="C479">
        <v>11500</v>
      </c>
      <c r="E479" t="s">
        <v>1208</v>
      </c>
      <c r="F479">
        <v>10</v>
      </c>
      <c r="G479">
        <v>11500</v>
      </c>
      <c r="H479" t="s">
        <v>1855</v>
      </c>
    </row>
    <row r="480" spans="1:8">
      <c r="A480" t="s">
        <v>1683</v>
      </c>
      <c r="C480">
        <v>1218</v>
      </c>
      <c r="E480" t="s">
        <v>1208</v>
      </c>
      <c r="F480">
        <v>10</v>
      </c>
      <c r="G480">
        <v>1220</v>
      </c>
      <c r="H480" t="s">
        <v>1855</v>
      </c>
    </row>
    <row r="481" spans="1:8">
      <c r="A481" t="s">
        <v>1684</v>
      </c>
      <c r="C481">
        <v>4236</v>
      </c>
      <c r="E481" t="s">
        <v>1208</v>
      </c>
      <c r="F481">
        <v>10</v>
      </c>
      <c r="G481">
        <v>4238</v>
      </c>
      <c r="H481" t="s">
        <v>1855</v>
      </c>
    </row>
    <row r="482" spans="1:8">
      <c r="A482" t="s">
        <v>1661</v>
      </c>
      <c r="C482">
        <v>215</v>
      </c>
      <c r="E482" t="s">
        <v>1208</v>
      </c>
      <c r="F482">
        <v>10</v>
      </c>
      <c r="G482">
        <v>217</v>
      </c>
      <c r="H482" t="s">
        <v>1855</v>
      </c>
    </row>
    <row r="483" spans="1:8">
      <c r="A483" t="s">
        <v>1685</v>
      </c>
      <c r="C483">
        <v>11500</v>
      </c>
      <c r="E483" t="s">
        <v>1216</v>
      </c>
      <c r="F483">
        <v>12</v>
      </c>
      <c r="G483">
        <v>11500</v>
      </c>
      <c r="H483" t="s">
        <v>1855</v>
      </c>
    </row>
    <row r="484" spans="1:8">
      <c r="A484" t="s">
        <v>1686</v>
      </c>
      <c r="C484">
        <v>678</v>
      </c>
      <c r="E484" t="s">
        <v>1216</v>
      </c>
      <c r="F484">
        <v>12</v>
      </c>
      <c r="G484">
        <v>680</v>
      </c>
      <c r="H484" t="s">
        <v>1855</v>
      </c>
    </row>
    <row r="485" spans="1:8">
      <c r="A485" t="s">
        <v>1687</v>
      </c>
      <c r="C485">
        <v>11195</v>
      </c>
      <c r="E485" t="s">
        <v>1216</v>
      </c>
      <c r="F485">
        <v>12</v>
      </c>
      <c r="G485">
        <v>11197</v>
      </c>
      <c r="H485" t="s">
        <v>1855</v>
      </c>
    </row>
    <row r="486" spans="1:8">
      <c r="A486" t="s">
        <v>1689</v>
      </c>
      <c r="C486">
        <v>1993</v>
      </c>
      <c r="E486" t="s">
        <v>1226</v>
      </c>
      <c r="F486">
        <v>4</v>
      </c>
      <c r="G486">
        <v>1995</v>
      </c>
      <c r="H486" t="s">
        <v>1855</v>
      </c>
    </row>
    <row r="487" spans="1:8">
      <c r="A487" t="s">
        <v>1690</v>
      </c>
      <c r="C487">
        <v>11500</v>
      </c>
      <c r="E487" t="s">
        <v>1226</v>
      </c>
      <c r="F487">
        <v>4</v>
      </c>
      <c r="G487">
        <v>11500</v>
      </c>
      <c r="H487" t="s">
        <v>1855</v>
      </c>
    </row>
    <row r="488" spans="1:8">
      <c r="A488" t="s">
        <v>1691</v>
      </c>
      <c r="C488">
        <v>11500</v>
      </c>
      <c r="E488" t="s">
        <v>1226</v>
      </c>
      <c r="F488">
        <v>4</v>
      </c>
      <c r="G488">
        <v>11500</v>
      </c>
      <c r="H488" t="s">
        <v>1855</v>
      </c>
    </row>
    <row r="489" spans="1:8">
      <c r="A489" t="s">
        <v>1692</v>
      </c>
      <c r="C489">
        <v>993</v>
      </c>
      <c r="E489" t="s">
        <v>1226</v>
      </c>
      <c r="F489">
        <v>4</v>
      </c>
      <c r="G489">
        <v>995</v>
      </c>
      <c r="H489" t="s">
        <v>1855</v>
      </c>
    </row>
    <row r="490" spans="1:8">
      <c r="A490" t="s">
        <v>1693</v>
      </c>
      <c r="C490">
        <v>4043</v>
      </c>
      <c r="E490" t="s">
        <v>1226</v>
      </c>
      <c r="F490">
        <v>4</v>
      </c>
      <c r="G490">
        <v>4045</v>
      </c>
      <c r="H490" t="s">
        <v>1855</v>
      </c>
    </row>
    <row r="491" spans="1:8">
      <c r="A491" t="s">
        <v>1694</v>
      </c>
      <c r="C491">
        <v>802</v>
      </c>
      <c r="E491" t="s">
        <v>1226</v>
      </c>
      <c r="F491">
        <v>4</v>
      </c>
      <c r="G491">
        <v>804</v>
      </c>
      <c r="H491" t="s">
        <v>1855</v>
      </c>
    </row>
    <row r="492" spans="1:8">
      <c r="A492" t="s">
        <v>1695</v>
      </c>
      <c r="C492">
        <v>244</v>
      </c>
      <c r="E492" t="s">
        <v>1226</v>
      </c>
      <c r="F492">
        <v>4</v>
      </c>
      <c r="G492">
        <v>246</v>
      </c>
      <c r="H492" t="s">
        <v>1855</v>
      </c>
    </row>
    <row r="493" spans="1:8">
      <c r="A493" t="s">
        <v>1696</v>
      </c>
      <c r="C493">
        <v>1591</v>
      </c>
      <c r="E493" t="s">
        <v>1226</v>
      </c>
      <c r="F493">
        <v>4</v>
      </c>
      <c r="G493">
        <v>1593</v>
      </c>
      <c r="H493" t="s">
        <v>1855</v>
      </c>
    </row>
    <row r="494" spans="1:8">
      <c r="A494" t="s">
        <v>1697</v>
      </c>
      <c r="C494">
        <v>741</v>
      </c>
      <c r="E494" t="s">
        <v>1226</v>
      </c>
      <c r="F494">
        <v>4</v>
      </c>
      <c r="G494">
        <v>743</v>
      </c>
      <c r="H494" t="s">
        <v>1855</v>
      </c>
    </row>
    <row r="495" spans="1:8">
      <c r="A495" t="s">
        <v>1698</v>
      </c>
      <c r="C495">
        <v>6633</v>
      </c>
      <c r="E495" t="s">
        <v>1226</v>
      </c>
      <c r="F495">
        <v>4</v>
      </c>
      <c r="G495">
        <v>6635</v>
      </c>
      <c r="H495" t="s">
        <v>1855</v>
      </c>
    </row>
    <row r="496" spans="1:8">
      <c r="A496" t="s">
        <v>1699</v>
      </c>
      <c r="C496">
        <v>693</v>
      </c>
      <c r="E496" t="s">
        <v>1226</v>
      </c>
      <c r="F496">
        <v>4</v>
      </c>
      <c r="G496">
        <v>695</v>
      </c>
      <c r="H496" t="s">
        <v>1855</v>
      </c>
    </row>
    <row r="497" spans="1:8">
      <c r="A497" t="s">
        <v>1700</v>
      </c>
      <c r="C497">
        <v>11500</v>
      </c>
      <c r="E497" t="s">
        <v>1226</v>
      </c>
      <c r="F497">
        <v>4</v>
      </c>
      <c r="G497">
        <v>11500</v>
      </c>
      <c r="H497" t="s">
        <v>1855</v>
      </c>
    </row>
    <row r="498" spans="1:8">
      <c r="A498" t="s">
        <v>1701</v>
      </c>
      <c r="C498">
        <v>7843</v>
      </c>
      <c r="E498" t="s">
        <v>1226</v>
      </c>
      <c r="F498">
        <v>4</v>
      </c>
      <c r="G498">
        <v>7845</v>
      </c>
      <c r="H498" t="s">
        <v>1855</v>
      </c>
    </row>
    <row r="499" spans="1:8">
      <c r="A499" t="s">
        <v>1702</v>
      </c>
      <c r="C499">
        <v>198</v>
      </c>
      <c r="E499" t="s">
        <v>1226</v>
      </c>
      <c r="F499">
        <v>4</v>
      </c>
      <c r="G499">
        <v>200</v>
      </c>
      <c r="H499" t="s">
        <v>1855</v>
      </c>
    </row>
    <row r="500" spans="1:8">
      <c r="A500" t="s">
        <v>1703</v>
      </c>
      <c r="C500">
        <v>198</v>
      </c>
      <c r="E500" t="s">
        <v>1226</v>
      </c>
      <c r="F500">
        <v>4</v>
      </c>
      <c r="G500">
        <v>200</v>
      </c>
      <c r="H500" t="s">
        <v>1855</v>
      </c>
    </row>
    <row r="501" spans="1:8">
      <c r="A501" t="s">
        <v>1704</v>
      </c>
      <c r="C501">
        <v>693</v>
      </c>
      <c r="E501" t="s">
        <v>1226</v>
      </c>
      <c r="F501">
        <v>4</v>
      </c>
      <c r="G501">
        <v>695</v>
      </c>
      <c r="H501" t="s">
        <v>1855</v>
      </c>
    </row>
    <row r="502" spans="1:8">
      <c r="A502" t="s">
        <v>1705</v>
      </c>
      <c r="C502">
        <v>11500</v>
      </c>
      <c r="E502" t="s">
        <v>1226</v>
      </c>
      <c r="F502">
        <v>4</v>
      </c>
      <c r="G502">
        <v>11500</v>
      </c>
      <c r="H502" t="s">
        <v>1855</v>
      </c>
    </row>
    <row r="503" spans="1:8">
      <c r="A503" t="s">
        <v>1706</v>
      </c>
      <c r="C503">
        <v>11043</v>
      </c>
      <c r="E503" t="s">
        <v>1226</v>
      </c>
      <c r="F503">
        <v>4</v>
      </c>
      <c r="G503">
        <v>11045</v>
      </c>
      <c r="H503" t="s">
        <v>1855</v>
      </c>
    </row>
    <row r="504" spans="1:8">
      <c r="A504" t="s">
        <v>1707</v>
      </c>
      <c r="C504">
        <v>693</v>
      </c>
      <c r="E504" t="s">
        <v>1226</v>
      </c>
      <c r="F504">
        <v>4</v>
      </c>
      <c r="G504">
        <v>695</v>
      </c>
      <c r="H504" t="s">
        <v>1855</v>
      </c>
    </row>
    <row r="505" spans="1:8">
      <c r="A505" t="s">
        <v>1708</v>
      </c>
      <c r="C505">
        <v>2493</v>
      </c>
      <c r="E505" t="s">
        <v>1226</v>
      </c>
      <c r="F505">
        <v>4</v>
      </c>
      <c r="G505">
        <v>2495</v>
      </c>
      <c r="H505" t="s">
        <v>1855</v>
      </c>
    </row>
    <row r="506" spans="1:8">
      <c r="A506" t="s">
        <v>1709</v>
      </c>
      <c r="C506">
        <v>1193</v>
      </c>
      <c r="E506" t="s">
        <v>1226</v>
      </c>
      <c r="F506">
        <v>4</v>
      </c>
      <c r="G506">
        <v>1195</v>
      </c>
      <c r="H506" t="s">
        <v>1855</v>
      </c>
    </row>
    <row r="507" spans="1:8">
      <c r="A507" t="s">
        <v>1710</v>
      </c>
      <c r="C507">
        <v>5243</v>
      </c>
      <c r="E507" t="s">
        <v>1226</v>
      </c>
      <c r="F507">
        <v>4</v>
      </c>
      <c r="G507">
        <v>5245</v>
      </c>
      <c r="H507" t="s">
        <v>1855</v>
      </c>
    </row>
    <row r="508" spans="1:8">
      <c r="A508" t="s">
        <v>1711</v>
      </c>
      <c r="C508">
        <v>1693</v>
      </c>
      <c r="E508" t="s">
        <v>1226</v>
      </c>
      <c r="F508">
        <v>4</v>
      </c>
      <c r="G508">
        <v>1695</v>
      </c>
      <c r="H508" t="s">
        <v>1855</v>
      </c>
    </row>
    <row r="509" spans="1:8">
      <c r="A509" t="s">
        <v>1712</v>
      </c>
      <c r="C509">
        <v>6732</v>
      </c>
      <c r="E509" t="s">
        <v>1226</v>
      </c>
      <c r="F509">
        <v>4</v>
      </c>
      <c r="G509">
        <v>6734</v>
      </c>
      <c r="H509" t="s">
        <v>1855</v>
      </c>
    </row>
    <row r="510" spans="1:8">
      <c r="A510" t="s">
        <v>1713</v>
      </c>
      <c r="C510">
        <v>341</v>
      </c>
      <c r="E510" t="s">
        <v>1226</v>
      </c>
      <c r="F510">
        <v>4</v>
      </c>
      <c r="G510">
        <v>343</v>
      </c>
      <c r="H510" t="s">
        <v>1855</v>
      </c>
    </row>
    <row r="511" spans="1:8">
      <c r="A511" t="s">
        <v>1714</v>
      </c>
      <c r="C511">
        <v>505</v>
      </c>
      <c r="E511" t="s">
        <v>1226</v>
      </c>
      <c r="F511">
        <v>4</v>
      </c>
      <c r="G511">
        <v>507</v>
      </c>
      <c r="H511" t="s">
        <v>1855</v>
      </c>
    </row>
    <row r="512" spans="1:8">
      <c r="A512" t="s">
        <v>1715</v>
      </c>
      <c r="C512">
        <v>993</v>
      </c>
      <c r="E512" t="s">
        <v>1226</v>
      </c>
      <c r="F512">
        <v>4</v>
      </c>
      <c r="G512">
        <v>995</v>
      </c>
      <c r="H512" t="s">
        <v>1855</v>
      </c>
    </row>
    <row r="513" spans="1:8">
      <c r="A513" t="s">
        <v>1716</v>
      </c>
      <c r="C513">
        <v>993</v>
      </c>
      <c r="E513" t="s">
        <v>1226</v>
      </c>
      <c r="F513">
        <v>4</v>
      </c>
      <c r="G513">
        <v>995</v>
      </c>
      <c r="H513" t="s">
        <v>1855</v>
      </c>
    </row>
    <row r="514" spans="1:8">
      <c r="A514" t="s">
        <v>1717</v>
      </c>
      <c r="C514">
        <v>9493</v>
      </c>
      <c r="E514" t="s">
        <v>1226</v>
      </c>
      <c r="F514">
        <v>4</v>
      </c>
      <c r="G514">
        <v>9495</v>
      </c>
      <c r="H514" t="s">
        <v>1855</v>
      </c>
    </row>
    <row r="515" spans="1:8">
      <c r="A515" t="s">
        <v>1718</v>
      </c>
      <c r="C515">
        <v>1193</v>
      </c>
      <c r="E515" t="s">
        <v>1226</v>
      </c>
      <c r="F515">
        <v>4</v>
      </c>
      <c r="G515">
        <v>1195</v>
      </c>
      <c r="H515" t="s">
        <v>1855</v>
      </c>
    </row>
    <row r="516" spans="1:8">
      <c r="A516" t="s">
        <v>1719</v>
      </c>
      <c r="C516">
        <v>11500</v>
      </c>
      <c r="E516" t="s">
        <v>1226</v>
      </c>
      <c r="F516">
        <v>4</v>
      </c>
      <c r="G516">
        <v>11500</v>
      </c>
      <c r="H516" t="s">
        <v>1855</v>
      </c>
    </row>
    <row r="517" spans="1:8">
      <c r="A517" t="s">
        <v>1720</v>
      </c>
      <c r="C517">
        <v>11500</v>
      </c>
      <c r="E517" t="s">
        <v>1226</v>
      </c>
      <c r="F517">
        <v>4</v>
      </c>
      <c r="G517">
        <v>11500</v>
      </c>
      <c r="H517" t="s">
        <v>1855</v>
      </c>
    </row>
    <row r="518" spans="1:8">
      <c r="A518" t="s">
        <v>1721</v>
      </c>
      <c r="C518">
        <v>1193</v>
      </c>
      <c r="E518" t="s">
        <v>1226</v>
      </c>
      <c r="F518">
        <v>4</v>
      </c>
      <c r="G518">
        <v>1195</v>
      </c>
      <c r="H518" t="s">
        <v>1855</v>
      </c>
    </row>
    <row r="519" spans="1:8">
      <c r="A519" t="s">
        <v>1722</v>
      </c>
      <c r="C519">
        <v>2493</v>
      </c>
      <c r="E519" t="s">
        <v>1226</v>
      </c>
      <c r="F519">
        <v>4</v>
      </c>
      <c r="G519">
        <v>2495</v>
      </c>
      <c r="H519" t="s">
        <v>1855</v>
      </c>
    </row>
    <row r="520" spans="1:8">
      <c r="A520" t="s">
        <v>1723</v>
      </c>
      <c r="C520">
        <v>4183</v>
      </c>
      <c r="E520" t="s">
        <v>1226</v>
      </c>
      <c r="F520">
        <v>4</v>
      </c>
      <c r="G520">
        <v>4185</v>
      </c>
      <c r="H520" t="s">
        <v>1855</v>
      </c>
    </row>
    <row r="521" spans="1:8">
      <c r="A521" t="s">
        <v>1724</v>
      </c>
      <c r="C521">
        <v>293</v>
      </c>
      <c r="E521" t="s">
        <v>1226</v>
      </c>
      <c r="F521">
        <v>4</v>
      </c>
      <c r="G521">
        <v>295</v>
      </c>
      <c r="H521" t="s">
        <v>1855</v>
      </c>
    </row>
    <row r="522" spans="1:8">
      <c r="A522" t="s">
        <v>1725</v>
      </c>
      <c r="C522">
        <v>3893</v>
      </c>
      <c r="E522" t="s">
        <v>1226</v>
      </c>
      <c r="F522">
        <v>4</v>
      </c>
      <c r="G522">
        <v>3895</v>
      </c>
      <c r="H522" t="s">
        <v>1855</v>
      </c>
    </row>
    <row r="523" spans="1:8">
      <c r="A523" t="s">
        <v>1726</v>
      </c>
      <c r="C523">
        <v>993</v>
      </c>
      <c r="E523" t="s">
        <v>1226</v>
      </c>
      <c r="F523">
        <v>4</v>
      </c>
      <c r="G523">
        <v>995</v>
      </c>
      <c r="H523" t="s">
        <v>1855</v>
      </c>
    </row>
    <row r="524" spans="1:8">
      <c r="A524" t="s">
        <v>1727</v>
      </c>
      <c r="C524">
        <v>11500</v>
      </c>
      <c r="E524" t="s">
        <v>1226</v>
      </c>
      <c r="F524">
        <v>4</v>
      </c>
      <c r="G524">
        <v>11500</v>
      </c>
      <c r="H524" t="s">
        <v>1855</v>
      </c>
    </row>
    <row r="525" spans="1:8">
      <c r="A525" t="s">
        <v>1728</v>
      </c>
      <c r="C525">
        <v>10303</v>
      </c>
      <c r="E525" t="s">
        <v>1226</v>
      </c>
      <c r="F525">
        <v>4</v>
      </c>
      <c r="G525">
        <v>10305</v>
      </c>
      <c r="H525" t="s">
        <v>1855</v>
      </c>
    </row>
    <row r="526" spans="1:8">
      <c r="A526" t="s">
        <v>1729</v>
      </c>
      <c r="C526">
        <v>1193</v>
      </c>
      <c r="E526" t="s">
        <v>1226</v>
      </c>
      <c r="F526">
        <v>4</v>
      </c>
      <c r="G526">
        <v>1195</v>
      </c>
      <c r="H526" t="s">
        <v>1855</v>
      </c>
    </row>
    <row r="527" spans="1:8">
      <c r="A527" t="s">
        <v>1730</v>
      </c>
      <c r="C527">
        <v>148</v>
      </c>
      <c r="E527" t="s">
        <v>1226</v>
      </c>
      <c r="F527">
        <v>4</v>
      </c>
      <c r="G527">
        <v>150</v>
      </c>
      <c r="H527" t="s">
        <v>1855</v>
      </c>
    </row>
    <row r="528" spans="1:8">
      <c r="A528" t="s">
        <v>1731</v>
      </c>
      <c r="C528">
        <v>293</v>
      </c>
      <c r="E528" t="s">
        <v>1226</v>
      </c>
      <c r="F528">
        <v>4</v>
      </c>
      <c r="G528">
        <v>295</v>
      </c>
      <c r="H528" t="s">
        <v>1855</v>
      </c>
    </row>
    <row r="529" spans="1:8">
      <c r="A529" t="s">
        <v>1732</v>
      </c>
      <c r="C529">
        <v>505</v>
      </c>
      <c r="E529" t="s">
        <v>1226</v>
      </c>
      <c r="F529">
        <v>4</v>
      </c>
      <c r="G529">
        <v>507</v>
      </c>
      <c r="H529" t="s">
        <v>1855</v>
      </c>
    </row>
    <row r="530" spans="1:8">
      <c r="A530" t="s">
        <v>1733</v>
      </c>
      <c r="C530">
        <v>993</v>
      </c>
      <c r="E530" t="s">
        <v>1226</v>
      </c>
      <c r="F530">
        <v>4</v>
      </c>
      <c r="G530">
        <v>995</v>
      </c>
      <c r="H530" t="s">
        <v>1855</v>
      </c>
    </row>
    <row r="531" spans="1:8">
      <c r="A531" t="s">
        <v>1734</v>
      </c>
      <c r="C531">
        <v>1032</v>
      </c>
      <c r="E531" t="s">
        <v>1226</v>
      </c>
      <c r="F531">
        <v>4</v>
      </c>
      <c r="G531">
        <v>1034</v>
      </c>
      <c r="H531" t="s">
        <v>1855</v>
      </c>
    </row>
    <row r="532" spans="1:8">
      <c r="A532" t="s">
        <v>1735</v>
      </c>
      <c r="C532">
        <v>6993</v>
      </c>
      <c r="E532" t="s">
        <v>1226</v>
      </c>
      <c r="F532">
        <v>4</v>
      </c>
      <c r="G532">
        <v>6995</v>
      </c>
      <c r="H532" t="s">
        <v>1855</v>
      </c>
    </row>
    <row r="533" spans="1:8">
      <c r="A533" t="s">
        <v>1736</v>
      </c>
      <c r="C533">
        <v>1023</v>
      </c>
      <c r="E533" t="s">
        <v>1226</v>
      </c>
      <c r="F533">
        <v>4</v>
      </c>
      <c r="G533">
        <v>1025</v>
      </c>
      <c r="H533" t="s">
        <v>1855</v>
      </c>
    </row>
    <row r="534" spans="1:8">
      <c r="A534" t="s">
        <v>1737</v>
      </c>
      <c r="C534">
        <v>593</v>
      </c>
      <c r="E534" t="s">
        <v>1226</v>
      </c>
      <c r="F534">
        <v>4</v>
      </c>
      <c r="G534">
        <v>595</v>
      </c>
      <c r="H534" t="s">
        <v>1855</v>
      </c>
    </row>
    <row r="535" spans="1:8">
      <c r="A535" t="s">
        <v>1738</v>
      </c>
      <c r="C535">
        <v>11500</v>
      </c>
      <c r="E535" t="s">
        <v>1226</v>
      </c>
      <c r="F535">
        <v>4</v>
      </c>
      <c r="G535">
        <v>11500</v>
      </c>
      <c r="H535" t="s">
        <v>1855</v>
      </c>
    </row>
    <row r="536" spans="1:8">
      <c r="A536" t="s">
        <v>1739</v>
      </c>
      <c r="C536">
        <v>233</v>
      </c>
      <c r="E536" t="s">
        <v>1226</v>
      </c>
      <c r="F536">
        <v>4</v>
      </c>
      <c r="G536">
        <v>235</v>
      </c>
      <c r="H536" t="s">
        <v>1855</v>
      </c>
    </row>
    <row r="537" spans="1:8">
      <c r="A537" t="s">
        <v>1740</v>
      </c>
      <c r="C537">
        <v>293</v>
      </c>
      <c r="E537" t="s">
        <v>1226</v>
      </c>
      <c r="F537">
        <v>4</v>
      </c>
      <c r="G537">
        <v>295</v>
      </c>
      <c r="H537" t="s">
        <v>1855</v>
      </c>
    </row>
    <row r="538" spans="1:8">
      <c r="A538" t="s">
        <v>1741</v>
      </c>
      <c r="C538">
        <v>7663</v>
      </c>
      <c r="E538" t="s">
        <v>1226</v>
      </c>
      <c r="F538">
        <v>4</v>
      </c>
      <c r="G538">
        <v>7665</v>
      </c>
      <c r="H538" t="s">
        <v>1855</v>
      </c>
    </row>
    <row r="539" spans="1:8">
      <c r="A539" t="s">
        <v>1742</v>
      </c>
      <c r="C539">
        <v>343</v>
      </c>
      <c r="E539" t="s">
        <v>1226</v>
      </c>
      <c r="F539">
        <v>4</v>
      </c>
      <c r="G539">
        <v>345</v>
      </c>
      <c r="H539" t="s">
        <v>1855</v>
      </c>
    </row>
    <row r="540" spans="1:8">
      <c r="A540" t="s">
        <v>1743</v>
      </c>
      <c r="C540">
        <v>5593</v>
      </c>
      <c r="E540" t="s">
        <v>1226</v>
      </c>
      <c r="F540">
        <v>4</v>
      </c>
      <c r="G540">
        <v>5595</v>
      </c>
      <c r="H540" t="s">
        <v>1855</v>
      </c>
    </row>
    <row r="541" spans="1:8">
      <c r="A541" t="s">
        <v>1744</v>
      </c>
      <c r="C541">
        <v>604</v>
      </c>
      <c r="E541" t="s">
        <v>1226</v>
      </c>
      <c r="F541">
        <v>4</v>
      </c>
      <c r="G541">
        <v>606</v>
      </c>
      <c r="H541" t="s">
        <v>1855</v>
      </c>
    </row>
    <row r="542" spans="1:8">
      <c r="A542" t="s">
        <v>1745</v>
      </c>
      <c r="C542">
        <v>596</v>
      </c>
      <c r="E542" t="s">
        <v>1226</v>
      </c>
      <c r="F542">
        <v>4</v>
      </c>
      <c r="G542">
        <v>598</v>
      </c>
      <c r="H542" t="s">
        <v>1855</v>
      </c>
    </row>
    <row r="543" spans="1:8">
      <c r="A543" t="s">
        <v>1746</v>
      </c>
      <c r="C543">
        <v>1043</v>
      </c>
      <c r="E543" t="s">
        <v>1226</v>
      </c>
      <c r="F543">
        <v>4</v>
      </c>
      <c r="G543">
        <v>1045</v>
      </c>
      <c r="H543" t="s">
        <v>1855</v>
      </c>
    </row>
    <row r="544" spans="1:8">
      <c r="A544" t="s">
        <v>1747</v>
      </c>
      <c r="C544">
        <v>11500</v>
      </c>
      <c r="E544" t="s">
        <v>1226</v>
      </c>
      <c r="F544">
        <v>4</v>
      </c>
      <c r="G544">
        <v>11500</v>
      </c>
      <c r="H544" t="s">
        <v>1855</v>
      </c>
    </row>
    <row r="545" spans="1:8">
      <c r="A545" t="s">
        <v>1748</v>
      </c>
      <c r="C545">
        <v>993</v>
      </c>
      <c r="E545" t="s">
        <v>1226</v>
      </c>
      <c r="F545">
        <v>4</v>
      </c>
      <c r="G545">
        <v>995</v>
      </c>
      <c r="H545" t="s">
        <v>1855</v>
      </c>
    </row>
    <row r="546" spans="1:8">
      <c r="A546" t="s">
        <v>1749</v>
      </c>
      <c r="C546">
        <v>193</v>
      </c>
      <c r="E546" t="s">
        <v>1226</v>
      </c>
      <c r="F546">
        <v>4</v>
      </c>
      <c r="G546">
        <v>195</v>
      </c>
      <c r="H546" t="s">
        <v>1855</v>
      </c>
    </row>
    <row r="547" spans="1:8">
      <c r="A547" t="s">
        <v>1750</v>
      </c>
      <c r="C547">
        <v>98</v>
      </c>
      <c r="E547" t="s">
        <v>1226</v>
      </c>
      <c r="F547">
        <v>4</v>
      </c>
      <c r="G547">
        <v>100</v>
      </c>
      <c r="H547" t="s">
        <v>1855</v>
      </c>
    </row>
    <row r="548" spans="1:8">
      <c r="A548" t="s">
        <v>1751</v>
      </c>
      <c r="C548">
        <v>2059</v>
      </c>
      <c r="E548" t="s">
        <v>1226</v>
      </c>
      <c r="F548">
        <v>4</v>
      </c>
      <c r="G548">
        <v>2061</v>
      </c>
      <c r="H548" t="s">
        <v>1855</v>
      </c>
    </row>
    <row r="549" spans="1:8">
      <c r="A549" t="s">
        <v>1752</v>
      </c>
      <c r="C549">
        <v>516</v>
      </c>
      <c r="E549" t="s">
        <v>1226</v>
      </c>
      <c r="F549">
        <v>4</v>
      </c>
      <c r="G549">
        <v>518</v>
      </c>
      <c r="H549" t="s">
        <v>1855</v>
      </c>
    </row>
    <row r="550" spans="1:8">
      <c r="A550" t="s">
        <v>1753</v>
      </c>
      <c r="C550">
        <v>2193</v>
      </c>
      <c r="E550" t="s">
        <v>1226</v>
      </c>
      <c r="F550">
        <v>4</v>
      </c>
      <c r="G550">
        <v>2195</v>
      </c>
      <c r="H550" t="s">
        <v>1855</v>
      </c>
    </row>
    <row r="551" spans="1:8">
      <c r="A551" t="s">
        <v>1754</v>
      </c>
      <c r="C551">
        <v>730</v>
      </c>
      <c r="E551" t="s">
        <v>1226</v>
      </c>
      <c r="F551">
        <v>4</v>
      </c>
      <c r="G551">
        <v>732</v>
      </c>
      <c r="H551" t="s">
        <v>1855</v>
      </c>
    </row>
    <row r="552" spans="1:8">
      <c r="A552" t="s">
        <v>1755</v>
      </c>
      <c r="C552">
        <v>730</v>
      </c>
      <c r="E552" t="s">
        <v>1226</v>
      </c>
      <c r="F552">
        <v>4</v>
      </c>
      <c r="G552">
        <v>732</v>
      </c>
      <c r="H552" t="s">
        <v>1855</v>
      </c>
    </row>
    <row r="553" spans="1:8">
      <c r="A553" t="s">
        <v>1756</v>
      </c>
      <c r="C553">
        <v>730</v>
      </c>
      <c r="E553" t="s">
        <v>1226</v>
      </c>
      <c r="F553">
        <v>4</v>
      </c>
      <c r="G553">
        <v>732</v>
      </c>
      <c r="H553" t="s">
        <v>1855</v>
      </c>
    </row>
    <row r="554" spans="1:8">
      <c r="A554" t="s">
        <v>1757</v>
      </c>
      <c r="C554">
        <v>730</v>
      </c>
      <c r="E554" t="s">
        <v>1226</v>
      </c>
      <c r="F554">
        <v>4</v>
      </c>
      <c r="G554">
        <v>732</v>
      </c>
      <c r="H554" t="s">
        <v>1855</v>
      </c>
    </row>
    <row r="555" spans="1:8">
      <c r="A555" t="s">
        <v>1758</v>
      </c>
      <c r="C555">
        <v>363</v>
      </c>
      <c r="E555" t="s">
        <v>1226</v>
      </c>
      <c r="F555">
        <v>4</v>
      </c>
      <c r="G555">
        <v>365</v>
      </c>
      <c r="H555" t="s">
        <v>1855</v>
      </c>
    </row>
    <row r="556" spans="1:8">
      <c r="A556" t="s">
        <v>1759</v>
      </c>
      <c r="C556">
        <v>593</v>
      </c>
      <c r="E556" t="s">
        <v>1226</v>
      </c>
      <c r="F556">
        <v>4</v>
      </c>
      <c r="G556">
        <v>595</v>
      </c>
      <c r="H556" t="s">
        <v>1855</v>
      </c>
    </row>
    <row r="557" spans="1:8">
      <c r="A557" t="s">
        <v>1760</v>
      </c>
      <c r="C557">
        <v>1093</v>
      </c>
      <c r="E557" t="s">
        <v>1226</v>
      </c>
      <c r="F557">
        <v>4</v>
      </c>
      <c r="G557">
        <v>1095</v>
      </c>
      <c r="H557" t="s">
        <v>1855</v>
      </c>
    </row>
    <row r="558" spans="1:8">
      <c r="A558" t="s">
        <v>1761</v>
      </c>
      <c r="C558">
        <v>641</v>
      </c>
      <c r="E558" t="s">
        <v>1226</v>
      </c>
      <c r="F558">
        <v>4</v>
      </c>
      <c r="G558">
        <v>643</v>
      </c>
      <c r="H558" t="s">
        <v>1855</v>
      </c>
    </row>
    <row r="559" spans="1:8">
      <c r="A559" t="s">
        <v>1762</v>
      </c>
      <c r="C559">
        <v>793</v>
      </c>
      <c r="E559" t="s">
        <v>1226</v>
      </c>
      <c r="F559">
        <v>4</v>
      </c>
      <c r="G559">
        <v>795</v>
      </c>
      <c r="H559" t="s">
        <v>1855</v>
      </c>
    </row>
    <row r="560" spans="1:8">
      <c r="A560" t="s">
        <v>1763</v>
      </c>
      <c r="C560">
        <v>11500</v>
      </c>
      <c r="E560" t="s">
        <v>1226</v>
      </c>
      <c r="F560">
        <v>4</v>
      </c>
      <c r="G560">
        <v>11500</v>
      </c>
      <c r="H560" t="s">
        <v>1855</v>
      </c>
    </row>
    <row r="561" spans="1:8">
      <c r="A561" t="s">
        <v>1772</v>
      </c>
      <c r="C561">
        <v>2539</v>
      </c>
      <c r="E561" t="s">
        <v>1248</v>
      </c>
      <c r="F561">
        <v>6</v>
      </c>
      <c r="G561">
        <v>2541</v>
      </c>
      <c r="H561" t="s">
        <v>1855</v>
      </c>
    </row>
    <row r="562" spans="1:8">
      <c r="A562" t="s">
        <v>1773</v>
      </c>
      <c r="C562">
        <v>1041</v>
      </c>
      <c r="E562" t="s">
        <v>1248</v>
      </c>
      <c r="F562">
        <v>6</v>
      </c>
      <c r="G562">
        <v>1043</v>
      </c>
      <c r="H562" t="s">
        <v>1855</v>
      </c>
    </row>
    <row r="563" spans="1:8">
      <c r="A563" t="s">
        <v>1774</v>
      </c>
      <c r="C563">
        <v>2051</v>
      </c>
      <c r="E563" t="s">
        <v>1248</v>
      </c>
      <c r="F563">
        <v>6</v>
      </c>
      <c r="G563">
        <v>2053</v>
      </c>
      <c r="H563" t="s">
        <v>1855</v>
      </c>
    </row>
    <row r="564" spans="1:8">
      <c r="A564" t="s">
        <v>1775</v>
      </c>
      <c r="C564">
        <v>8541</v>
      </c>
      <c r="E564" t="s">
        <v>1248</v>
      </c>
      <c r="F564">
        <v>6</v>
      </c>
      <c r="G564">
        <v>8543</v>
      </c>
      <c r="H564" t="s">
        <v>1855</v>
      </c>
    </row>
    <row r="565" spans="1:8">
      <c r="A565" t="s">
        <v>1776</v>
      </c>
      <c r="C565">
        <v>741</v>
      </c>
      <c r="E565" t="s">
        <v>1248</v>
      </c>
      <c r="F565">
        <v>6</v>
      </c>
      <c r="G565">
        <v>743</v>
      </c>
      <c r="H565" t="s">
        <v>1855</v>
      </c>
    </row>
    <row r="566" spans="1:8">
      <c r="A566" t="s">
        <v>1777</v>
      </c>
      <c r="C566">
        <v>2327</v>
      </c>
      <c r="E566" t="s">
        <v>1248</v>
      </c>
      <c r="F566">
        <v>6</v>
      </c>
      <c r="G566">
        <v>2329</v>
      </c>
      <c r="H566" t="s">
        <v>1855</v>
      </c>
    </row>
    <row r="567" spans="1:8">
      <c r="A567" t="s">
        <v>1778</v>
      </c>
      <c r="C567">
        <v>1527</v>
      </c>
      <c r="E567" t="s">
        <v>1248</v>
      </c>
      <c r="F567">
        <v>6</v>
      </c>
      <c r="G567">
        <v>1529</v>
      </c>
      <c r="H567" t="s">
        <v>1855</v>
      </c>
    </row>
    <row r="568" spans="1:8">
      <c r="A568" t="s">
        <v>1779</v>
      </c>
      <c r="C568">
        <v>691</v>
      </c>
      <c r="E568" t="s">
        <v>1248</v>
      </c>
      <c r="F568">
        <v>6</v>
      </c>
      <c r="G568">
        <v>693</v>
      </c>
      <c r="H568" t="s">
        <v>1855</v>
      </c>
    </row>
    <row r="569" spans="1:8">
      <c r="A569" t="s">
        <v>1768</v>
      </c>
      <c r="C569">
        <v>198</v>
      </c>
      <c r="E569" t="s">
        <v>1248</v>
      </c>
      <c r="F569">
        <v>6</v>
      </c>
      <c r="G569">
        <v>200</v>
      </c>
      <c r="H569" t="s">
        <v>1855</v>
      </c>
    </row>
    <row r="570" spans="1:8">
      <c r="A570" t="s">
        <v>1780</v>
      </c>
      <c r="C570">
        <v>777</v>
      </c>
      <c r="E570" t="s">
        <v>1248</v>
      </c>
      <c r="F570">
        <v>6</v>
      </c>
      <c r="G570">
        <v>779</v>
      </c>
      <c r="H570" t="s">
        <v>1855</v>
      </c>
    </row>
    <row r="571" spans="1:8">
      <c r="A571" t="s">
        <v>1781</v>
      </c>
      <c r="C571">
        <v>198</v>
      </c>
      <c r="E571" t="s">
        <v>1248</v>
      </c>
      <c r="F571">
        <v>6</v>
      </c>
      <c r="G571">
        <v>200</v>
      </c>
      <c r="H571" t="s">
        <v>1855</v>
      </c>
    </row>
    <row r="572" spans="1:8">
      <c r="A572" t="s">
        <v>1770</v>
      </c>
      <c r="C572">
        <v>141</v>
      </c>
      <c r="E572" t="s">
        <v>1248</v>
      </c>
      <c r="F572">
        <v>6</v>
      </c>
      <c r="G572">
        <v>143</v>
      </c>
      <c r="H572" t="s">
        <v>1855</v>
      </c>
    </row>
    <row r="573" spans="1:8">
      <c r="A573" t="s">
        <v>1771</v>
      </c>
      <c r="C573">
        <v>127</v>
      </c>
      <c r="E573" t="s">
        <v>1248</v>
      </c>
      <c r="F573">
        <v>6</v>
      </c>
      <c r="G573">
        <v>129</v>
      </c>
      <c r="H573" t="s">
        <v>1855</v>
      </c>
    </row>
    <row r="574" spans="1:8">
      <c r="A574" t="s">
        <v>1782</v>
      </c>
      <c r="C574">
        <v>198</v>
      </c>
      <c r="E574" t="s">
        <v>1248</v>
      </c>
      <c r="F574">
        <v>6</v>
      </c>
      <c r="G574">
        <v>200</v>
      </c>
      <c r="H574" t="s">
        <v>1855</v>
      </c>
    </row>
    <row r="575" spans="1:8">
      <c r="A575" t="s">
        <v>1783</v>
      </c>
      <c r="C575">
        <v>528</v>
      </c>
      <c r="E575" t="s">
        <v>1248</v>
      </c>
      <c r="F575">
        <v>6</v>
      </c>
      <c r="G575">
        <v>530</v>
      </c>
      <c r="H575" t="s">
        <v>1855</v>
      </c>
    </row>
    <row r="576" spans="1:8">
      <c r="A576" t="s">
        <v>1769</v>
      </c>
      <c r="C576">
        <v>161</v>
      </c>
      <c r="E576" t="s">
        <v>1248</v>
      </c>
      <c r="F576">
        <v>6</v>
      </c>
      <c r="G576">
        <v>163</v>
      </c>
      <c r="H576" t="s">
        <v>1855</v>
      </c>
    </row>
    <row r="577" spans="1:8">
      <c r="A577" t="s">
        <v>1784</v>
      </c>
      <c r="C577">
        <v>371</v>
      </c>
      <c r="E577" t="s">
        <v>1248</v>
      </c>
      <c r="F577">
        <v>6</v>
      </c>
      <c r="G577">
        <v>373</v>
      </c>
      <c r="H577" t="s">
        <v>1855</v>
      </c>
    </row>
    <row r="578" spans="1:8">
      <c r="A578" t="s">
        <v>1785</v>
      </c>
      <c r="C578">
        <v>3161</v>
      </c>
      <c r="E578" t="s">
        <v>1248</v>
      </c>
      <c r="F578">
        <v>6</v>
      </c>
      <c r="G578">
        <v>3163</v>
      </c>
      <c r="H578" t="s">
        <v>1855</v>
      </c>
    </row>
    <row r="579" spans="1:8">
      <c r="A579" t="s">
        <v>1786</v>
      </c>
      <c r="C579">
        <v>11500</v>
      </c>
      <c r="E579" t="s">
        <v>1248</v>
      </c>
      <c r="F579">
        <v>6</v>
      </c>
      <c r="G579">
        <v>11500</v>
      </c>
      <c r="H579" t="s">
        <v>1855</v>
      </c>
    </row>
    <row r="580" spans="1:8">
      <c r="A580" t="s">
        <v>1787</v>
      </c>
      <c r="C580">
        <v>1423</v>
      </c>
      <c r="E580" t="s">
        <v>1248</v>
      </c>
      <c r="F580">
        <v>6</v>
      </c>
      <c r="G580">
        <v>1425</v>
      </c>
      <c r="H580" t="s">
        <v>1855</v>
      </c>
    </row>
    <row r="581" spans="1:8">
      <c r="A581" t="s">
        <v>1788</v>
      </c>
      <c r="C581">
        <v>541</v>
      </c>
      <c r="E581" t="s">
        <v>1248</v>
      </c>
      <c r="F581">
        <v>6</v>
      </c>
      <c r="G581">
        <v>543</v>
      </c>
      <c r="H581" t="s">
        <v>1855</v>
      </c>
    </row>
    <row r="582" spans="1:8">
      <c r="A582" t="s">
        <v>1789</v>
      </c>
      <c r="C582">
        <v>541</v>
      </c>
      <c r="E582" t="s">
        <v>1248</v>
      </c>
      <c r="F582">
        <v>6</v>
      </c>
      <c r="G582">
        <v>543</v>
      </c>
      <c r="H582" t="s">
        <v>1855</v>
      </c>
    </row>
    <row r="583" spans="1:8">
      <c r="A583" t="s">
        <v>1790</v>
      </c>
      <c r="C583">
        <v>1441</v>
      </c>
      <c r="E583" t="s">
        <v>1248</v>
      </c>
      <c r="F583">
        <v>6</v>
      </c>
      <c r="G583">
        <v>1443</v>
      </c>
      <c r="H583" t="s">
        <v>1855</v>
      </c>
    </row>
    <row r="584" spans="1:8">
      <c r="A584" t="s">
        <v>1791</v>
      </c>
      <c r="C584">
        <v>1364</v>
      </c>
      <c r="E584" t="s">
        <v>1248</v>
      </c>
      <c r="F584">
        <v>6</v>
      </c>
      <c r="G584">
        <v>1366</v>
      </c>
      <c r="H584" t="s">
        <v>1855</v>
      </c>
    </row>
    <row r="585" spans="1:8">
      <c r="A585" t="s">
        <v>1792</v>
      </c>
      <c r="C585">
        <v>4521</v>
      </c>
      <c r="E585" t="s">
        <v>1248</v>
      </c>
      <c r="F585">
        <v>6</v>
      </c>
      <c r="G585">
        <v>4523</v>
      </c>
      <c r="H585" t="s">
        <v>1855</v>
      </c>
    </row>
    <row r="586" spans="1:8">
      <c r="A586" t="s">
        <v>1793</v>
      </c>
      <c r="C586">
        <v>11500</v>
      </c>
      <c r="E586" t="s">
        <v>1248</v>
      </c>
      <c r="F586">
        <v>6</v>
      </c>
      <c r="G586">
        <v>11500</v>
      </c>
      <c r="H586" t="s">
        <v>1855</v>
      </c>
    </row>
    <row r="587" spans="1:8">
      <c r="A587" t="s">
        <v>1794</v>
      </c>
      <c r="C587">
        <v>541</v>
      </c>
      <c r="E587" t="s">
        <v>1248</v>
      </c>
      <c r="F587">
        <v>6</v>
      </c>
      <c r="G587">
        <v>543</v>
      </c>
      <c r="H587" t="s">
        <v>1855</v>
      </c>
    </row>
    <row r="588" spans="1:8">
      <c r="A588" t="s">
        <v>1795</v>
      </c>
      <c r="C588">
        <v>5791</v>
      </c>
      <c r="E588" t="s">
        <v>1248</v>
      </c>
      <c r="F588">
        <v>6</v>
      </c>
      <c r="G588">
        <v>5793</v>
      </c>
      <c r="H588" t="s">
        <v>1855</v>
      </c>
    </row>
    <row r="589" spans="1:8">
      <c r="A589" t="s">
        <v>1796</v>
      </c>
      <c r="C589">
        <v>1091</v>
      </c>
      <c r="E589" t="s">
        <v>1248</v>
      </c>
      <c r="F589">
        <v>6</v>
      </c>
      <c r="G589">
        <v>1093</v>
      </c>
      <c r="H589" t="s">
        <v>1855</v>
      </c>
    </row>
    <row r="590" spans="1:8">
      <c r="A590" t="s">
        <v>1797</v>
      </c>
      <c r="C590">
        <v>855</v>
      </c>
      <c r="E590" t="s">
        <v>1248</v>
      </c>
      <c r="F590">
        <v>6</v>
      </c>
      <c r="G590">
        <v>857</v>
      </c>
      <c r="H590" t="s">
        <v>1855</v>
      </c>
    </row>
    <row r="591" spans="1:8">
      <c r="A591" t="s">
        <v>1798</v>
      </c>
      <c r="C591">
        <v>333</v>
      </c>
      <c r="E591" t="s">
        <v>1248</v>
      </c>
      <c r="F591">
        <v>6</v>
      </c>
      <c r="G591">
        <v>335</v>
      </c>
      <c r="H591" t="s">
        <v>1855</v>
      </c>
    </row>
    <row r="592" spans="1:8">
      <c r="A592" t="s">
        <v>1799</v>
      </c>
      <c r="C592">
        <v>84</v>
      </c>
      <c r="E592" t="s">
        <v>1248</v>
      </c>
      <c r="F592">
        <v>6</v>
      </c>
      <c r="G592">
        <v>86</v>
      </c>
      <c r="H592" t="s">
        <v>1855</v>
      </c>
    </row>
    <row r="593" spans="1:8">
      <c r="A593" t="s">
        <v>1800</v>
      </c>
      <c r="C593">
        <v>5019</v>
      </c>
      <c r="E593" t="s">
        <v>1248</v>
      </c>
      <c r="F593">
        <v>6</v>
      </c>
      <c r="G593">
        <v>5021</v>
      </c>
      <c r="H593" t="s">
        <v>1855</v>
      </c>
    </row>
    <row r="594" spans="1:8">
      <c r="A594" t="s">
        <v>1801</v>
      </c>
      <c r="C594">
        <v>691</v>
      </c>
      <c r="E594" t="s">
        <v>1248</v>
      </c>
      <c r="F594">
        <v>6</v>
      </c>
      <c r="G594">
        <v>693</v>
      </c>
      <c r="H594" t="s">
        <v>1855</v>
      </c>
    </row>
    <row r="595" spans="1:8">
      <c r="A595" t="s">
        <v>1802</v>
      </c>
      <c r="C595">
        <v>241</v>
      </c>
      <c r="E595" t="s">
        <v>1248</v>
      </c>
      <c r="F595">
        <v>6</v>
      </c>
      <c r="G595">
        <v>243</v>
      </c>
      <c r="H595" t="s">
        <v>1855</v>
      </c>
    </row>
    <row r="596" spans="1:8">
      <c r="A596" t="s">
        <v>1803</v>
      </c>
      <c r="C596">
        <v>430</v>
      </c>
      <c r="E596" t="s">
        <v>1248</v>
      </c>
      <c r="F596">
        <v>6</v>
      </c>
      <c r="G596">
        <v>432</v>
      </c>
      <c r="H596" t="s">
        <v>1855</v>
      </c>
    </row>
    <row r="597" spans="1:8">
      <c r="A597" t="s">
        <v>1804</v>
      </c>
      <c r="C597">
        <v>375</v>
      </c>
      <c r="E597" t="s">
        <v>1248</v>
      </c>
      <c r="F597">
        <v>6</v>
      </c>
      <c r="G597">
        <v>377</v>
      </c>
      <c r="H597" t="s">
        <v>1855</v>
      </c>
    </row>
    <row r="598" spans="1:8">
      <c r="A598" t="s">
        <v>1805</v>
      </c>
      <c r="C598">
        <v>333</v>
      </c>
      <c r="E598" t="s">
        <v>1248</v>
      </c>
      <c r="F598">
        <v>6</v>
      </c>
      <c r="G598">
        <v>335</v>
      </c>
      <c r="H598" t="s">
        <v>1855</v>
      </c>
    </row>
    <row r="599" spans="1:8">
      <c r="A599" t="s">
        <v>1806</v>
      </c>
      <c r="C599">
        <v>1477</v>
      </c>
      <c r="E599" t="s">
        <v>1248</v>
      </c>
      <c r="F599">
        <v>6</v>
      </c>
      <c r="G599">
        <v>1479</v>
      </c>
      <c r="H599" t="s">
        <v>1855</v>
      </c>
    </row>
    <row r="600" spans="1:8">
      <c r="A600" t="s">
        <v>1766</v>
      </c>
      <c r="C600">
        <v>232</v>
      </c>
      <c r="E600" t="s">
        <v>1248</v>
      </c>
      <c r="F600">
        <v>6</v>
      </c>
      <c r="G600">
        <v>234</v>
      </c>
      <c r="H600" t="s">
        <v>1855</v>
      </c>
    </row>
    <row r="601" spans="1:8">
      <c r="A601" t="s">
        <v>1807</v>
      </c>
      <c r="C601">
        <v>1741</v>
      </c>
      <c r="E601" t="s">
        <v>1248</v>
      </c>
      <c r="F601">
        <v>6</v>
      </c>
      <c r="G601">
        <v>1743</v>
      </c>
      <c r="H601" t="s">
        <v>1855</v>
      </c>
    </row>
    <row r="602" spans="1:8">
      <c r="A602" t="s">
        <v>1808</v>
      </c>
      <c r="C602">
        <v>589</v>
      </c>
      <c r="E602" t="s">
        <v>1248</v>
      </c>
      <c r="F602">
        <v>6</v>
      </c>
      <c r="G602">
        <v>591</v>
      </c>
      <c r="H602" t="s">
        <v>1855</v>
      </c>
    </row>
    <row r="603" spans="1:8">
      <c r="A603" t="s">
        <v>1809</v>
      </c>
      <c r="C603">
        <v>127</v>
      </c>
      <c r="E603" t="s">
        <v>1248</v>
      </c>
      <c r="F603">
        <v>6</v>
      </c>
      <c r="G603">
        <v>129</v>
      </c>
      <c r="H603" t="s">
        <v>1855</v>
      </c>
    </row>
    <row r="604" spans="1:8">
      <c r="A604" t="s">
        <v>1810</v>
      </c>
      <c r="C604">
        <v>1741</v>
      </c>
      <c r="E604" t="s">
        <v>1248</v>
      </c>
      <c r="F604">
        <v>6</v>
      </c>
      <c r="G604">
        <v>1743</v>
      </c>
      <c r="H604" t="s">
        <v>1855</v>
      </c>
    </row>
    <row r="605" spans="1:8">
      <c r="A605" t="s">
        <v>1811</v>
      </c>
      <c r="C605">
        <v>447</v>
      </c>
      <c r="E605" t="s">
        <v>1248</v>
      </c>
      <c r="F605">
        <v>6</v>
      </c>
      <c r="G605">
        <v>449</v>
      </c>
      <c r="H605" t="s">
        <v>1855</v>
      </c>
    </row>
    <row r="606" spans="1:8">
      <c r="A606" t="s">
        <v>1767</v>
      </c>
      <c r="C606">
        <v>232</v>
      </c>
      <c r="E606" t="s">
        <v>1248</v>
      </c>
      <c r="F606">
        <v>6</v>
      </c>
      <c r="G606">
        <v>234</v>
      </c>
      <c r="H606" t="s">
        <v>1855</v>
      </c>
    </row>
    <row r="607" spans="1:8">
      <c r="A607" t="s">
        <v>1812</v>
      </c>
      <c r="C607">
        <v>232</v>
      </c>
      <c r="E607" t="s">
        <v>1248</v>
      </c>
      <c r="F607">
        <v>6</v>
      </c>
      <c r="G607">
        <v>234</v>
      </c>
      <c r="H607" t="s">
        <v>1855</v>
      </c>
    </row>
    <row r="608" spans="1:8">
      <c r="A608" t="s">
        <v>1813</v>
      </c>
      <c r="C608">
        <v>232</v>
      </c>
      <c r="E608" t="s">
        <v>1248</v>
      </c>
      <c r="F608">
        <v>6</v>
      </c>
      <c r="G608">
        <v>234</v>
      </c>
      <c r="H608" t="s">
        <v>1855</v>
      </c>
    </row>
    <row r="609" spans="1:8">
      <c r="A609" t="s">
        <v>1814</v>
      </c>
      <c r="C609">
        <v>127</v>
      </c>
      <c r="E609" t="s">
        <v>1248</v>
      </c>
      <c r="F609">
        <v>6</v>
      </c>
      <c r="G609">
        <v>129</v>
      </c>
      <c r="H609" t="s">
        <v>1855</v>
      </c>
    </row>
    <row r="610" spans="1:8">
      <c r="A610" t="s">
        <v>1815</v>
      </c>
      <c r="C610">
        <v>2741</v>
      </c>
      <c r="E610" t="s">
        <v>1248</v>
      </c>
      <c r="F610">
        <v>6</v>
      </c>
      <c r="G610">
        <v>2743</v>
      </c>
      <c r="H610" t="s">
        <v>1855</v>
      </c>
    </row>
    <row r="611" spans="1:8">
      <c r="A611" t="s">
        <v>1816</v>
      </c>
      <c r="C611">
        <v>398</v>
      </c>
      <c r="E611" t="s">
        <v>1248</v>
      </c>
      <c r="F611">
        <v>6</v>
      </c>
      <c r="G611">
        <v>400</v>
      </c>
      <c r="H611" t="s">
        <v>1855</v>
      </c>
    </row>
    <row r="612" spans="1:8">
      <c r="A612" t="s">
        <v>1817</v>
      </c>
      <c r="C612">
        <v>2741</v>
      </c>
      <c r="E612" t="s">
        <v>1248</v>
      </c>
      <c r="F612">
        <v>6</v>
      </c>
      <c r="G612">
        <v>2743</v>
      </c>
      <c r="H612" t="s">
        <v>1855</v>
      </c>
    </row>
    <row r="613" spans="1:8">
      <c r="A613" t="s">
        <v>1818</v>
      </c>
      <c r="C613">
        <v>438</v>
      </c>
      <c r="E613" t="s">
        <v>1248</v>
      </c>
      <c r="F613">
        <v>6</v>
      </c>
      <c r="G613">
        <v>440</v>
      </c>
      <c r="H613" t="s">
        <v>1855</v>
      </c>
    </row>
    <row r="614" spans="1:8">
      <c r="A614" t="s">
        <v>1820</v>
      </c>
      <c r="C614">
        <v>298</v>
      </c>
      <c r="E614" t="s">
        <v>1427</v>
      </c>
      <c r="F614">
        <v>8</v>
      </c>
      <c r="G614">
        <v>300</v>
      </c>
      <c r="H614" t="s">
        <v>1855</v>
      </c>
    </row>
    <row r="615" spans="1:8">
      <c r="A615" t="s">
        <v>1821</v>
      </c>
      <c r="C615">
        <v>298</v>
      </c>
      <c r="E615" t="s">
        <v>1427</v>
      </c>
      <c r="F615">
        <v>8</v>
      </c>
      <c r="G615">
        <v>300</v>
      </c>
      <c r="H615" t="s">
        <v>1855</v>
      </c>
    </row>
    <row r="616" spans="1:8">
      <c r="A616" t="s">
        <v>1822</v>
      </c>
      <c r="C616">
        <v>198</v>
      </c>
      <c r="E616" t="s">
        <v>1427</v>
      </c>
      <c r="F616">
        <v>8</v>
      </c>
      <c r="G616">
        <v>200</v>
      </c>
      <c r="H616" t="s">
        <v>1855</v>
      </c>
    </row>
    <row r="617" spans="1:8">
      <c r="A617" t="s">
        <v>1823</v>
      </c>
      <c r="C617">
        <v>198</v>
      </c>
      <c r="E617" t="s">
        <v>1427</v>
      </c>
      <c r="F617">
        <v>8</v>
      </c>
      <c r="G617">
        <v>200</v>
      </c>
      <c r="H617" t="s">
        <v>1855</v>
      </c>
    </row>
    <row r="618" spans="1:8">
      <c r="A618" t="s">
        <v>1824</v>
      </c>
      <c r="C618">
        <v>10841</v>
      </c>
      <c r="E618" t="s">
        <v>1825</v>
      </c>
      <c r="F618">
        <v>6</v>
      </c>
      <c r="G618">
        <v>10843</v>
      </c>
      <c r="H618" t="s">
        <v>1855</v>
      </c>
    </row>
    <row r="619" spans="1:8">
      <c r="A619" t="s">
        <v>1828</v>
      </c>
      <c r="C619">
        <v>4906</v>
      </c>
      <c r="E619" t="s">
        <v>1311</v>
      </c>
      <c r="F619">
        <v>6</v>
      </c>
      <c r="G619">
        <v>4908</v>
      </c>
      <c r="H619" t="s">
        <v>1855</v>
      </c>
    </row>
    <row r="620" spans="1:8">
      <c r="A620" t="s">
        <v>1829</v>
      </c>
      <c r="C620">
        <v>577</v>
      </c>
      <c r="E620" t="s">
        <v>1311</v>
      </c>
      <c r="F620">
        <v>6</v>
      </c>
      <c r="G620">
        <v>579</v>
      </c>
      <c r="H620" t="s">
        <v>1855</v>
      </c>
    </row>
    <row r="621" spans="1:8">
      <c r="A621" t="s">
        <v>1830</v>
      </c>
      <c r="C621">
        <v>1666</v>
      </c>
      <c r="E621" t="s">
        <v>1311</v>
      </c>
      <c r="F621">
        <v>6</v>
      </c>
      <c r="G621">
        <v>1668</v>
      </c>
      <c r="H621" t="s">
        <v>1855</v>
      </c>
    </row>
    <row r="622" spans="1:8">
      <c r="A622" t="s">
        <v>1831</v>
      </c>
      <c r="C622">
        <v>239</v>
      </c>
      <c r="E622" t="s">
        <v>1311</v>
      </c>
      <c r="F622">
        <v>6</v>
      </c>
      <c r="G622">
        <v>241</v>
      </c>
      <c r="H622" t="s">
        <v>1855</v>
      </c>
    </row>
    <row r="623" spans="1:8">
      <c r="A623" t="s">
        <v>1832</v>
      </c>
      <c r="C623">
        <v>3047</v>
      </c>
      <c r="E623" t="s">
        <v>1311</v>
      </c>
      <c r="F623">
        <v>6</v>
      </c>
      <c r="G623">
        <v>3049</v>
      </c>
      <c r="H623" t="s">
        <v>1855</v>
      </c>
    </row>
    <row r="624" spans="1:8">
      <c r="A624" t="s">
        <v>1833</v>
      </c>
      <c r="C624">
        <v>541</v>
      </c>
      <c r="E624" t="s">
        <v>1311</v>
      </c>
      <c r="F624">
        <v>6</v>
      </c>
      <c r="G624">
        <v>543</v>
      </c>
      <c r="H624" t="s">
        <v>1855</v>
      </c>
    </row>
    <row r="625" spans="1:8">
      <c r="A625" t="s">
        <v>1835</v>
      </c>
      <c r="C625">
        <v>2706</v>
      </c>
      <c r="E625" t="s">
        <v>1184</v>
      </c>
      <c r="F625">
        <v>2</v>
      </c>
      <c r="G625">
        <v>2708</v>
      </c>
      <c r="H625" t="s">
        <v>1855</v>
      </c>
    </row>
    <row r="626" spans="1:8">
      <c r="A626" t="s">
        <v>1836</v>
      </c>
      <c r="C626">
        <v>1086</v>
      </c>
      <c r="E626" t="s">
        <v>1184</v>
      </c>
      <c r="F626">
        <v>2</v>
      </c>
      <c r="G626">
        <v>1088</v>
      </c>
      <c r="H626" t="s">
        <v>1855</v>
      </c>
    </row>
    <row r="627" spans="1:8">
      <c r="A627" t="s">
        <v>1838</v>
      </c>
      <c r="C627">
        <v>198</v>
      </c>
      <c r="E627" t="s">
        <v>1839</v>
      </c>
      <c r="F627">
        <v>26</v>
      </c>
      <c r="G627">
        <v>200</v>
      </c>
      <c r="H627" t="s">
        <v>1855</v>
      </c>
    </row>
    <row r="628" spans="1:8">
      <c r="A628" t="s">
        <v>1840</v>
      </c>
      <c r="C628">
        <v>3998</v>
      </c>
      <c r="E628" t="s">
        <v>1839</v>
      </c>
      <c r="F628">
        <v>26</v>
      </c>
      <c r="G628">
        <v>4000</v>
      </c>
      <c r="H628" t="s">
        <v>1855</v>
      </c>
    </row>
    <row r="629" spans="1:8">
      <c r="A629" t="s">
        <v>1841</v>
      </c>
      <c r="C629">
        <v>8331</v>
      </c>
      <c r="E629" t="s">
        <v>1839</v>
      </c>
      <c r="F629">
        <v>26</v>
      </c>
      <c r="G629">
        <v>8333</v>
      </c>
      <c r="H629" t="s">
        <v>1855</v>
      </c>
    </row>
    <row r="630" spans="1:8">
      <c r="A630" t="s">
        <v>1842</v>
      </c>
      <c r="C630">
        <v>9995</v>
      </c>
      <c r="E630" t="s">
        <v>1839</v>
      </c>
      <c r="F630">
        <v>26</v>
      </c>
      <c r="G630">
        <v>9997</v>
      </c>
      <c r="H630" t="s">
        <v>1855</v>
      </c>
    </row>
    <row r="631" spans="1:8">
      <c r="A631" t="s">
        <v>1846</v>
      </c>
      <c r="C631">
        <v>11500</v>
      </c>
      <c r="E631" t="s">
        <v>1423</v>
      </c>
      <c r="F631">
        <v>30</v>
      </c>
      <c r="G631">
        <v>11500</v>
      </c>
      <c r="H631" t="s">
        <v>1855</v>
      </c>
    </row>
    <row r="632" spans="1:8">
      <c r="A632" t="s">
        <v>1847</v>
      </c>
      <c r="C632">
        <v>1412</v>
      </c>
      <c r="E632" t="s">
        <v>1423</v>
      </c>
      <c r="F632">
        <v>30</v>
      </c>
      <c r="G632">
        <v>1414</v>
      </c>
      <c r="H632" t="s">
        <v>1855</v>
      </c>
    </row>
    <row r="633" spans="1:8">
      <c r="A633" t="s">
        <v>1848</v>
      </c>
      <c r="C633">
        <v>3212</v>
      </c>
      <c r="E633" t="s">
        <v>1423</v>
      </c>
      <c r="F633">
        <v>30</v>
      </c>
      <c r="G633">
        <v>3214</v>
      </c>
      <c r="H633" t="s">
        <v>1855</v>
      </c>
    </row>
    <row r="634" spans="1:8">
      <c r="A634" t="s">
        <v>1849</v>
      </c>
      <c r="C634">
        <v>2724</v>
      </c>
      <c r="E634" t="s">
        <v>1423</v>
      </c>
      <c r="F634">
        <v>30</v>
      </c>
      <c r="G634">
        <v>2726</v>
      </c>
      <c r="H634" t="s">
        <v>1855</v>
      </c>
    </row>
    <row r="635" spans="1:8">
      <c r="A635" t="s">
        <v>1851</v>
      </c>
      <c r="C635">
        <v>11500</v>
      </c>
      <c r="E635" t="s">
        <v>1852</v>
      </c>
      <c r="F635">
        <v>20</v>
      </c>
      <c r="G635">
        <v>11500</v>
      </c>
      <c r="H635" t="s">
        <v>1855</v>
      </c>
    </row>
  </sheetData>
  <autoFilter ref="A1:H184" xr:uid="{5525DFC0-9CD6-4815-9A4A-731ECBAE81B6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DATA</vt:lpstr>
      <vt:lpstr>RESULT</vt:lpstr>
      <vt:lpstr>NESTING</vt:lpstr>
      <vt:lpstr>PIPING</vt:lpstr>
      <vt:lpstr>SUM</vt:lpstr>
      <vt:lpstr>DATA!Print_Area</vt:lpstr>
      <vt:lpstr>PIPING!Print_Area</vt:lpstr>
      <vt:lpstr>NESTING!Print_Titles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Cil.KS.JKT</dc:creator>
  <cp:lastModifiedBy>Muchamad Syikha Akma</cp:lastModifiedBy>
  <cp:lastPrinted>2023-03-01T13:35:24Z</cp:lastPrinted>
  <dcterms:created xsi:type="dcterms:W3CDTF">2019-12-31T16:56:14Z</dcterms:created>
  <dcterms:modified xsi:type="dcterms:W3CDTF">2023-05-14T02:25:43Z</dcterms:modified>
</cp:coreProperties>
</file>